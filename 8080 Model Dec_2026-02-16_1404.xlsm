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80552F88-321F-4CEA-BC04-546427440468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2" i="5" l="1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69" i="5" a="1"/>
  <c r="J365" i="5" a="1"/>
  <c r="J368" i="5" a="1"/>
  <c r="J363" i="5" a="1"/>
  <c r="J367" i="5" a="1"/>
  <c r="J366" i="5" a="1"/>
  <c r="J357" i="5" a="1"/>
  <c r="J360" i="5" a="1"/>
  <c r="J356" i="5" a="1"/>
  <c r="J359" i="5" a="1"/>
  <c r="J354" i="5" a="1"/>
  <c r="J358" i="5" a="1"/>
  <c r="J351" i="5" a="1"/>
  <c r="J347" i="5" a="1"/>
  <c r="J348" i="5" a="1"/>
  <c r="J350" i="5" a="1"/>
  <c r="J345" i="5" a="1"/>
  <c r="J349" i="5" a="1"/>
  <c r="J342" i="5" a="1"/>
  <c r="J338" i="5" a="1"/>
  <c r="J341" i="5" a="1"/>
  <c r="J336" i="5" a="1"/>
  <c r="J340" i="5" a="1"/>
  <c r="J339" i="5" a="1"/>
  <c r="J179" i="5" a="1"/>
  <c r="J155" i="5" a="1"/>
  <c r="J235" i="5" a="1"/>
  <c r="J219" i="5" a="1"/>
  <c r="J255" i="5" a="1"/>
  <c r="J152" i="5" a="1"/>
  <c r="J279" i="5" a="1"/>
  <c r="J309" i="5" a="1"/>
  <c r="J206" i="5" a="1"/>
  <c r="J296" i="5" a="1"/>
  <c r="J141" i="5" a="1"/>
  <c r="J242" i="5" a="1"/>
  <c r="J200" i="5" a="1"/>
  <c r="J291" i="5" a="1"/>
  <c r="J151" i="5" a="1"/>
  <c r="J143" i="5" a="1"/>
  <c r="J300" i="5" a="1"/>
  <c r="J284" i="5" a="1"/>
  <c r="J175" i="5" a="1"/>
  <c r="J189" i="5" a="1"/>
  <c r="J199" i="5" a="1"/>
  <c r="J331" i="5" a="1"/>
  <c r="J131" i="5" a="1"/>
  <c r="J321" i="5" a="1"/>
  <c r="J314" i="5" a="1"/>
  <c r="J176" i="5" a="1"/>
  <c r="J320" i="5" a="1"/>
  <c r="J126" i="5" a="1"/>
  <c r="J212" i="5" a="1"/>
  <c r="J145" i="5" a="1"/>
  <c r="J247" i="5" a="1"/>
  <c r="J294" i="5" a="1"/>
  <c r="J327" i="5" a="1"/>
  <c r="J312" i="5" a="1"/>
  <c r="J150" i="5" a="1"/>
  <c r="J306" i="5" a="1"/>
  <c r="J201" i="5" a="1"/>
  <c r="J287" i="5" a="1"/>
  <c r="J186" i="5" a="1"/>
  <c r="J167" i="5" a="1"/>
  <c r="J288" i="5" a="1"/>
  <c r="J187" i="5" a="1"/>
  <c r="J315" i="5" a="1"/>
  <c r="J226" i="5" a="1"/>
  <c r="J171" i="5" a="1"/>
  <c r="J303" i="5" a="1"/>
  <c r="J44" i="5" a="1"/>
  <c r="J305" i="5" a="1"/>
  <c r="J137" i="5" a="1"/>
  <c r="J142" i="5" a="1"/>
  <c r="J266" i="5" a="1"/>
  <c r="J197" i="5" a="1"/>
  <c r="J196" i="5" a="1"/>
  <c r="J177" i="5" a="1"/>
  <c r="J269" i="5" a="1"/>
  <c r="J278" i="5" a="1"/>
  <c r="J318" i="5" a="1"/>
  <c r="J323" i="5" a="1"/>
  <c r="J286" i="5" a="1"/>
  <c r="J166" i="5" a="1"/>
  <c r="J297" i="5" a="1"/>
  <c r="J313" i="5" a="1"/>
  <c r="J277" i="5" a="1"/>
  <c r="J237" i="5" a="1"/>
  <c r="J268" i="5" a="1"/>
  <c r="J256" i="5" a="1"/>
  <c r="J322" i="5" a="1"/>
  <c r="J156" i="5" a="1"/>
  <c r="J267" i="5" a="1"/>
  <c r="J198" i="5" a="1"/>
  <c r="J178" i="5" a="1"/>
  <c r="J293" i="5" a="1"/>
  <c r="J127" i="5" a="1"/>
  <c r="J128" i="5" a="1"/>
  <c r="J274" i="5" a="1"/>
  <c r="J262" i="5" a="1"/>
  <c r="J245" i="5" a="1"/>
  <c r="J129" i="5" a="1"/>
  <c r="J329" i="5" a="1"/>
  <c r="J275" i="5" a="1"/>
  <c r="J285" i="5" a="1"/>
  <c r="J168" i="5" a="1"/>
  <c r="J188" i="5" a="1"/>
  <c r="J234" i="5" a="1"/>
  <c r="J282" i="5" a="1"/>
  <c r="J243" i="5" a="1"/>
  <c r="J181" i="5" a="1"/>
  <c r="J271" i="5" a="1"/>
  <c r="J130" i="5" a="1"/>
  <c r="J283" i="5" a="1"/>
  <c r="J261" i="5" a="1"/>
  <c r="J248" i="5" a="1"/>
  <c r="J191" i="5" a="1"/>
  <c r="J165" i="5" a="1"/>
  <c r="J302" i="5" a="1"/>
  <c r="J225" i="5" a="1"/>
  <c r="J324" i="5" a="1"/>
  <c r="J158" i="5" a="1"/>
  <c r="J246" i="5" a="1"/>
  <c r="J218" i="5" a="1"/>
  <c r="J227" i="5" a="1"/>
  <c r="J136" i="5" a="1"/>
  <c r="J132" i="5" a="1"/>
  <c r="J249" i="5" a="1"/>
  <c r="J292" i="5" a="1"/>
  <c r="J144" i="5" a="1"/>
  <c r="J263" i="5" a="1"/>
  <c r="J304" i="5" a="1"/>
  <c r="J138" i="5" a="1"/>
  <c r="J228" i="5" a="1"/>
  <c r="J236" i="5" a="1"/>
  <c r="J153" i="5" a="1"/>
  <c r="J241" i="5" a="1"/>
  <c r="J185" i="5" a="1"/>
  <c r="J170" i="5" a="1"/>
  <c r="J46" i="5" a="1"/>
  <c r="J311" i="5" a="1"/>
  <c r="J260" i="5" a="1"/>
  <c r="J295" i="5" a="1"/>
  <c r="J332" i="5" a="1"/>
  <c r="J215" i="5" a="1"/>
  <c r="J276" i="5" a="1"/>
  <c r="J333" i="5" a="1"/>
  <c r="J270" i="5" a="1"/>
  <c r="J195" i="5" a="1"/>
  <c r="J133" i="5" a="1"/>
  <c r="J310" i="5" a="1"/>
  <c r="J330" i="5" a="1"/>
  <c r="J366" i="5" l="1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9" i="5" a="1"/>
  <c r="J100" i="5" a="1"/>
  <c r="J90" i="5" a="1"/>
  <c r="J110" i="5" a="1"/>
  <c r="J87" i="5" a="1"/>
  <c r="J86" i="5" a="1"/>
  <c r="J107" i="5" a="1"/>
  <c r="J102" i="5" a="1"/>
  <c r="J99" i="5" a="1"/>
  <c r="J84" i="5" a="1"/>
  <c r="J80" i="5" a="1"/>
  <c r="J91" i="5" a="1"/>
  <c r="J108" i="5" a="1"/>
  <c r="J85" i="5" a="1"/>
  <c r="J89" i="5" a="1"/>
  <c r="J88" i="5" a="1"/>
  <c r="J362" i="5" l="1"/>
  <c r="J353" i="5"/>
  <c r="J344" i="5"/>
  <c r="J335" i="5"/>
  <c r="J326" i="5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63" i="5" a="1"/>
  <c r="J35" i="5" a="1"/>
  <c r="J78" i="5" a="1"/>
  <c r="J31" i="5" a="1"/>
  <c r="J60" i="5" a="1"/>
  <c r="J26" i="5" a="1"/>
  <c r="J72" i="5" a="1"/>
  <c r="J40" i="5" a="1"/>
  <c r="J12" i="5" a="1"/>
  <c r="J59" i="5" a="1"/>
  <c r="J77" i="5" a="1"/>
  <c r="J51" i="5" a="1"/>
  <c r="J61" i="5" a="1"/>
  <c r="J79" i="5" a="1"/>
  <c r="J19" i="5" a="1"/>
  <c r="J71" i="5" a="1"/>
  <c r="J52" i="5" a="1"/>
  <c r="J70" i="5" a="1"/>
  <c r="J42" i="5" a="1"/>
  <c r="J69" i="5" a="1"/>
  <c r="J2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<sst xmlns="http://schemas.openxmlformats.org/spreadsheetml/2006/main" count="1631" uniqueCount="463">
  <si>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</si>
  <si>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</si>
  <si>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</si>
  <si>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</si>
  <si>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</si>
  <si>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</si>
  <si>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</si>
  <si>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</si>
  <si>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</si>
  <si>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</si>
  <si>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</si>
  <si>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</si>
  <si>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</si>
  <si>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</si>
  <si>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</si>
  <si>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</si>
  <si>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</si>
  <si>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</si>
  <si>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</si>
  <si>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</si>
  <si>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</si>
  <si>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</si>
  <si>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</si>
  <si>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</si>
  <si>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</si>
  <si>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</si>
  <si>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</si>
  <si>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</si>
  <si>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</si>
  <si>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</si>
  <si>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</si>
  <si>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</si>
  <si>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</si>
  <si>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</si>
  <si>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</si>
  <si>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</si>
  <si>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</si>
  <si>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</si>
  <si>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</si>
  <si>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</si>
  <si>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</si>
  <si>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</si>
  <si>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</si>
  <si>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</si>
  <si>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</si>
  <si>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</si>
  <si>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</si>
  <si>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</si>
  <si>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</si>
  <si>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</si>
  <si>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</si>
  <si>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</si>
  <si>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</si>
  <si>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</si>
  <si>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</si>
  <si>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</si>
  <si>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</si>
  <si>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</si>
  <si>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</si>
  <si>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</si>
  <si>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</si>
  <si>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</si>
  <si>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</si>
  <si>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</si>
  <si>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</si>
  <si>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</si>
  <si>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</si>
  <si>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</si>
  <si>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</si>
  <si>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</si>
  <si>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</si>
  <si>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</si>
  <si>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</si>
  <si>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</si>
  <si>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</si>
  <si>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</si>
  <si>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</si>
  <si>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</si>
  <si>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</si>
  <si>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</si>
  <si>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</si>
  <si>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</si>
  <si>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</si>
  <si>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</si>
  <si>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</si>
  <si>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</si>
  <si>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</si>
  <si>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</si>
  <si>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</si>
  <si>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</si>
  <si>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</si>
  <si>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</si>
  <si>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</si>
  <si>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</si>
  <si>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</si>
  <si>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</si>
  <si>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</si>
  <si>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</si>
  <si>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</si>
  <si>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</si>
  <si>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</si>
  <si>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</si>
  <si>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</si>
  <si>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</si>
  <si>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</si>
  <si>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</si>
  <si>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</si>
  <si>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</si>
  <si>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</si>
  <si>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</si>
  <si>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</si>
  <si>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</si>
  <si>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</si>
  <si>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</si>
  <si>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</si>
  <si>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</si>
  <si>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</si>
  <si>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</si>
  <si>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</si>
  <si>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</si>
  <si>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</si>
  <si>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</si>
  <si>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</si>
  <si>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</si>
  <si>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</si>
  <si>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</si>
  <si>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</si>
  <si>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</si>
  <si>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</si>
  <si>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</si>
  <si>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</si>
  <si>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</si>
  <si>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</si>
  <si>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</si>
  <si>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</si>
  <si>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</si>
  <si>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</si>
  <si>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</si>
  <si>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</si>
  <si>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</si>
  <si>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</si>
  <si>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</si>
  <si>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</si>
  <si>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</si>
  <si>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</si>
  <si>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</si>
  <si>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</si>
  <si>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</si>
  <si>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</si>
  <si>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</si>
  <si>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</si>
  <si>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</si>
  <si>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</si>
  <si>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</si>
  <si>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</si>
  <si>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</si>
  <si>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</si>
  <si>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</si>
  <si>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</si>
  <si>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</si>
  <si>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</si>
  <si>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</si>
  <si>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</si>
  <si>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</si>
  <si>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</si>
  <si>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</si>
  <si>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</si>
  <si>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</si>
  <si>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</si>
  <si>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</si>
  <si>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</si>
  <si>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</si>
  <si>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</si>
  <si>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</si>
  <si>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</si>
  <si>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</si>
  <si>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</si>
  <si>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</si>
  <si>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</si>
  <si>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</si>
  <si>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</si>
  <si>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</si>
  <si>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</si>
  <si>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</si>
  <si>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</si>
  <si>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</si>
  <si>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</si>
  <si>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</si>
  <si>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</si>
  <si>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</si>
  <si>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</si>
  <si>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</si>
  <si>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</si>
  <si>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</si>
  <si>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</si>
  <si>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</si>
  <si>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</si>
  <si>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</si>
  <si>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</si>
  <si>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</si>
  <si>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</si>
  <si>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</si>
  <si>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</si>
  <si>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</si>
  <si>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</si>
  <si>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</si>
  <si>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</si>
  <si>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</si>
  <si>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</si>
  <si>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</si>
  <si>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</si>
  <si>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</si>
  <si>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</si>
  <si>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</si>
  <si>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</si>
  <si>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</si>
  <si>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</si>
  <si>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</si>
  <si>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</si>
  <si>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</si>
  <si>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</si>
  <si>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</si>
  <si>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</si>
  <si>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</si>
  <si>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</si>
  <si>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</si>
  <si>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</si>
  <si>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</si>
  <si>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</si>
  <si>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</si>
  <si>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</si>
  <si>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</si>
  <si>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</si>
  <si>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</si>
  <si>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</si>
  <si>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</si>
  <si>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</si>
  <si>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</si>
  <si>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</si>
  <si>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</si>
  <si>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</si>
  <si>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</si>
  <si>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</si>
  <si>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</si>
  <si>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</si>
  <si>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</si>
  <si>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</si>
  <si>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</si>
  <si>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</si>
  <si>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</si>
  <si>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</si>
  <si>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</si>
  <si>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</si>
  <si>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</si>
  <si>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</si>
  <si>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</si>
  <si>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</si>
  <si>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</si>
  <si>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</si>
  <si>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</si>
  <si>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</si>
  <si>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</si>
  <si>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</si>
  <si>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</si>
  <si>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</si>
  <si>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</si>
  <si>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</si>
  <si>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</si>
  <si>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</si>
  <si>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</si>
  <si>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</si>
  <si>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</si>
  <si>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</si>
  <si>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</si>
  <si>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</si>
  <si>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</si>
  <si>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</si>
  <si>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</si>
  <si>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</si>
  <si>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</si>
  <si>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</si>
  <si>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</si>
  <si>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</si>
  <si>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</si>
  <si>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</si>
  <si>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</si>
  <si>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</si>
  <si>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</si>
  <si>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</si>
  <si>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</si>
  <si>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</si>
  <si>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</si>
  <si>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</si>
  <si>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</si>
  <si>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</si>
  <si>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</si>
  <si>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</si>
  <si>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</si>
  <si>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</si>
  <si>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</si>
  <si>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</si>
  <si>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</si>
  <si>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</si>
  <si>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</si>
  <si>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</si>
  <si>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</si>
  <si>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</si>
  <si>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</si>
  <si>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</si>
  <si>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</si>
  <si>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</si>
  <si>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</si>
  <si>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</si>
  <si>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</si>
  <si>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</si>
  <si>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</si>
  <si>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</si>
  <si>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</si>
  <si>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</si>
  <si>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</si>
  <si>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</si>
  <si>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</si>
  <si>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</si>
  <si>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</si>
  <si>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</si>
  <si>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</si>
  <si>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</si>
  <si>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</si>
  <si>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</si>
  <si>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</si>
  <si>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</si>
  <si>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</si>
  <si>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</si>
  <si>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</si>
  <si>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</si>
  <si>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</si>
  <si>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</si>
  <si>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</si>
  <si>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</si>
  <si>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</si>
  <si>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</si>
  <si>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</si>
  <si>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</si>
  <si>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</si>
  <si>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</si>
  <si>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</si>
  <si>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</si>
  <si>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</si>
  <si>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</si>
  <si>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</si>
  <si>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</si>
  <si>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</si>
  <si>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</si>
  <si>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</si>
  <si>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</si>
  <si>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</si>
  <si>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</si>
  <si>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</si>
  <si>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</si>
  <si>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</si>
  <si>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</si>
  <si>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</si>
  <si>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</si>
  <si>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</si>
  <si>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</si>
  <si>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</si>
  <si>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</si>
  <si>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</si>
  <si>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</si>
  <si>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</si>
  <si>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</si>
  <si>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</si>
  <si>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</si>
  <si>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</si>
  <si>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</si>
  <si>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</si>
  <si>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</si>
  <si>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</si>
  <si>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</si>
  <si>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</si>
  <si>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</si>
  <si>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</si>
  <si>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</si>
  <si>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</si>
  <si>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</si>
  <si>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</si>
  <si>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</si>
  <si>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</si>
  <si>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</si>
  <si>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</si>
  <si>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</si>
  <si>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</si>
  <si>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</si>
  <si>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</si>
  <si>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</si>
  <si>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</si>
  <si>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</si>
  <si>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</si>
  <si>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</si>
  <si>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</si>
  <si>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</si>
  <si>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</si>
  <si>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</si>
  <si>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</si>
  <si>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</si>
  <si>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</si>
  <si>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</si>
  <si>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</si>
  <si>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</si>
  <si>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</si>
  <si>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</si>
  <si>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</si>
  <si>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</si>
  <si>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</si>
  <si>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</si>
  <si>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</si>
  <si>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</si>
  <si>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</si>
  <si>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</si>
  <si>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</si>
  <si>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</si>
  <si>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</si>
  <si>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</si>
  <si>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</si>
  <si>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</si>
  <si>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</si>
  <si>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</si>
  <si>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</si>
  <si>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</si>
  <si>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</si>
  <si>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</si>
  <si>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</si>
  <si>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</si>
  <si>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</si>
  <si>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</si>
  <si>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</si>
  <si>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</si>
  <si>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</si>
  <si>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</si>
  <si>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SKIPPED</t>
  </si>
  <si>
    <t>ADC r (with carry-in)</t>
  </si>
  <si>
    <t>FE</t>
  </si>
  <si>
    <t>ADC</t>
  </si>
  <si>
    <t>Execution Complete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</si>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</sst>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3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1" sqref="H2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1" t="s">
        <v>443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300</v>
      </c>
      <c r="Q8" s="103" t="s">
        <v>314</v>
      </c>
      <c r="R8" s="104" t="s">
        <v>301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311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306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312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460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300</v>
      </c>
      <c r="Q12" s="103" t="s">
        <v>314</v>
      </c>
      <c r="R12" s="104" t="s">
        <v>304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461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313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301</v>
      </c>
      <c r="P16" s="102" t="s">
        <v>303</v>
      </c>
      <c r="Q16" s="103" t="s">
        <v>302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304</v>
      </c>
      <c r="P17" s="102" t="s">
        <v>303</v>
      </c>
      <c r="Q17" s="103" t="s">
        <v>305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30" priority="26" operator="equal">
      <formula>0</formula>
    </cfRule>
    <cfRule type="cellIs" dxfId="229" priority="27" operator="greaterThan">
      <formula>0</formula>
    </cfRule>
  </conditionalFormatting>
  <conditionalFormatting sqref="F1:V1">
    <cfRule type="containsText" dxfId="228" priority="17" operator="containsText" text="Halted">
      <formula>NOT(ISERROR(SEARCH("Halted",F1)))</formula>
    </cfRule>
    <cfRule type="containsText" dxfId="227" priority="24" operator="containsText" text="Execution Complete">
      <formula>NOT(ISERROR(SEARCH("Execution Complete",F1)))</formula>
    </cfRule>
    <cfRule type="containsText" dxfId="226" priority="25" operator="containsText" text="Error">
      <formula>NOT(ISERROR(SEARCH("Error",F1)))</formula>
    </cfRule>
  </conditionalFormatting>
  <conditionalFormatting sqref="P22:R1070">
    <cfRule type="expression" dxfId="225" priority="49">
      <formula>$N22=$E$13</formula>
    </cfRule>
  </conditionalFormatting>
  <conditionalFormatting sqref="M7:S7 M22:S1070 M8:N21 S8:S21">
    <cfRule type="containsText" dxfId="224" priority="5" operator="containsText" text=" ">
      <formula>NOT(ISERROR(SEARCH(" ",M7)))</formula>
    </cfRule>
  </conditionalFormatting>
  <conditionalFormatting sqref="AC5:AL5">
    <cfRule type="cellIs" dxfId="223" priority="3" operator="equal">
      <formula>0</formula>
    </cfRule>
    <cfRule type="cellIs" dxfId="222" priority="4" operator="equal">
      <formula>1</formula>
    </cfRule>
  </conditionalFormatting>
  <conditionalFormatting sqref="H20">
    <cfRule type="cellIs" dxfId="221" priority="2" operator="equal">
      <formula>1</formula>
    </cfRule>
    <cfRule type="cellIs" dxfId="22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69"/>
  <sheetViews>
    <sheetView zoomScaleNormal="100" workbookViewId="0">
      <pane xSplit="1" ySplit="4" topLeftCell="B342" activePane="bottomRight" state="frozen"/>
      <selection pane="topRight" activeCell="B1" sqref="B1"/>
      <selection pane="bottomLeft" activeCell="A5" sqref="A5"/>
      <selection pane="bottomRight" activeCell="Q20" sqref="Q2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439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7" t="s">
        <v>462</v>
      </c>
      <c r="V5" s="127"/>
      <c r="W5" s="127"/>
      <c r="X5" s="127"/>
      <c r="Y5" s="127"/>
      <c r="Z5" s="127"/>
      <c r="AA5" s="127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8"/>
      <c r="V6" s="128"/>
      <c r="W6" s="128"/>
      <c r="X6" s="128"/>
      <c r="Y6" s="128"/>
      <c r="Z6" s="128"/>
      <c r="AA6" s="128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8"/>
      <c r="V7" s="128"/>
      <c r="W7" s="128"/>
      <c r="X7" s="128"/>
      <c r="Y7" s="128"/>
      <c r="Z7" s="128"/>
      <c r="AA7" s="128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8"/>
      <c r="V8" s="128"/>
      <c r="W8" s="128"/>
      <c r="X8" s="128"/>
      <c r="Y8" s="128"/>
      <c r="Z8" s="128"/>
      <c r="AA8" s="128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8"/>
      <c r="V9" s="128"/>
      <c r="W9" s="128"/>
      <c r="X9" s="128"/>
      <c r="Y9" s="128"/>
      <c r="Z9" s="128"/>
      <c r="AA9" s="128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8"/>
      <c r="V10" s="128"/>
      <c r="W10" s="128"/>
      <c r="X10" s="128"/>
      <c r="Y10" s="128"/>
      <c r="Z10" s="128"/>
      <c r="AA10" s="128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439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8"/>
      <c r="V11" s="128"/>
      <c r="W11" s="128"/>
      <c r="X11" s="128"/>
      <c r="Y11" s="128"/>
      <c r="Z11" s="128"/>
      <c r="AA11" s="128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8"/>
      <c r="V12" s="128"/>
      <c r="W12" s="128"/>
      <c r="X12" s="128"/>
      <c r="Y12" s="128"/>
      <c r="Z12" s="128"/>
      <c r="AA12" s="128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8"/>
      <c r="V13" s="128"/>
      <c r="W13" s="128"/>
      <c r="X13" s="128"/>
      <c r="Y13" s="128"/>
      <c r="Z13" s="128"/>
      <c r="AA13" s="128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8"/>
      <c r="V14" s="128"/>
      <c r="W14" s="128"/>
      <c r="X14" s="128"/>
      <c r="Y14" s="128"/>
      <c r="Z14" s="128"/>
      <c r="AA14" s="128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8"/>
      <c r="V15" s="128"/>
      <c r="W15" s="128"/>
      <c r="X15" s="128"/>
      <c r="Y15" s="128"/>
      <c r="Z15" s="128"/>
      <c r="AA15" s="128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439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8"/>
      <c r="V16" s="128"/>
      <c r="W16" s="128"/>
      <c r="X16" s="128"/>
      <c r="Y16" s="128"/>
      <c r="Z16" s="128"/>
      <c r="AA16" s="128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8"/>
      <c r="V17" s="128"/>
      <c r="W17" s="128"/>
      <c r="X17" s="128"/>
      <c r="Y17" s="128"/>
      <c r="Z17" s="128"/>
      <c r="AA17" s="128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8"/>
      <c r="V18" s="128"/>
      <c r="W18" s="128"/>
      <c r="X18" s="128"/>
      <c r="Y18" s="128"/>
      <c r="Z18" s="128"/>
      <c r="AA18" s="128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8"/>
      <c r="V19" s="128"/>
      <c r="W19" s="128"/>
      <c r="X19" s="128"/>
      <c r="Y19" s="128"/>
      <c r="Z19" s="128"/>
      <c r="AA19" s="128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8"/>
      <c r="V20" s="128"/>
      <c r="W20" s="128"/>
      <c r="X20" s="128"/>
      <c r="Y20" s="128"/>
      <c r="Z20" s="128"/>
      <c r="AA20" s="128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8"/>
      <c r="V21" s="128"/>
      <c r="W21" s="128"/>
      <c r="X21" s="128"/>
      <c r="Y21" s="128"/>
      <c r="Z21" s="128"/>
      <c r="AA21" s="128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8"/>
      <c r="V22" s="128"/>
      <c r="W22" s="128"/>
      <c r="X22" s="128"/>
      <c r="Y22" s="128"/>
      <c r="Z22" s="128"/>
      <c r="AA22" s="128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8"/>
      <c r="V23" s="128"/>
      <c r="W23" s="128"/>
      <c r="X23" s="128"/>
      <c r="Y23" s="128"/>
      <c r="Z23" s="128"/>
      <c r="AA23" s="128"/>
      <c r="AB23" s="128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8"/>
      <c r="W24" s="128"/>
      <c r="X24" s="128"/>
      <c r="Y24" s="128"/>
      <c r="Z24" s="128"/>
      <c r="AA24" s="128"/>
      <c r="AB24" s="128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8"/>
      <c r="V25" s="128"/>
      <c r="W25" s="128"/>
      <c r="X25" s="128"/>
      <c r="Y25" s="128"/>
      <c r="Z25" s="128"/>
      <c r="AA25" s="128"/>
      <c r="AB25" s="128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8"/>
      <c r="V26" s="128"/>
      <c r="W26" s="128"/>
      <c r="X26" s="128"/>
      <c r="Y26" s="128"/>
      <c r="Z26" s="128"/>
      <c r="AA26" s="128"/>
      <c r="AB26" s="128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8"/>
      <c r="V27" s="128"/>
      <c r="W27" s="128"/>
      <c r="X27" s="128"/>
      <c r="Y27" s="128"/>
      <c r="Z27" s="128"/>
      <c r="AA27" s="128"/>
      <c r="AB27" s="128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8"/>
      <c r="V28" s="128"/>
      <c r="W28" s="128"/>
      <c r="X28" s="128"/>
      <c r="Y28" s="128"/>
      <c r="Z28" s="128"/>
      <c r="AA28" s="128"/>
      <c r="AB28" s="128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439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8"/>
      <c r="V29" s="128"/>
      <c r="W29" s="128"/>
      <c r="X29" s="128"/>
      <c r="Y29" s="128"/>
      <c r="Z29" s="128"/>
      <c r="AA29" s="128"/>
      <c r="AB29" s="128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8"/>
      <c r="V30" s="128"/>
      <c r="W30" s="128"/>
      <c r="X30" s="128"/>
      <c r="Y30" s="128"/>
      <c r="Z30" s="128"/>
      <c r="AA30" s="128"/>
      <c r="AB30" s="128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0</v>
      </c>
      <c r="U31" s="128"/>
      <c r="V31" s="128"/>
      <c r="W31" s="128"/>
      <c r="X31" s="128"/>
      <c r="Y31" s="128"/>
      <c r="Z31" s="128"/>
      <c r="AA31" s="128"/>
      <c r="AB31" s="128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8"/>
      <c r="V32" s="128"/>
      <c r="W32" s="128"/>
      <c r="X32" s="128"/>
      <c r="Y32" s="128"/>
      <c r="Z32" s="128"/>
      <c r="AA32" s="128"/>
      <c r="AB32" s="128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8"/>
      <c r="V33" s="128"/>
      <c r="W33" s="128"/>
      <c r="X33" s="128"/>
      <c r="Y33" s="128"/>
      <c r="Z33" s="128"/>
      <c r="AA33" s="128"/>
      <c r="AB33" s="128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40" si="10">IFERROR(VLOOKUP(P34,$A$4:$L$1048576,12,0),"")</f>
        <v>ADD (register) with Aux Carry</v>
      </c>
      <c r="R34" s="40">
        <v>0</v>
      </c>
      <c r="U34" s="128"/>
      <c r="V34" s="128"/>
      <c r="W34" s="128"/>
      <c r="X34" s="128"/>
      <c r="Y34" s="128"/>
      <c r="Z34" s="128"/>
      <c r="AA34" s="128"/>
      <c r="AB34" s="128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439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399</v>
      </c>
      <c r="Q40" s="40" t="str">
        <f t="shared" si="10"/>
        <v>ADC r (with carry-in)</v>
      </c>
      <c r="R40" s="40">
        <v>0</v>
      </c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 t="str">
        <f t="shared" ref="Q41" si="13">IFERROR(VLOOKUP(P41,$A$4:$L$1048576,12,0),"")</f>
        <v>ACI imm (with carry-in)</v>
      </c>
      <c r="R41" s="40">
        <v>0</v>
      </c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 t="str">
        <f t="shared" ref="Q42" si="14">IFERROR(VLOOKUP(P42,$A$4:$L$1048576,12,0),"")</f>
        <v>SUB r (AC borrow)</v>
      </c>
      <c r="R42" s="40">
        <v>0</v>
      </c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 t="str">
        <f t="shared" ref="Q43" si="15">IFERROR(VLOOKUP(P43,$A$4:$L$1048576,12,0),"")</f>
        <v>SUI imm (borrow -&gt; CY=1)</v>
      </c>
      <c r="R43" s="40">
        <v>0</v>
      </c>
    </row>
    <row r="44" spans="1:28">
      <c r="B44" s="6" t="str">
        <f t="shared" ref="B44:B47" si="16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  <c r="P44" s="6" t="s">
        <v>451</v>
      </c>
      <c r="Q44" s="40" t="str">
        <f t="shared" ref="Q44:Q52" si="17">IFERROR(VLOOKUP(P44,$A$4:$L$1048576,12,0),"")</f>
        <v/>
      </c>
      <c r="R44" s="40">
        <v>0</v>
      </c>
    </row>
    <row r="45" spans="1:28">
      <c r="B45" s="6" t="str">
        <f t="shared" si="16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  <c r="P45" s="6" t="s">
        <v>452</v>
      </c>
      <c r="Q45" s="40" t="str">
        <f t="shared" si="17"/>
        <v/>
      </c>
      <c r="R45" s="40">
        <v>0</v>
      </c>
    </row>
    <row r="46" spans="1:28">
      <c r="B46" s="6" t="str">
        <f t="shared" si="16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  <c r="P46" s="6" t="s">
        <v>453</v>
      </c>
      <c r="Q46" s="40" t="str">
        <f t="shared" si="17"/>
        <v/>
      </c>
      <c r="R46" s="40">
        <v>0</v>
      </c>
    </row>
    <row r="47" spans="1:28">
      <c r="B47" s="6" t="str">
        <f t="shared" si="16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  <c r="P47" s="6" t="s">
        <v>454</v>
      </c>
      <c r="Q47" s="40" t="str">
        <f t="shared" si="17"/>
        <v/>
      </c>
      <c r="R47" s="40">
        <v>0</v>
      </c>
    </row>
    <row r="48" spans="1:28" ht="15.75" thickBot="1">
      <c r="H48" s="52"/>
      <c r="I48" s="52"/>
      <c r="J48" s="52"/>
      <c r="K48" s="52"/>
      <c r="P48" s="6" t="s">
        <v>455</v>
      </c>
      <c r="Q48" s="40" t="str">
        <f t="shared" si="17"/>
        <v/>
      </c>
      <c r="R48" s="40">
        <v>0</v>
      </c>
    </row>
    <row r="49" spans="1:18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439</v>
      </c>
      <c r="L49" s="70" t="s">
        <v>263</v>
      </c>
      <c r="M49" s="20">
        <f>IFERROR(VLOOKUP(A49,$P$6:$R$1048576,3,0),0)</f>
        <v>0</v>
      </c>
      <c r="P49" s="6" t="s">
        <v>456</v>
      </c>
      <c r="Q49" s="40" t="str">
        <f t="shared" si="17"/>
        <v/>
      </c>
      <c r="R49" s="40">
        <v>0</v>
      </c>
    </row>
    <row r="50" spans="1:18">
      <c r="B50" s="40" t="str">
        <f t="shared" ref="B50:B51" si="18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  <c r="P50" s="6" t="s">
        <v>457</v>
      </c>
      <c r="Q50" s="40" t="str">
        <f t="shared" si="17"/>
        <v/>
      </c>
      <c r="R50" s="40">
        <v>0</v>
      </c>
    </row>
    <row r="51" spans="1:18">
      <c r="B51" s="6" t="str">
        <f t="shared" si="18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  <c r="P51" s="6" t="s">
        <v>458</v>
      </c>
      <c r="Q51" s="40" t="str">
        <f t="shared" si="17"/>
        <v/>
      </c>
      <c r="R51" s="40">
        <v>0</v>
      </c>
    </row>
    <row r="52" spans="1:18">
      <c r="B52" s="6" t="str">
        <f t="shared" ref="B52:B55" si="19">DEC2HEX(C52)</f>
        <v>2</v>
      </c>
      <c r="C52" s="6">
        <f t="shared" ref="C52:C55" si="20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  <c r="P52" s="6" t="s">
        <v>459</v>
      </c>
      <c r="Q52" s="40" t="str">
        <f t="shared" si="17"/>
        <v/>
      </c>
      <c r="R52" s="40">
        <v>0</v>
      </c>
    </row>
    <row r="53" spans="1:18">
      <c r="B53" s="6" t="str">
        <f t="shared" si="19"/>
        <v>3</v>
      </c>
      <c r="C53" s="6">
        <f t="shared" si="20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8">
      <c r="B54" s="6" t="str">
        <f t="shared" si="19"/>
        <v>4</v>
      </c>
      <c r="C54" s="6">
        <f t="shared" si="20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8">
      <c r="B55" s="6" t="str">
        <f t="shared" si="19"/>
        <v>5</v>
      </c>
      <c r="C55" s="6">
        <f t="shared" si="20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8" ht="15.75" thickBot="1"/>
    <row r="57" spans="1:18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439</v>
      </c>
      <c r="L57" s="70" t="s">
        <v>264</v>
      </c>
      <c r="M57" s="20">
        <f>IFERROR(VLOOKUP(A57,$P$6:$R$1048576,3,0),0)</f>
        <v>0</v>
      </c>
    </row>
    <row r="58" spans="1:18">
      <c r="B58" s="40" t="str">
        <f t="shared" ref="B58:B60" si="21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8">
      <c r="B59" s="6" t="str">
        <f t="shared" si="21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8">
      <c r="B60" s="6" t="str">
        <f t="shared" si="21"/>
        <v>2</v>
      </c>
      <c r="C60" s="6">
        <f t="shared" ref="C60" si="22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8">
      <c r="B61" s="6" t="str">
        <f t="shared" ref="B61:B64" si="23">DEC2HEX(C61)</f>
        <v>3</v>
      </c>
      <c r="C61" s="6">
        <f t="shared" ref="C61:C64" si="24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8">
      <c r="B62" s="6" t="str">
        <f t="shared" si="23"/>
        <v>4</v>
      </c>
      <c r="C62" s="6">
        <f t="shared" si="24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8">
      <c r="B63" s="6" t="str">
        <f t="shared" si="23"/>
        <v>5</v>
      </c>
      <c r="C63" s="6">
        <f t="shared" si="24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8">
      <c r="B64" s="6" t="str">
        <f t="shared" si="23"/>
        <v>6</v>
      </c>
      <c r="C64" s="6">
        <f t="shared" si="24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439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5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5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5"/>
        <v>2</v>
      </c>
      <c r="C69" s="6">
        <f t="shared" ref="C69" si="26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7">DEC2HEX(C70)</f>
        <v>3</v>
      </c>
      <c r="C70" s="6">
        <f t="shared" ref="C70:C72" si="28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7"/>
        <v>4</v>
      </c>
      <c r="C71" s="6">
        <f t="shared" si="28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7"/>
        <v>5</v>
      </c>
      <c r="C72" s="6">
        <f t="shared" si="28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439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9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9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9"/>
        <v>2</v>
      </c>
      <c r="C77" s="6">
        <f t="shared" ref="C77" si="30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31">DEC2HEX(C78)</f>
        <v>3</v>
      </c>
      <c r="C78" s="6">
        <f t="shared" ref="C78:C81" si="32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31"/>
        <v>4</v>
      </c>
      <c r="C79" s="6">
        <f t="shared" si="32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31"/>
        <v>5</v>
      </c>
      <c r="C80" s="6">
        <f t="shared" si="32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31"/>
        <v>6</v>
      </c>
      <c r="C81" s="6">
        <f t="shared" si="32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439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33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33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33"/>
        <v>2</v>
      </c>
      <c r="C86" s="6">
        <f t="shared" ref="C86" si="34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5">DEC2HEX(C87)</f>
        <v>3</v>
      </c>
      <c r="C87" s="6">
        <f t="shared" ref="C87:C95" si="36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5"/>
        <v>4</v>
      </c>
      <c r="C88" s="6">
        <f t="shared" si="36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5"/>
        <v>5</v>
      </c>
      <c r="C89" s="6">
        <f t="shared" si="36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5"/>
        <v>6</v>
      </c>
      <c r="C90" s="6">
        <f t="shared" si="36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5"/>
        <v>7</v>
      </c>
      <c r="C91" s="6">
        <f t="shared" si="36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5"/>
        <v>8</v>
      </c>
      <c r="C92" s="6">
        <f t="shared" si="36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5"/>
        <v>9</v>
      </c>
      <c r="C93" s="6">
        <f t="shared" si="36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5"/>
        <v>A</v>
      </c>
      <c r="C94" s="6">
        <f t="shared" si="36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5"/>
        <v>B</v>
      </c>
      <c r="C95" s="6">
        <f t="shared" si="36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0" t="s">
        <v>439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7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7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7"/>
        <v>2</v>
      </c>
      <c r="C100" s="6">
        <f t="shared" ref="C100:C111" si="38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7"/>
        <v>3</v>
      </c>
      <c r="C101" s="6">
        <f t="shared" si="38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7"/>
        <v>4</v>
      </c>
      <c r="C102" s="6">
        <f t="shared" si="38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7"/>
        <v>5</v>
      </c>
      <c r="C103" s="6">
        <f t="shared" si="38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439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9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9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9"/>
        <v>2</v>
      </c>
      <c r="C108" s="6">
        <f t="shared" si="38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9"/>
        <v>3</v>
      </c>
      <c r="C109" s="6">
        <f t="shared" si="38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9"/>
        <v>4</v>
      </c>
      <c r="C110" s="6">
        <f t="shared" si="38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9"/>
        <v>5</v>
      </c>
      <c r="C111" s="6">
        <f t="shared" si="38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9" t="s">
        <v>444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40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40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40"/>
        <v>2</v>
      </c>
      <c r="C116" s="40">
        <f t="shared" ref="C116:C123" si="41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40"/>
        <v>3</v>
      </c>
      <c r="C117" s="40">
        <f t="shared" si="41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40"/>
        <v>4</v>
      </c>
      <c r="C118" s="40">
        <f t="shared" si="41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40"/>
        <v>5</v>
      </c>
      <c r="C119" s="40">
        <f t="shared" si="41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42">DEC2HEX(C120)</f>
        <v>6</v>
      </c>
      <c r="C120" s="40">
        <f t="shared" si="41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42"/>
        <v>7</v>
      </c>
      <c r="C121" s="40">
        <f t="shared" si="41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42"/>
        <v>8</v>
      </c>
      <c r="C122" s="40">
        <f t="shared" si="41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42"/>
        <v>9</v>
      </c>
      <c r="C123" s="40">
        <f t="shared" si="41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439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43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43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43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43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43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43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4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43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439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5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5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5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5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5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5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5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5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5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5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5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439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6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6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6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6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6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6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6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6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6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6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6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6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6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439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7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7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7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7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7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7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7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7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7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439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8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8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8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8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8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8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8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8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439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9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9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9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9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9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9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9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9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439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50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50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50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50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50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50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50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50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439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51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51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51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51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51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439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52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52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52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52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52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52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52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52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52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52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52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439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53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53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53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53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53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53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53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53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439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4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4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4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4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4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4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4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4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4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4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4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0" t="s">
        <v>439</v>
      </c>
      <c r="L253" s="70" t="s">
        <v>374</v>
      </c>
      <c r="M253" s="20">
        <f>IFERROR(VLOOKUP(A253,$P$6:$R$1048576,3,0),0)</f>
        <v>0</v>
      </c>
    </row>
    <row r="254" spans="1:13">
      <c r="B254" s="40" t="str">
        <f t="shared" ref="B254:B257" si="55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5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5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5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0" t="s">
        <v>439</v>
      </c>
      <c r="L259" s="70" t="s">
        <v>386</v>
      </c>
      <c r="M259" s="20">
        <f>IFERROR(VLOOKUP(A259,$P$6:$R$1048576,3,0),0)</f>
        <v>0</v>
      </c>
    </row>
    <row r="260" spans="1:13">
      <c r="B260" s="40" t="str">
        <f t="shared" ref="B260:B263" si="56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6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6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6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439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7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7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7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7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439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8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8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8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8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439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9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9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9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9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9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9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9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439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60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60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60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60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60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60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60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439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61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61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61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61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61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61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61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439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62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62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62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62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62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62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62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439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63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63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63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63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63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63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63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439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4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4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4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4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4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4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4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  <row r="334" spans="1:18" ht="15.75" thickBot="1"/>
    <row r="335" spans="1:18" ht="15.75" thickBot="1">
      <c r="A335" s="20" t="s">
        <v>399</v>
      </c>
      <c r="B335" s="41" t="s">
        <v>143</v>
      </c>
      <c r="C335" s="41" t="s">
        <v>144</v>
      </c>
      <c r="D335" s="54" t="s">
        <v>131</v>
      </c>
      <c r="E335" s="42" t="s">
        <v>150</v>
      </c>
      <c r="F335" s="54" t="s">
        <v>129</v>
      </c>
      <c r="G335" s="54" t="s">
        <v>130</v>
      </c>
      <c r="H335" s="54" t="s">
        <v>254</v>
      </c>
      <c r="I335" s="80" t="s">
        <v>213</v>
      </c>
      <c r="J335" s="53">
        <f ca="1">IFERROR(IF(AND(J336:J341),0,1),0)</f>
        <v>1</v>
      </c>
      <c r="K335" s="120" t="s">
        <v>439</v>
      </c>
      <c r="L335" s="70" t="s">
        <v>440</v>
      </c>
      <c r="M335" s="20">
        <f>IFERROR(VLOOKUP(A335,$P$6:$R$1048576,3,0),0)</f>
        <v>0</v>
      </c>
    </row>
    <row r="336" spans="1:18">
      <c r="B336" s="40" t="str">
        <f t="shared" ref="B336:B342" si="65">DEC2HEX(C336)</f>
        <v>0</v>
      </c>
      <c r="C336" s="40">
        <v>0</v>
      </c>
      <c r="D336" s="101"/>
      <c r="E336" s="102" t="s">
        <v>149</v>
      </c>
      <c r="F336" s="103" t="s">
        <v>154</v>
      </c>
      <c r="G336" s="104" t="s">
        <v>441</v>
      </c>
      <c r="H336" s="55" t="s">
        <v>154</v>
      </c>
      <c r="I336" s="86" t="s">
        <v>223</v>
      </c>
      <c r="J336" s="94" t="b" cm="1">
        <f t="array" aca="1" ref="J336" ca="1">RIGHT("00"&amp;INDIRECT("R_"&amp;H336),2)=RIGHT("00"&amp;I336,2)</f>
        <v>1</v>
      </c>
      <c r="K336" s="55"/>
      <c r="L336" s="40"/>
      <c r="M336" s="40"/>
    </row>
    <row r="337" spans="1:13">
      <c r="B337" s="40" t="str">
        <f t="shared" si="65"/>
        <v>1</v>
      </c>
      <c r="C337" s="40">
        <v>1</v>
      </c>
      <c r="D337" s="101"/>
      <c r="E337" s="102" t="s">
        <v>149</v>
      </c>
      <c r="F337" s="103" t="s">
        <v>152</v>
      </c>
      <c r="G337" s="104" t="s">
        <v>306</v>
      </c>
      <c r="H337" s="55"/>
      <c r="I337" s="55"/>
      <c r="J337" s="55"/>
      <c r="K337" s="55"/>
      <c r="L337" s="40"/>
      <c r="M337" s="40"/>
    </row>
    <row r="338" spans="1:13">
      <c r="B338" s="40" t="str">
        <f t="shared" si="65"/>
        <v>2</v>
      </c>
      <c r="C338" s="40">
        <v>2</v>
      </c>
      <c r="D338" s="101"/>
      <c r="E338" s="102" t="s">
        <v>72</v>
      </c>
      <c r="F338" s="103"/>
      <c r="G338" s="104"/>
      <c r="H338" s="55" t="s">
        <v>116</v>
      </c>
      <c r="I338" s="86">
        <v>1</v>
      </c>
      <c r="J338" s="96" t="b" cm="1">
        <f t="array" aca="1" ref="J338" ca="1">INDIRECT(H338)=I338</f>
        <v>0</v>
      </c>
      <c r="K338" s="55"/>
      <c r="L338" s="40"/>
      <c r="M338" s="40"/>
    </row>
    <row r="339" spans="1:13">
      <c r="B339" s="40" t="str">
        <f t="shared" si="65"/>
        <v>3</v>
      </c>
      <c r="C339" s="40">
        <v>3</v>
      </c>
      <c r="D339" s="101"/>
      <c r="E339" s="102" t="s">
        <v>442</v>
      </c>
      <c r="F339" s="103" t="s">
        <v>152</v>
      </c>
      <c r="G339" s="104"/>
      <c r="H339" s="86" t="s">
        <v>120</v>
      </c>
      <c r="I339" s="86">
        <v>0</v>
      </c>
      <c r="J339" s="96" t="b" cm="1">
        <f t="array" aca="1" ref="J339" ca="1">INDIRECT(H339)=I339</f>
        <v>1</v>
      </c>
      <c r="K339" s="55"/>
      <c r="L339" s="40"/>
      <c r="M339" s="40"/>
    </row>
    <row r="340" spans="1:13">
      <c r="B340" s="40" t="str">
        <f t="shared" si="65"/>
        <v>4</v>
      </c>
      <c r="C340" s="40">
        <v>4</v>
      </c>
      <c r="D340" s="101"/>
      <c r="E340" s="102"/>
      <c r="F340" s="103"/>
      <c r="G340" s="104"/>
      <c r="H340" s="86" t="s">
        <v>119</v>
      </c>
      <c r="I340" s="86">
        <v>1</v>
      </c>
      <c r="J340" s="96" t="b" cm="1">
        <f t="array" aca="1" ref="J340" ca="1">INDIRECT(H340)=I340</f>
        <v>0</v>
      </c>
      <c r="K340" s="55"/>
      <c r="L340" s="40"/>
      <c r="M340" s="40"/>
    </row>
    <row r="341" spans="1:13">
      <c r="B341" s="40" t="str">
        <f t="shared" si="65"/>
        <v>5</v>
      </c>
      <c r="C341" s="40">
        <v>5</v>
      </c>
      <c r="D341" s="101"/>
      <c r="E341" s="102"/>
      <c r="F341" s="103"/>
      <c r="G341" s="104"/>
      <c r="H341" s="86" t="s">
        <v>115</v>
      </c>
      <c r="I341" s="86">
        <v>1</v>
      </c>
      <c r="J341" s="96" t="b" cm="1">
        <f t="array" aca="1" ref="J341" ca="1">INDIRECT(H341)=I341</f>
        <v>0</v>
      </c>
      <c r="K341" s="55"/>
      <c r="L341" s="40"/>
      <c r="M341" s="40"/>
    </row>
    <row r="342" spans="1:13">
      <c r="B342" s="40" t="str">
        <f t="shared" si="65"/>
        <v>6</v>
      </c>
      <c r="C342" s="40">
        <v>6</v>
      </c>
      <c r="D342" s="101"/>
      <c r="E342" s="102" t="s">
        <v>192</v>
      </c>
      <c r="F342" s="103"/>
      <c r="G342" s="104"/>
      <c r="H342" s="86" t="s">
        <v>128</v>
      </c>
      <c r="I342" s="86">
        <v>1</v>
      </c>
      <c r="J342" s="96" t="b" cm="1">
        <f t="array" aca="1" ref="J342" ca="1">INDIRECT(H342)=I342</f>
        <v>0</v>
      </c>
      <c r="K342" s="55"/>
      <c r="L342" s="40"/>
      <c r="M342" s="40"/>
    </row>
    <row r="343" spans="1:13" ht="15.75" thickBot="1"/>
    <row r="344" spans="1:13" ht="15.75" thickBot="1">
      <c r="A344" s="20" t="s">
        <v>400</v>
      </c>
      <c r="B344" s="41" t="s">
        <v>143</v>
      </c>
      <c r="C344" s="41" t="s">
        <v>144</v>
      </c>
      <c r="D344" s="54" t="s">
        <v>131</v>
      </c>
      <c r="E344" s="42" t="s">
        <v>150</v>
      </c>
      <c r="F344" s="54" t="s">
        <v>129</v>
      </c>
      <c r="G344" s="54" t="s">
        <v>130</v>
      </c>
      <c r="H344" s="54" t="s">
        <v>254</v>
      </c>
      <c r="I344" s="80" t="s">
        <v>213</v>
      </c>
      <c r="J344" s="53">
        <f ca="1">IFERROR(IF(AND(J345:J350),0,1),0)</f>
        <v>1</v>
      </c>
      <c r="K344" s="120" t="s">
        <v>439</v>
      </c>
      <c r="L344" s="70" t="s">
        <v>445</v>
      </c>
      <c r="M344" s="20">
        <f>IFERROR(VLOOKUP(A344,$P$6:$R$1048576,3,0),0)</f>
        <v>0</v>
      </c>
    </row>
    <row r="345" spans="1:13">
      <c r="B345" s="40" t="str">
        <f t="shared" ref="B345:B351" si="66">DEC2HEX(C345)</f>
        <v>0</v>
      </c>
      <c r="C345" s="40">
        <v>0</v>
      </c>
      <c r="D345" s="101"/>
      <c r="E345" s="102" t="s">
        <v>149</v>
      </c>
      <c r="F345" s="103" t="s">
        <v>154</v>
      </c>
      <c r="G345" s="104" t="s">
        <v>272</v>
      </c>
      <c r="H345" s="55" t="s">
        <v>154</v>
      </c>
      <c r="I345" s="86" t="s">
        <v>209</v>
      </c>
      <c r="J345" s="94" t="b" cm="1">
        <f t="array" aca="1" ref="J345" ca="1">RIGHT("00"&amp;INDIRECT("R_"&amp;H345),2)=RIGHT("00"&amp;I345,2)</f>
        <v>0</v>
      </c>
      <c r="K345" s="55"/>
      <c r="L345" s="40"/>
      <c r="M345" s="40"/>
    </row>
    <row r="346" spans="1:13">
      <c r="B346" s="40" t="str">
        <f t="shared" si="66"/>
        <v>1</v>
      </c>
      <c r="C346" s="40">
        <v>1</v>
      </c>
      <c r="D346" s="101"/>
      <c r="E346" s="102" t="s">
        <v>72</v>
      </c>
      <c r="F346" s="103"/>
      <c r="G346" s="104"/>
      <c r="H346" s="55"/>
      <c r="I346" s="55"/>
      <c r="J346" s="55"/>
      <c r="K346" s="55"/>
      <c r="L346" s="40"/>
      <c r="M346" s="40"/>
    </row>
    <row r="347" spans="1:13">
      <c r="B347" s="40" t="str">
        <f t="shared" si="66"/>
        <v>2</v>
      </c>
      <c r="C347" s="40">
        <v>2</v>
      </c>
      <c r="D347" s="101"/>
      <c r="E347" s="102" t="s">
        <v>446</v>
      </c>
      <c r="F347" s="103" t="s">
        <v>306</v>
      </c>
      <c r="G347" s="104"/>
      <c r="H347" s="55" t="s">
        <v>116</v>
      </c>
      <c r="I347" s="86">
        <v>1</v>
      </c>
      <c r="J347" s="96" t="b" cm="1">
        <f t="array" aca="1" ref="J347" ca="1">INDIRECT(H347)=I347</f>
        <v>0</v>
      </c>
      <c r="K347" s="55"/>
      <c r="L347" s="40"/>
      <c r="M347" s="40"/>
    </row>
    <row r="348" spans="1:13">
      <c r="B348" s="40" t="str">
        <f t="shared" si="66"/>
        <v>3</v>
      </c>
      <c r="C348" s="40">
        <v>3</v>
      </c>
      <c r="D348" s="101"/>
      <c r="E348" s="102"/>
      <c r="F348" s="103"/>
      <c r="G348" s="104"/>
      <c r="H348" s="86" t="s">
        <v>120</v>
      </c>
      <c r="I348" s="86">
        <v>0</v>
      </c>
      <c r="J348" s="96" t="b" cm="1">
        <f t="array" aca="1" ref="J348" ca="1">INDIRECT(H348)=I348</f>
        <v>1</v>
      </c>
      <c r="K348" s="55"/>
      <c r="L348" s="40"/>
      <c r="M348" s="40"/>
    </row>
    <row r="349" spans="1:13">
      <c r="B349" s="40" t="str">
        <f t="shared" si="66"/>
        <v>4</v>
      </c>
      <c r="C349" s="40">
        <v>4</v>
      </c>
      <c r="D349" s="101"/>
      <c r="E349" s="102"/>
      <c r="F349" s="103"/>
      <c r="G349" s="104"/>
      <c r="H349" s="86" t="s">
        <v>119</v>
      </c>
      <c r="I349" s="86">
        <v>0</v>
      </c>
      <c r="J349" s="96" t="b" cm="1">
        <f t="array" aca="1" ref="J349" ca="1">INDIRECT(H349)=I349</f>
        <v>1</v>
      </c>
      <c r="K349" s="55"/>
      <c r="L349" s="40"/>
      <c r="M349" s="40"/>
    </row>
    <row r="350" spans="1:13">
      <c r="B350" s="40" t="str">
        <f t="shared" si="66"/>
        <v>5</v>
      </c>
      <c r="C350" s="40">
        <v>5</v>
      </c>
      <c r="D350" s="101"/>
      <c r="E350" s="102"/>
      <c r="F350" s="103"/>
      <c r="G350" s="104"/>
      <c r="H350" s="86" t="s">
        <v>115</v>
      </c>
      <c r="I350" s="86">
        <v>0</v>
      </c>
      <c r="J350" s="96" t="b" cm="1">
        <f t="array" aca="1" ref="J350" ca="1">INDIRECT(H350)=I350</f>
        <v>1</v>
      </c>
      <c r="K350" s="55"/>
      <c r="L350" s="40"/>
      <c r="M350" s="40"/>
    </row>
    <row r="351" spans="1:13">
      <c r="B351" s="40" t="str">
        <f t="shared" si="66"/>
        <v>6</v>
      </c>
      <c r="C351" s="40">
        <v>6</v>
      </c>
      <c r="D351" s="101"/>
      <c r="E351" s="102" t="s">
        <v>192</v>
      </c>
      <c r="F351" s="103"/>
      <c r="G351" s="104"/>
      <c r="H351" s="86" t="s">
        <v>128</v>
      </c>
      <c r="I351" s="86">
        <v>1</v>
      </c>
      <c r="J351" s="96" t="b" cm="1">
        <f t="array" aca="1" ref="J351" ca="1">INDIRECT(H351)=I351</f>
        <v>0</v>
      </c>
      <c r="K351" s="55"/>
      <c r="L351" s="40"/>
      <c r="M351" s="40"/>
    </row>
    <row r="352" spans="1:13" ht="15.75" thickBot="1"/>
    <row r="353" spans="1:13" ht="15.75" thickBot="1">
      <c r="A353" s="20" t="s">
        <v>401</v>
      </c>
      <c r="B353" s="41" t="s">
        <v>143</v>
      </c>
      <c r="C353" s="41" t="s">
        <v>144</v>
      </c>
      <c r="D353" s="54" t="s">
        <v>131</v>
      </c>
      <c r="E353" s="42" t="s">
        <v>150</v>
      </c>
      <c r="F353" s="54" t="s">
        <v>129</v>
      </c>
      <c r="G353" s="54" t="s">
        <v>130</v>
      </c>
      <c r="H353" s="54" t="s">
        <v>254</v>
      </c>
      <c r="I353" s="80" t="s">
        <v>213</v>
      </c>
      <c r="J353" s="53">
        <f ca="1">IFERROR(IF(AND(J354:J359),0,1),0)</f>
        <v>1</v>
      </c>
      <c r="K353" s="120" t="s">
        <v>439</v>
      </c>
      <c r="L353" s="70" t="s">
        <v>447</v>
      </c>
      <c r="M353" s="20">
        <f>IFERROR(VLOOKUP(A353,$P$6:$R$1048576,3,0),0)</f>
        <v>0</v>
      </c>
    </row>
    <row r="354" spans="1:13">
      <c r="B354" s="40" t="str">
        <f t="shared" ref="B354:B360" si="67">DEC2HEX(C354)</f>
        <v>0</v>
      </c>
      <c r="C354" s="40">
        <v>0</v>
      </c>
      <c r="D354" s="101"/>
      <c r="E354" s="102" t="s">
        <v>149</v>
      </c>
      <c r="F354" s="103" t="s">
        <v>154</v>
      </c>
      <c r="G354" s="104" t="s">
        <v>239</v>
      </c>
      <c r="H354" s="55" t="s">
        <v>154</v>
      </c>
      <c r="I354" s="86" t="s">
        <v>272</v>
      </c>
      <c r="J354" s="94" t="b" cm="1">
        <f t="array" aca="1" ref="J354" ca="1">RIGHT("00"&amp;INDIRECT("R_"&amp;H354),2)=RIGHT("00"&amp;I354,2)</f>
        <v>0</v>
      </c>
      <c r="K354" s="55"/>
      <c r="L354" s="40"/>
      <c r="M354" s="40"/>
    </row>
    <row r="355" spans="1:13">
      <c r="B355" s="40" t="str">
        <f t="shared" si="67"/>
        <v>1</v>
      </c>
      <c r="C355" s="40">
        <v>1</v>
      </c>
      <c r="D355" s="101"/>
      <c r="E355" s="102" t="s">
        <v>149</v>
      </c>
      <c r="F355" s="103" t="s">
        <v>152</v>
      </c>
      <c r="G355" s="104" t="s">
        <v>306</v>
      </c>
      <c r="H355" s="55"/>
      <c r="I355" s="55"/>
      <c r="J355" s="55"/>
      <c r="K355" s="55"/>
      <c r="L355" s="40"/>
      <c r="M355" s="40"/>
    </row>
    <row r="356" spans="1:13">
      <c r="B356" s="40" t="str">
        <f t="shared" si="67"/>
        <v>2</v>
      </c>
      <c r="C356" s="40">
        <v>2</v>
      </c>
      <c r="D356" s="101"/>
      <c r="E356" s="102" t="s">
        <v>448</v>
      </c>
      <c r="F356" s="103" t="s">
        <v>152</v>
      </c>
      <c r="G356" s="104"/>
      <c r="H356" s="55" t="s">
        <v>116</v>
      </c>
      <c r="I356" s="86">
        <v>1</v>
      </c>
      <c r="J356" s="96" t="b" cm="1">
        <f t="array" aca="1" ref="J356" ca="1">INDIRECT(H356)=I356</f>
        <v>0</v>
      </c>
      <c r="K356" s="55"/>
      <c r="L356" s="40"/>
      <c r="M356" s="40"/>
    </row>
    <row r="357" spans="1:13">
      <c r="B357" s="40" t="str">
        <f t="shared" si="67"/>
        <v>3</v>
      </c>
      <c r="C357" s="40">
        <v>3</v>
      </c>
      <c r="D357" s="101"/>
      <c r="E357" s="102"/>
      <c r="F357" s="103"/>
      <c r="G357" s="104"/>
      <c r="H357" s="86" t="s">
        <v>120</v>
      </c>
      <c r="I357" s="86">
        <v>0</v>
      </c>
      <c r="J357" s="96" t="b" cm="1">
        <f t="array" aca="1" ref="J357" ca="1">INDIRECT(H357)=I357</f>
        <v>1</v>
      </c>
      <c r="K357" s="55"/>
      <c r="L357" s="40"/>
      <c r="M357" s="40"/>
    </row>
    <row r="358" spans="1:13">
      <c r="B358" s="40" t="str">
        <f t="shared" si="67"/>
        <v>4</v>
      </c>
      <c r="C358" s="40">
        <v>4</v>
      </c>
      <c r="D358" s="101"/>
      <c r="E358" s="102"/>
      <c r="F358" s="103"/>
      <c r="G358" s="104"/>
      <c r="H358" s="86" t="s">
        <v>119</v>
      </c>
      <c r="I358" s="86">
        <v>0</v>
      </c>
      <c r="J358" s="96" t="b" cm="1">
        <f t="array" aca="1" ref="J358" ca="1">INDIRECT(H358)=I358</f>
        <v>1</v>
      </c>
      <c r="K358" s="55"/>
      <c r="L358" s="40"/>
      <c r="M358" s="40"/>
    </row>
    <row r="359" spans="1:13">
      <c r="B359" s="40" t="str">
        <f t="shared" si="67"/>
        <v>5</v>
      </c>
      <c r="C359" s="40">
        <v>5</v>
      </c>
      <c r="D359" s="101"/>
      <c r="E359" s="102"/>
      <c r="F359" s="103"/>
      <c r="G359" s="104"/>
      <c r="H359" s="86" t="s">
        <v>115</v>
      </c>
      <c r="I359" s="86">
        <v>0</v>
      </c>
      <c r="J359" s="96" t="b" cm="1">
        <f t="array" aca="1" ref="J359" ca="1">INDIRECT(H359)=I359</f>
        <v>1</v>
      </c>
      <c r="K359" s="55"/>
      <c r="L359" s="40"/>
      <c r="M359" s="40"/>
    </row>
    <row r="360" spans="1:13">
      <c r="B360" s="40" t="str">
        <f t="shared" si="67"/>
        <v>6</v>
      </c>
      <c r="C360" s="40">
        <v>6</v>
      </c>
      <c r="D360" s="101"/>
      <c r="E360" s="102" t="s">
        <v>192</v>
      </c>
      <c r="F360" s="103"/>
      <c r="G360" s="104"/>
      <c r="H360" s="86" t="s">
        <v>128</v>
      </c>
      <c r="I360" s="86">
        <v>1</v>
      </c>
      <c r="J360" s="96" t="b" cm="1">
        <f t="array" aca="1" ref="J360" ca="1">INDIRECT(H360)=I360</f>
        <v>0</v>
      </c>
      <c r="K360" s="55"/>
      <c r="L360" s="40"/>
      <c r="M360" s="40"/>
    </row>
    <row r="361" spans="1:13" ht="15.75" thickBot="1"/>
    <row r="362" spans="1:13" ht="15.75" thickBot="1">
      <c r="A362" s="20" t="s">
        <v>402</v>
      </c>
      <c r="B362" s="41" t="s">
        <v>143</v>
      </c>
      <c r="C362" s="41" t="s">
        <v>144</v>
      </c>
      <c r="D362" s="54" t="s">
        <v>131</v>
      </c>
      <c r="E362" s="42" t="s">
        <v>150</v>
      </c>
      <c r="F362" s="54" t="s">
        <v>129</v>
      </c>
      <c r="G362" s="54" t="s">
        <v>130</v>
      </c>
      <c r="H362" s="54" t="s">
        <v>254</v>
      </c>
      <c r="I362" s="80" t="s">
        <v>213</v>
      </c>
      <c r="J362" s="53">
        <f ca="1">IFERROR(IF(AND(J363:J368),0,1),0)</f>
        <v>1</v>
      </c>
      <c r="K362" s="120" t="s">
        <v>439</v>
      </c>
      <c r="L362" s="70" t="s">
        <v>449</v>
      </c>
      <c r="M362" s="20">
        <f>IFERROR(VLOOKUP(A362,$P$6:$R$1048576,3,0),0)</f>
        <v>0</v>
      </c>
    </row>
    <row r="363" spans="1:13">
      <c r="B363" s="40" t="str">
        <f t="shared" ref="B363:B369" si="68">DEC2HEX(C363)</f>
        <v>0</v>
      </c>
      <c r="C363" s="40">
        <v>0</v>
      </c>
      <c r="D363" s="101"/>
      <c r="E363" s="102" t="s">
        <v>149</v>
      </c>
      <c r="F363" s="103" t="s">
        <v>154</v>
      </c>
      <c r="G363" s="104" t="s">
        <v>223</v>
      </c>
      <c r="H363" s="55" t="s">
        <v>154</v>
      </c>
      <c r="I363" s="86" t="s">
        <v>148</v>
      </c>
      <c r="J363" s="94" t="b" cm="1">
        <f t="array" aca="1" ref="J363" ca="1">RIGHT("00"&amp;INDIRECT("R_"&amp;H363),2)=RIGHT("00"&amp;I363,2)</f>
        <v>0</v>
      </c>
      <c r="K363" s="55"/>
      <c r="L363" s="40"/>
      <c r="M363" s="40"/>
    </row>
    <row r="364" spans="1:13">
      <c r="B364" s="40" t="str">
        <f t="shared" si="68"/>
        <v>1</v>
      </c>
      <c r="C364" s="40">
        <v>1</v>
      </c>
      <c r="D364" s="101"/>
      <c r="E364" s="102" t="s">
        <v>450</v>
      </c>
      <c r="F364" s="103" t="s">
        <v>306</v>
      </c>
      <c r="G364" s="104"/>
      <c r="H364" s="55"/>
      <c r="I364" s="55"/>
      <c r="J364" s="55"/>
      <c r="K364" s="55"/>
      <c r="L364" s="40"/>
      <c r="M364" s="40"/>
    </row>
    <row r="365" spans="1:13">
      <c r="B365" s="40" t="str">
        <f t="shared" si="68"/>
        <v>2</v>
      </c>
      <c r="C365" s="40">
        <v>2</v>
      </c>
      <c r="D365" s="101"/>
      <c r="E365" s="102"/>
      <c r="F365" s="103"/>
      <c r="G365" s="104"/>
      <c r="H365" s="55" t="s">
        <v>116</v>
      </c>
      <c r="I365" s="86">
        <v>1</v>
      </c>
      <c r="J365" s="96" t="b" cm="1">
        <f t="array" aca="1" ref="J365" ca="1">INDIRECT(H365)=I365</f>
        <v>0</v>
      </c>
      <c r="K365" s="55"/>
      <c r="L365" s="40"/>
      <c r="M365" s="40"/>
    </row>
    <row r="366" spans="1:13">
      <c r="B366" s="40" t="str">
        <f t="shared" si="68"/>
        <v>3</v>
      </c>
      <c r="C366" s="40">
        <v>3</v>
      </c>
      <c r="D366" s="101"/>
      <c r="E366" s="102"/>
      <c r="F366" s="103"/>
      <c r="G366" s="104"/>
      <c r="H366" s="86" t="s">
        <v>120</v>
      </c>
      <c r="I366" s="86">
        <v>1</v>
      </c>
      <c r="J366" s="96" t="b" cm="1">
        <f t="array" aca="1" ref="J366" ca="1">INDIRECT(H366)=I366</f>
        <v>0</v>
      </c>
      <c r="K366" s="55"/>
      <c r="L366" s="40"/>
      <c r="M366" s="40"/>
    </row>
    <row r="367" spans="1:13">
      <c r="B367" s="40" t="str">
        <f t="shared" si="68"/>
        <v>4</v>
      </c>
      <c r="C367" s="40">
        <v>4</v>
      </c>
      <c r="D367" s="101"/>
      <c r="E367" s="102"/>
      <c r="F367" s="103"/>
      <c r="G367" s="104"/>
      <c r="H367" s="86" t="s">
        <v>119</v>
      </c>
      <c r="I367" s="86">
        <v>0</v>
      </c>
      <c r="J367" s="96" t="b" cm="1">
        <f t="array" aca="1" ref="J367" ca="1">INDIRECT(H367)=I367</f>
        <v>1</v>
      </c>
      <c r="K367" s="55"/>
      <c r="L367" s="40"/>
      <c r="M367" s="40"/>
    </row>
    <row r="368" spans="1:13">
      <c r="B368" s="40" t="str">
        <f t="shared" si="68"/>
        <v>5</v>
      </c>
      <c r="C368" s="40">
        <v>5</v>
      </c>
      <c r="D368" s="101"/>
      <c r="E368" s="102" t="s">
        <v>192</v>
      </c>
      <c r="F368" s="103"/>
      <c r="G368" s="104"/>
      <c r="H368" s="86" t="s">
        <v>115</v>
      </c>
      <c r="I368" s="86">
        <v>1</v>
      </c>
      <c r="J368" s="96" t="b" cm="1">
        <f t="array" aca="1" ref="J368" ca="1">INDIRECT(H368)=I368</f>
        <v>0</v>
      </c>
      <c r="K368" s="55"/>
      <c r="L368" s="40"/>
      <c r="M368" s="40"/>
    </row>
    <row r="369" spans="2:13">
      <c r="B369" s="40" t="str">
        <f t="shared" si="68"/>
        <v>6</v>
      </c>
      <c r="C369" s="40">
        <v>6</v>
      </c>
      <c r="D369" s="101"/>
      <c r="E369" s="102"/>
      <c r="F369" s="103"/>
      <c r="G369" s="104"/>
      <c r="H369" s="86" t="s">
        <v>128</v>
      </c>
      <c r="I369" s="86">
        <v>1</v>
      </c>
      <c r="J369" s="96" t="b" cm="1">
        <f t="array" aca="1" ref="J369" ca="1">INDIRECT(H369)=I369</f>
        <v>0</v>
      </c>
      <c r="K369" s="55"/>
      <c r="L369" s="40"/>
      <c r="M369" s="40"/>
    </row>
  </sheetData>
  <mergeCells count="2">
    <mergeCell ref="U4:AB4"/>
    <mergeCell ref="U5:AB34"/>
  </mergeCells>
  <phoneticPr fontId="16" type="noConversion"/>
  <conditionalFormatting sqref="J4:K4">
    <cfRule type="cellIs" dxfId="219" priority="317" operator="equal">
      <formula>0</formula>
    </cfRule>
    <cfRule type="cellIs" dxfId="218" priority="318" operator="equal">
      <formula>1</formula>
    </cfRule>
  </conditionalFormatting>
  <conditionalFormatting sqref="J11:K11">
    <cfRule type="cellIs" dxfId="217" priority="315" operator="equal">
      <formula>0</formula>
    </cfRule>
    <cfRule type="cellIs" dxfId="216" priority="316" operator="equal">
      <formula>1</formula>
    </cfRule>
  </conditionalFormatting>
  <conditionalFormatting sqref="J16:K16">
    <cfRule type="cellIs" dxfId="215" priority="313" operator="equal">
      <formula>0</formula>
    </cfRule>
    <cfRule type="cellIs" dxfId="214" priority="314" operator="equal">
      <formula>1</formula>
    </cfRule>
  </conditionalFormatting>
  <conditionalFormatting sqref="J29:K29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M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J38:K38">
    <cfRule type="cellIs" dxfId="209" priority="297" operator="equal">
      <formula>0</formula>
    </cfRule>
    <cfRule type="cellIs" dxfId="208" priority="298" operator="equal">
      <formula>1</formula>
    </cfRule>
  </conditionalFormatting>
  <conditionalFormatting sqref="K49">
    <cfRule type="cellIs" dxfId="207" priority="293" operator="equal">
      <formula>0</formula>
    </cfRule>
    <cfRule type="cellIs" dxfId="206" priority="294" operator="equal">
      <formula>1</formula>
    </cfRule>
  </conditionalFormatting>
  <conditionalFormatting sqref="K66">
    <cfRule type="cellIs" dxfId="205" priority="285" operator="equal">
      <formula>0</formula>
    </cfRule>
    <cfRule type="cellIs" dxfId="204" priority="286" operator="equal">
      <formula>1</formula>
    </cfRule>
  </conditionalFormatting>
  <conditionalFormatting sqref="K57">
    <cfRule type="cellIs" dxfId="203" priority="281" operator="equal">
      <formula>0</formula>
    </cfRule>
    <cfRule type="cellIs" dxfId="202" priority="282" operator="equal">
      <formula>1</formula>
    </cfRule>
  </conditionalFormatting>
  <conditionalFormatting sqref="J49">
    <cfRule type="cellIs" dxfId="201" priority="277" operator="equal">
      <formula>0</formula>
    </cfRule>
    <cfRule type="cellIs" dxfId="200" priority="278" operator="equal">
      <formula>1</formula>
    </cfRule>
  </conditionalFormatting>
  <conditionalFormatting sqref="J57">
    <cfRule type="cellIs" dxfId="199" priority="275" operator="equal">
      <formula>0</formula>
    </cfRule>
    <cfRule type="cellIs" dxfId="198" priority="276" operator="equal">
      <formula>1</formula>
    </cfRule>
  </conditionalFormatting>
  <conditionalFormatting sqref="J66">
    <cfRule type="cellIs" dxfId="197" priority="273" operator="equal">
      <formula>0</formula>
    </cfRule>
    <cfRule type="cellIs" dxfId="196" priority="274" operator="equal">
      <formula>1</formula>
    </cfRule>
  </conditionalFormatting>
  <conditionalFormatting sqref="K74">
    <cfRule type="cellIs" dxfId="195" priority="271" operator="equal">
      <formula>0</formula>
    </cfRule>
    <cfRule type="cellIs" dxfId="194" priority="272" operator="equal">
      <formula>1</formula>
    </cfRule>
  </conditionalFormatting>
  <conditionalFormatting sqref="J74">
    <cfRule type="cellIs" dxfId="193" priority="267" operator="equal">
      <formula>0</formula>
    </cfRule>
    <cfRule type="cellIs" dxfId="192" priority="268" operator="equal">
      <formula>1</formula>
    </cfRule>
  </conditionalFormatting>
  <conditionalFormatting sqref="R6:R52">
    <cfRule type="cellIs" dxfId="191" priority="265" operator="equal">
      <formula>0</formula>
    </cfRule>
    <cfRule type="cellIs" dxfId="190" priority="266" operator="equal">
      <formula>1</formula>
    </cfRule>
  </conditionalFormatting>
  <conditionalFormatting sqref="K83">
    <cfRule type="cellIs" dxfId="189" priority="247" operator="equal">
      <formula>0</formula>
    </cfRule>
    <cfRule type="cellIs" dxfId="188" priority="248" operator="equal">
      <formula>1</formula>
    </cfRule>
  </conditionalFormatting>
  <conditionalFormatting sqref="J83">
    <cfRule type="cellIs" dxfId="187" priority="245" operator="equal">
      <formula>0</formula>
    </cfRule>
    <cfRule type="cellIs" dxfId="186" priority="246" operator="equal">
      <formula>1</formula>
    </cfRule>
  </conditionalFormatting>
  <conditionalFormatting sqref="K97">
    <cfRule type="cellIs" dxfId="185" priority="241" operator="equal">
      <formula>0</formula>
    </cfRule>
    <cfRule type="cellIs" dxfId="184" priority="242" operator="equal">
      <formula>1</formula>
    </cfRule>
  </conditionalFormatting>
  <conditionalFormatting sqref="J97">
    <cfRule type="cellIs" dxfId="183" priority="239" operator="equal">
      <formula>0</formula>
    </cfRule>
    <cfRule type="cellIs" dxfId="182" priority="240" operator="equal">
      <formula>1</formula>
    </cfRule>
  </conditionalFormatting>
  <conditionalFormatting sqref="K105">
    <cfRule type="cellIs" dxfId="181" priority="229" operator="equal">
      <formula>0</formula>
    </cfRule>
    <cfRule type="cellIs" dxfId="180" priority="230" operator="equal">
      <formula>1</formula>
    </cfRule>
  </conditionalFormatting>
  <conditionalFormatting sqref="J105">
    <cfRule type="cellIs" dxfId="179" priority="227" operator="equal">
      <formula>0</formula>
    </cfRule>
    <cfRule type="cellIs" dxfId="178" priority="228" operator="equal">
      <formula>1</formula>
    </cfRule>
  </conditionalFormatting>
  <conditionalFormatting sqref="K113">
    <cfRule type="cellIs" dxfId="177" priority="223" operator="equal">
      <formula>0</formula>
    </cfRule>
    <cfRule type="cellIs" dxfId="176" priority="224" operator="equal">
      <formula>1</formula>
    </cfRule>
  </conditionalFormatting>
  <conditionalFormatting sqref="M11">
    <cfRule type="cellIs" dxfId="175" priority="215" operator="equal">
      <formula>0</formula>
    </cfRule>
    <cfRule type="cellIs" dxfId="174" priority="216" operator="equal">
      <formula>1</formula>
    </cfRule>
  </conditionalFormatting>
  <conditionalFormatting sqref="M16">
    <cfRule type="cellIs" dxfId="173" priority="213" operator="equal">
      <formula>0</formula>
    </cfRule>
    <cfRule type="cellIs" dxfId="172" priority="214" operator="equal">
      <formula>1</formula>
    </cfRule>
  </conditionalFormatting>
  <conditionalFormatting sqref="M29">
    <cfRule type="cellIs" dxfId="171" priority="211" operator="equal">
      <formula>0</formula>
    </cfRule>
    <cfRule type="cellIs" dxfId="170" priority="212" operator="equal">
      <formula>1</formula>
    </cfRule>
  </conditionalFormatting>
  <conditionalFormatting sqref="M38">
    <cfRule type="cellIs" dxfId="169" priority="209" operator="equal">
      <formula>0</formula>
    </cfRule>
    <cfRule type="cellIs" dxfId="168" priority="210" operator="equal">
      <formula>1</formula>
    </cfRule>
  </conditionalFormatting>
  <conditionalFormatting sqref="M49">
    <cfRule type="cellIs" dxfId="167" priority="207" operator="equal">
      <formula>0</formula>
    </cfRule>
    <cfRule type="cellIs" dxfId="166" priority="208" operator="equal">
      <formula>1</formula>
    </cfRule>
  </conditionalFormatting>
  <conditionalFormatting sqref="M57">
    <cfRule type="cellIs" dxfId="165" priority="205" operator="equal">
      <formula>0</formula>
    </cfRule>
    <cfRule type="cellIs" dxfId="164" priority="206" operator="equal">
      <formula>1</formula>
    </cfRule>
  </conditionalFormatting>
  <conditionalFormatting sqref="M66">
    <cfRule type="cellIs" dxfId="163" priority="203" operator="equal">
      <formula>0</formula>
    </cfRule>
    <cfRule type="cellIs" dxfId="162" priority="204" operator="equal">
      <formula>1</formula>
    </cfRule>
  </conditionalFormatting>
  <conditionalFormatting sqref="M74">
    <cfRule type="cellIs" dxfId="161" priority="201" operator="equal">
      <formula>0</formula>
    </cfRule>
    <cfRule type="cellIs" dxfId="160" priority="202" operator="equal">
      <formula>1</formula>
    </cfRule>
  </conditionalFormatting>
  <conditionalFormatting sqref="M83">
    <cfRule type="cellIs" dxfId="159" priority="199" operator="equal">
      <formula>0</formula>
    </cfRule>
    <cfRule type="cellIs" dxfId="158" priority="200" operator="equal">
      <formula>1</formula>
    </cfRule>
  </conditionalFormatting>
  <conditionalFormatting sqref="M97">
    <cfRule type="cellIs" dxfId="157" priority="197" operator="equal">
      <formula>0</formula>
    </cfRule>
    <cfRule type="cellIs" dxfId="156" priority="198" operator="equal">
      <formula>1</formula>
    </cfRule>
  </conditionalFormatting>
  <conditionalFormatting sqref="M105">
    <cfRule type="cellIs" dxfId="155" priority="195" operator="equal">
      <formula>0</formula>
    </cfRule>
    <cfRule type="cellIs" dxfId="154" priority="196" operator="equal">
      <formula>1</formula>
    </cfRule>
  </conditionalFormatting>
  <conditionalFormatting sqref="M113">
    <cfRule type="cellIs" dxfId="153" priority="193" operator="equal">
      <formula>0</formula>
    </cfRule>
    <cfRule type="cellIs" dxfId="152" priority="194" operator="equal">
      <formula>1</formula>
    </cfRule>
  </conditionalFormatting>
  <conditionalFormatting sqref="K125">
    <cfRule type="cellIs" dxfId="151" priority="185" operator="equal">
      <formula>0</formula>
    </cfRule>
    <cfRule type="cellIs" dxfId="150" priority="186" operator="equal">
      <formula>1</formula>
    </cfRule>
  </conditionalFormatting>
  <conditionalFormatting sqref="M125">
    <cfRule type="cellIs" dxfId="149" priority="181" operator="equal">
      <formula>0</formula>
    </cfRule>
    <cfRule type="cellIs" dxfId="148" priority="182" operator="equal">
      <formula>1</formula>
    </cfRule>
  </conditionalFormatting>
  <conditionalFormatting sqref="K135">
    <cfRule type="cellIs" dxfId="147" priority="171" operator="equal">
      <formula>0</formula>
    </cfRule>
    <cfRule type="cellIs" dxfId="146" priority="172" operator="equal">
      <formula>1</formula>
    </cfRule>
  </conditionalFormatting>
  <conditionalFormatting sqref="M135">
    <cfRule type="cellIs" dxfId="145" priority="167" operator="equal">
      <formula>0</formula>
    </cfRule>
    <cfRule type="cellIs" dxfId="144" priority="168" operator="equal">
      <formula>1</formula>
    </cfRule>
  </conditionalFormatting>
  <conditionalFormatting sqref="J125">
    <cfRule type="cellIs" dxfId="143" priority="165" operator="equal">
      <formula>0</formula>
    </cfRule>
    <cfRule type="cellIs" dxfId="142" priority="166" operator="equal">
      <formula>1</formula>
    </cfRule>
  </conditionalFormatting>
  <conditionalFormatting sqref="J135">
    <cfRule type="cellIs" dxfId="141" priority="163" operator="equal">
      <formula>0</formula>
    </cfRule>
    <cfRule type="cellIs" dxfId="140" priority="164" operator="equal">
      <formula>1</formula>
    </cfRule>
  </conditionalFormatting>
  <conditionalFormatting sqref="J113">
    <cfRule type="cellIs" dxfId="139" priority="161" operator="equal">
      <formula>0</formula>
    </cfRule>
    <cfRule type="cellIs" dxfId="138" priority="162" operator="equal">
      <formula>1</formula>
    </cfRule>
  </conditionalFormatting>
  <conditionalFormatting sqref="K148">
    <cfRule type="cellIs" dxfId="137" priority="159" operator="equal">
      <formula>0</formula>
    </cfRule>
    <cfRule type="cellIs" dxfId="136" priority="160" operator="equal">
      <formula>1</formula>
    </cfRule>
  </conditionalFormatting>
  <conditionalFormatting sqref="J148">
    <cfRule type="cellIs" dxfId="135" priority="153" operator="equal">
      <formula>0</formula>
    </cfRule>
    <cfRule type="cellIs" dxfId="134" priority="154" operator="equal">
      <formula>1</formula>
    </cfRule>
  </conditionalFormatting>
  <conditionalFormatting sqref="M148">
    <cfRule type="cellIs" dxfId="133" priority="151" operator="equal">
      <formula>0</formula>
    </cfRule>
    <cfRule type="cellIs" dxfId="132" priority="152" operator="equal">
      <formula>1</formula>
    </cfRule>
  </conditionalFormatting>
  <conditionalFormatting sqref="K163">
    <cfRule type="cellIs" dxfId="131" priority="149" operator="equal">
      <formula>0</formula>
    </cfRule>
    <cfRule type="cellIs" dxfId="130" priority="150" operator="equal">
      <formula>1</formula>
    </cfRule>
  </conditionalFormatting>
  <conditionalFormatting sqref="J163">
    <cfRule type="cellIs" dxfId="129" priority="147" operator="equal">
      <formula>0</formula>
    </cfRule>
    <cfRule type="cellIs" dxfId="128" priority="148" operator="equal">
      <formula>1</formula>
    </cfRule>
  </conditionalFormatting>
  <conditionalFormatting sqref="M163">
    <cfRule type="cellIs" dxfId="127" priority="145" operator="equal">
      <formula>0</formula>
    </cfRule>
    <cfRule type="cellIs" dxfId="126" priority="146" operator="equal">
      <formula>1</formula>
    </cfRule>
  </conditionalFormatting>
  <conditionalFormatting sqref="K174">
    <cfRule type="cellIs" dxfId="125" priority="143" operator="equal">
      <formula>0</formula>
    </cfRule>
    <cfRule type="cellIs" dxfId="124" priority="144" operator="equal">
      <formula>1</formula>
    </cfRule>
  </conditionalFormatting>
  <conditionalFormatting sqref="J174">
    <cfRule type="cellIs" dxfId="123" priority="141" operator="equal">
      <formula>0</formula>
    </cfRule>
    <cfRule type="cellIs" dxfId="122" priority="142" operator="equal">
      <formula>1</formula>
    </cfRule>
  </conditionalFormatting>
  <conditionalFormatting sqref="M174">
    <cfRule type="cellIs" dxfId="121" priority="139" operator="equal">
      <formula>0</formula>
    </cfRule>
    <cfRule type="cellIs" dxfId="120" priority="140" operator="equal">
      <formula>1</formula>
    </cfRule>
  </conditionalFormatting>
  <conditionalFormatting sqref="K184">
    <cfRule type="cellIs" dxfId="119" priority="131" operator="equal">
      <formula>0</formula>
    </cfRule>
    <cfRule type="cellIs" dxfId="118" priority="132" operator="equal">
      <formula>1</formula>
    </cfRule>
  </conditionalFormatting>
  <conditionalFormatting sqref="J184">
    <cfRule type="cellIs" dxfId="117" priority="129" operator="equal">
      <formula>0</formula>
    </cfRule>
    <cfRule type="cellIs" dxfId="116" priority="130" operator="equal">
      <formula>1</formula>
    </cfRule>
  </conditionalFormatting>
  <conditionalFormatting sqref="M184">
    <cfRule type="cellIs" dxfId="115" priority="127" operator="equal">
      <formula>0</formula>
    </cfRule>
    <cfRule type="cellIs" dxfId="114" priority="128" operator="equal">
      <formula>1</formula>
    </cfRule>
  </conditionalFormatting>
  <conditionalFormatting sqref="K194">
    <cfRule type="cellIs" dxfId="113" priority="125" operator="equal">
      <formula>0</formula>
    </cfRule>
    <cfRule type="cellIs" dxfId="112" priority="126" operator="equal">
      <formula>1</formula>
    </cfRule>
  </conditionalFormatting>
  <conditionalFormatting sqref="J194">
    <cfRule type="cellIs" dxfId="111" priority="123" operator="equal">
      <formula>0</formula>
    </cfRule>
    <cfRule type="cellIs" dxfId="110" priority="124" operator="equal">
      <formula>1</formula>
    </cfRule>
  </conditionalFormatting>
  <conditionalFormatting sqref="M194">
    <cfRule type="cellIs" dxfId="109" priority="121" operator="equal">
      <formula>0</formula>
    </cfRule>
    <cfRule type="cellIs" dxfId="108" priority="122" operator="equal">
      <formula>1</formula>
    </cfRule>
  </conditionalFormatting>
  <conditionalFormatting sqref="K204">
    <cfRule type="cellIs" dxfId="107" priority="119" operator="equal">
      <formula>0</formula>
    </cfRule>
    <cfRule type="cellIs" dxfId="106" priority="120" operator="equal">
      <formula>1</formula>
    </cfRule>
  </conditionalFormatting>
  <conditionalFormatting sqref="J204">
    <cfRule type="cellIs" dxfId="105" priority="117" operator="equal">
      <formula>0</formula>
    </cfRule>
    <cfRule type="cellIs" dxfId="104" priority="118" operator="equal">
      <formula>1</formula>
    </cfRule>
  </conditionalFormatting>
  <conditionalFormatting sqref="M204">
    <cfRule type="cellIs" dxfId="103" priority="115" operator="equal">
      <formula>0</formula>
    </cfRule>
    <cfRule type="cellIs" dxfId="102" priority="116" operator="equal">
      <formula>1</formula>
    </cfRule>
  </conditionalFormatting>
  <conditionalFormatting sqref="K211">
    <cfRule type="cellIs" dxfId="101" priority="113" operator="equal">
      <formula>0</formula>
    </cfRule>
    <cfRule type="cellIs" dxfId="100" priority="114" operator="equal">
      <formula>1</formula>
    </cfRule>
  </conditionalFormatting>
  <conditionalFormatting sqref="J211">
    <cfRule type="cellIs" dxfId="99" priority="111" operator="equal">
      <formula>0</formula>
    </cfRule>
    <cfRule type="cellIs" dxfId="98" priority="112" operator="equal">
      <formula>1</formula>
    </cfRule>
  </conditionalFormatting>
  <conditionalFormatting sqref="M211">
    <cfRule type="cellIs" dxfId="97" priority="109" operator="equal">
      <formula>0</formula>
    </cfRule>
    <cfRule type="cellIs" dxfId="96" priority="110" operator="equal">
      <formula>1</formula>
    </cfRule>
  </conditionalFormatting>
  <conditionalFormatting sqref="K22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22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22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240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240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240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53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53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53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59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259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259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265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265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65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27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273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73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281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281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2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90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99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99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308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308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0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31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1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1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326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26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26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33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3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33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44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44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4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5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5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62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6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2026-02-16T19:04:36Z</dcterms:modified>
</cp:coreProperties>
</file>