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ABAF1448-3706-40A2-9B10-1AD531C1F8FE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8080 Op Codes" sheetId="1" r:id="rId6"/>
    <sheet name="Coverage" sheetId="11" r:id="rId7"/>
    <sheet name="Flag Rules" sheetId="4" r:id="rId8"/>
    <sheet name="Other Programs" sheetId="8" r:id="rId9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4" i="2" l="1"/>
  <c r="AM14" i="2" a="1"/>
  <c r="AM14" i="2" s="1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S28" i="2" a="1"/>
  <c r="S30" i="2" a="1"/>
  <c r="S25" i="2" a="1"/>
  <c r="S23" i="2" a="1"/>
  <c r="S35" i="2" a="1"/>
  <c r="S26" i="2" a="1"/>
  <c r="S27" i="2" a="1"/>
  <c r="S22" i="2" a="1"/>
  <c r="S24" i="2" a="1"/>
  <c r="S33" i="2" a="1"/>
  <c r="S29" i="2" a="1"/>
  <c r="S34" i="2" a="1"/>
  <c r="S31" i="2" a="1"/>
  <c r="S20" i="2" a="1"/>
  <c r="AB19" i="2" a="1"/>
  <c r="AB18" i="2" a="1"/>
  <c r="AB17" i="2" a="1"/>
  <c r="AB16" i="2" a="1"/>
  <c r="AB15" i="2" a="1"/>
  <c r="S19" i="2" a="1"/>
  <c r="S16" i="2" a="1"/>
  <c r="S14" i="2" a="1"/>
  <c r="S13" i="2" a="1"/>
  <c r="S15" i="2" a="1"/>
  <c r="S18" i="2" a="1"/>
  <c r="S17" i="2" a="1"/>
  <c r="S9" i="2" a="1"/>
  <c r="S10" i="2" a="1"/>
  <c r="S8" i="2" a="1"/>
  <c r="S12" i="2" a="1"/>
  <c r="S11" i="2" a="1"/>
  <c r="J895" i="5" a="1"/>
  <c r="J868" i="5" a="1"/>
  <c r="J892" i="5" a="1"/>
  <c r="J862" i="5" a="1"/>
  <c r="J396" i="5" a="1"/>
  <c r="J577" i="5" a="1"/>
  <c r="J580" i="5" a="1"/>
  <c r="J686" i="5" a="1"/>
  <c r="J225" i="5" a="1"/>
  <c r="J399" i="5" a="1"/>
  <c r="J276" i="5" a="1"/>
  <c r="J189" i="5" a="1"/>
  <c r="J356" i="5" a="1"/>
  <c r="J320" i="5" a="1"/>
  <c r="J249" i="5" a="1"/>
  <c r="J351" i="5" a="1"/>
  <c r="J475" i="5" a="1"/>
  <c r="J557" i="5" a="1"/>
  <c r="J372" i="5" a="1"/>
  <c r="J126" i="5" a="1"/>
  <c r="J187" i="5" a="1"/>
  <c r="J348" i="5" a="1"/>
  <c r="J132" i="5" a="1"/>
  <c r="J728" i="5" a="1"/>
  <c r="J492" i="5" a="1"/>
  <c r="J552" i="5" a="1"/>
  <c r="J553" i="5" a="1"/>
  <c r="J391" i="5" a="1"/>
  <c r="J200" i="5" a="1"/>
  <c r="J185" i="5" a="1"/>
  <c r="J166" i="5" a="1"/>
  <c r="J805" i="5" a="1"/>
  <c r="J179" i="5" a="1"/>
  <c r="J199" i="5" a="1"/>
  <c r="J378" i="5" a="1"/>
  <c r="J395" i="5" a="1"/>
  <c r="J894" i="5" a="1"/>
  <c r="J856" i="5" a="1"/>
  <c r="J44" i="5" a="1"/>
  <c r="J181" i="5" a="1"/>
  <c r="J618" i="5" a="1"/>
  <c r="J428" i="5" a="1"/>
  <c r="J579" i="5" a="1"/>
  <c r="J274" i="5" a="1"/>
  <c r="J142" i="5" a="1"/>
  <c r="J438" i="5" a="1"/>
  <c r="J130" i="5" a="1"/>
  <c r="J405" i="5" a="1"/>
  <c r="J555" i="5" a="1"/>
  <c r="J695" i="5" a="1"/>
  <c r="J349" i="5" a="1"/>
  <c r="J175" i="5" a="1"/>
  <c r="J473" i="5" a="1"/>
  <c r="J242" i="5" a="1"/>
  <c r="J323" i="5" a="1"/>
  <c r="J799" i="5" a="1"/>
  <c r="J327" i="5" a="1"/>
  <c r="J165" i="5" a="1"/>
  <c r="J284" i="5" a="1"/>
  <c r="J816" i="5" a="1"/>
  <c r="J578" i="5" a="1"/>
  <c r="J267" i="5" a="1"/>
  <c r="J227" i="5" a="1"/>
  <c r="J286" i="5" a="1"/>
  <c r="J324" i="5" a="1"/>
  <c r="J798" i="5" a="1"/>
  <c r="J560" i="5" a="1"/>
  <c r="J496" i="5" a="1"/>
  <c r="J551" i="5" a="1"/>
  <c r="J219" i="5" a="1"/>
  <c r="J883" i="5" a="1"/>
  <c r="J850" i="5" a="1"/>
  <c r="J246" i="5" a="1"/>
  <c r="J331" i="5" a="1"/>
  <c r="J287" i="5" a="1"/>
  <c r="J309" i="5" a="1"/>
  <c r="J369" i="5" a="1"/>
  <c r="J366" i="5" a="1"/>
  <c r="J345" i="5" a="1"/>
  <c r="J766" i="5" a="1"/>
  <c r="J127" i="5" a="1"/>
  <c r="J237" i="5" a="1"/>
  <c r="J186" i="5" a="1"/>
  <c r="J263" i="5" a="1"/>
  <c r="J383" i="5" a="1"/>
  <c r="J300" i="5" a="1"/>
  <c r="J608" i="5" a="1"/>
  <c r="J234" i="5" a="1"/>
  <c r="J215" i="5" a="1"/>
  <c r="J472" i="5" a="1"/>
  <c r="J704" i="5" a="1"/>
  <c r="J245" i="5" a="1"/>
  <c r="J547" i="5" a="1"/>
  <c r="J136" i="5" a="1"/>
  <c r="J651" i="5" a="1"/>
  <c r="J417" i="5" a="1"/>
  <c r="J659" i="5" a="1"/>
  <c r="J381" i="5" a="1"/>
  <c r="J806" i="5" a="1"/>
  <c r="J464" i="5" a="1"/>
  <c r="J889" i="5" a="1"/>
  <c r="J844" i="5" a="1"/>
  <c r="J46" i="5" a="1"/>
  <c r="J137" i="5" a="1"/>
  <c r="J802" i="5" a="1"/>
  <c r="J315" i="5" a="1"/>
  <c r="J201" i="5" a="1"/>
  <c r="J424" i="5" a="1"/>
  <c r="J218" i="5" a="1"/>
  <c r="J737" i="5" a="1"/>
  <c r="J354" i="5" a="1"/>
  <c r="J279" i="5" a="1"/>
  <c r="J403" i="5" a="1"/>
  <c r="J297" i="5" a="1"/>
  <c r="J275" i="5" a="1"/>
  <c r="J198" i="5" a="1"/>
  <c r="J318" i="5" a="1"/>
  <c r="J554" i="5" a="1"/>
  <c r="J788" i="5" a="1"/>
  <c r="J256" i="5" a="1"/>
  <c r="J156" i="5" a="1"/>
  <c r="J155" i="5" a="1"/>
  <c r="J453" i="5" a="1"/>
  <c r="J463" i="5" a="1"/>
  <c r="J390" i="5" a="1"/>
  <c r="J296" i="5" a="1"/>
  <c r="J480" i="5" a="1"/>
  <c r="J243" i="5" a="1"/>
  <c r="J282" i="5" a="1"/>
  <c r="J359" i="5" a="1"/>
  <c r="J581" i="5" a="1"/>
  <c r="J487" i="5" a="1"/>
  <c r="J167" i="5" a="1"/>
  <c r="J288" i="5" a="1"/>
  <c r="J888" i="5" a="1"/>
  <c r="J171" i="5" a="1"/>
  <c r="J338" i="5" a="1"/>
  <c r="J644" i="5" a="1"/>
  <c r="J350" i="5" a="1"/>
  <c r="J295" i="5" a="1"/>
  <c r="J404" i="5" a="1"/>
  <c r="J176" i="5" a="1"/>
  <c r="J392" i="5" a="1"/>
  <c r="J188" i="5" a="1"/>
  <c r="J807" i="5" a="1"/>
  <c r="J393" i="5" a="1"/>
  <c r="J241" i="5" a="1"/>
  <c r="J887" i="5" a="1"/>
  <c r="J677" i="5" a="1"/>
  <c r="J746" i="5" a="1"/>
  <c r="J196" i="5" a="1"/>
  <c r="J773" i="5" a="1"/>
  <c r="J278" i="5" a="1"/>
  <c r="J314" i="5" a="1"/>
  <c r="J449" i="5" a="1"/>
  <c r="J261" i="5" a="1"/>
  <c r="J576" i="5" a="1"/>
  <c r="J226" i="5" a="1"/>
  <c r="J779" i="5" a="1"/>
  <c r="J431" i="5" a="1"/>
  <c r="J305" i="5" a="1"/>
  <c r="J402" i="5" a="1"/>
  <c r="J168" i="5" a="1"/>
  <c r="J446" i="5" a="1"/>
  <c r="J342" i="5" a="1"/>
  <c r="J834" i="5" a="1"/>
  <c r="J150" i="5" a="1"/>
  <c r="J310" i="5" a="1"/>
  <c r="J302" i="5" a="1"/>
  <c r="J197" i="5" a="1"/>
  <c r="J235" i="5" a="1"/>
  <c r="J138" i="5" a="1"/>
  <c r="J293" i="5" a="1"/>
  <c r="J170" i="5" a="1"/>
  <c r="J558" i="5" a="1"/>
  <c r="J375" i="5" a="1"/>
  <c r="J212" i="5" a="1"/>
  <c r="J886" i="5" a="1"/>
  <c r="J881" i="5" a="1"/>
  <c r="J559" i="5" a="1"/>
  <c r="J363" i="5" a="1"/>
  <c r="J719" i="5" a="1"/>
  <c r="J191" i="5" a="1"/>
  <c r="J837" i="5" a="1"/>
  <c r="J386" i="5" a="1"/>
  <c r="J619" i="5" a="1"/>
  <c r="J556" i="5" a="1"/>
  <c r="J262" i="5" a="1"/>
  <c r="J595" i="5" a="1"/>
  <c r="J374" i="5" a="1"/>
  <c r="J145" i="5" a="1"/>
  <c r="J565" i="5" a="1"/>
  <c r="J306" i="5" a="1"/>
  <c r="J817" i="5" a="1"/>
  <c r="J836" i="5" a="1"/>
  <c r="J277" i="5" a="1"/>
  <c r="J448" i="5" a="1"/>
  <c r="J268" i="5" a="1"/>
  <c r="J347" i="5" a="1"/>
  <c r="J634" i="5" a="1"/>
  <c r="J270" i="5" a="1"/>
  <c r="J228" i="5" a="1"/>
  <c r="J812" i="5" a="1"/>
  <c r="J312" i="5" a="1"/>
  <c r="J755" i="5" a="1"/>
  <c r="J413" i="5" a="1"/>
  <c r="J247" i="5" a="1"/>
  <c r="J710" i="5" a="1"/>
  <c r="J311" i="5" a="1"/>
  <c r="J588" i="5" a="1"/>
  <c r="J255" i="5" a="1"/>
  <c r="J882" i="5" a="1"/>
  <c r="J341" i="5" a="1"/>
  <c r="J141" i="5" a="1"/>
  <c r="J493" i="5" a="1"/>
  <c r="J271" i="5" a="1"/>
  <c r="J804" i="5" a="1"/>
  <c r="J474" i="5" a="1"/>
  <c r="J602" i="5" a="1"/>
  <c r="J303" i="5" a="1"/>
  <c r="J144" i="5" a="1"/>
  <c r="J178" i="5" a="1"/>
  <c r="J321" i="5" a="1"/>
  <c r="J587" i="5" a="1"/>
  <c r="J822" i="5" a="1"/>
  <c r="J548" i="5" a="1"/>
  <c r="J546" i="5" a="1"/>
  <c r="J385" i="5" a="1"/>
  <c r="J626" i="5" a="1"/>
  <c r="J376" i="5" a="1"/>
  <c r="J776" i="5" a="1"/>
  <c r="J601" i="5" a="1"/>
  <c r="J401" i="5" a="1"/>
  <c r="J292" i="5" a="1"/>
  <c r="J408" i="5" a="1"/>
  <c r="J333" i="5" a="1"/>
  <c r="J339" i="5" a="1"/>
  <c r="J248" i="5" a="1"/>
  <c r="J131" i="5" a="1"/>
  <c r="J811" i="5" a="1"/>
  <c r="J447" i="5" a="1"/>
  <c r="J336" i="5" a="1"/>
  <c r="J880" i="5" a="1"/>
  <c r="J367" i="5" a="1"/>
  <c r="J304" i="5" a="1"/>
  <c r="J358" i="5" a="1"/>
  <c r="J195" i="5" a="1"/>
  <c r="J152" i="5" a="1"/>
  <c r="J283" i="5" a="1"/>
  <c r="J360" i="5" a="1"/>
  <c r="J269" i="5" a="1"/>
  <c r="J368" i="5" a="1"/>
  <c r="J285" i="5" a="1"/>
  <c r="J236" i="5" a="1"/>
  <c r="J151" i="5" a="1"/>
  <c r="J158" i="5" a="1"/>
  <c r="J823" i="5" a="1"/>
  <c r="J332" i="5" a="1"/>
  <c r="J645" i="5" a="1"/>
  <c r="J835" i="5" a="1"/>
  <c r="J594" i="5" a="1"/>
  <c r="J129" i="5" a="1"/>
  <c r="J828" i="5" a="1"/>
  <c r="J313" i="5" a="1"/>
  <c r="J266" i="5" a="1"/>
  <c r="J294" i="5" a="1"/>
  <c r="J153" i="5" a="1"/>
  <c r="J829" i="5" a="1"/>
  <c r="J803" i="5" a="1"/>
  <c r="J365" i="5" a="1"/>
  <c r="J143" i="5" a="1"/>
  <c r="J260" i="5" a="1"/>
  <c r="J838" i="5" a="1"/>
  <c r="J291" i="5" a="1"/>
  <c r="J561" i="5" a="1"/>
  <c r="J874" i="5" a="1"/>
  <c r="J128" i="5" a="1"/>
  <c r="J177" i="5" a="1"/>
  <c r="J377" i="5" a="1"/>
  <c r="J550" i="5" a="1"/>
  <c r="J329" i="5" a="1"/>
  <c r="J357" i="5" a="1"/>
  <c r="J330" i="5" a="1"/>
  <c r="J394" i="5" a="1"/>
  <c r="J387" i="5" a="1"/>
  <c r="J322" i="5" a="1"/>
  <c r="J206" i="5" a="1"/>
  <c r="J384" i="5" a="1"/>
  <c r="J549" i="5" a="1"/>
  <c r="J494" i="5" a="1"/>
  <c r="J668" i="5" a="1"/>
  <c r="J562" i="5" a="1"/>
  <c r="J340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107" i="5" a="1"/>
  <c r="J90" i="5" a="1"/>
  <c r="J100" i="5" a="1"/>
  <c r="J85" i="5" a="1"/>
  <c r="J108" i="5" a="1"/>
  <c r="J87" i="5" a="1"/>
  <c r="J101" i="5" a="1"/>
  <c r="J110" i="5" a="1"/>
  <c r="J99" i="5" a="1"/>
  <c r="J89" i="5" a="1"/>
  <c r="J88" i="5" a="1"/>
  <c r="J80" i="5" a="1"/>
  <c r="J86" i="5" a="1"/>
  <c r="J91" i="5" a="1"/>
  <c r="J102" i="5" a="1"/>
  <c r="J109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0" i="5" a="1"/>
  <c r="J40" i="5" a="1"/>
  <c r="J60" i="5" a="1"/>
  <c r="J51" i="5" a="1"/>
  <c r="J33" i="5" a="1"/>
  <c r="J42" i="5" a="1"/>
  <c r="J26" i="5" a="1"/>
  <c r="J69" i="5" a="1"/>
  <c r="J78" i="5" a="1"/>
  <c r="J35" i="5" a="1"/>
  <c r="J31" i="5" a="1"/>
  <c r="J59" i="5" a="1"/>
  <c r="J72" i="5" a="1"/>
  <c r="J71" i="5" a="1"/>
  <c r="J12" i="5" a="1"/>
  <c r="J63" i="5" a="1"/>
  <c r="J19" i="5" a="1"/>
  <c r="J61" i="5" a="1"/>
  <c r="J79" i="5" a="1"/>
  <c r="J77" i="5" a="1"/>
  <c r="J52" i="5" a="1"/>
  <c r="J2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<sst xmlns="http://schemas.openxmlformats.org/spreadsheetml/2006/main" count="4985" uniqueCount="1246">
  <si>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</si>
  <si>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</si>
  <si>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</si>
  <si>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</si>
  <si>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</si>
  <si>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</si>
  <si>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</si>
  <si>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</si>
  <si>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</si>
  <si>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</si>
  <si>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</si>
  <si>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</si>
  <si>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</si>
  <si>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</si>
  <si>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</si>
  <si>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</si>
  <si>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</si>
  <si>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</si>
  <si>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</si>
  <si>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</si>
  <si>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</si>
  <si>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</si>
  <si>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</si>
  <si>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</si>
  <si>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</si>
  <si>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</si>
  <si>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</si>
  <si>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</si>
  <si>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</si>
  <si>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</si>
  <si>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</si>
  <si>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</si>
  <si>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</si>
  <si>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</si>
  <si>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</si>
  <si>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</si>
  <si>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</si>
  <si>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</si>
  <si>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</si>
  <si>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</si>
  <si>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</si>
  <si>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</si>
  <si>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</si>
  <si>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</si>
  <si>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</si>
  <si>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</si>
  <si>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</si>
  <si>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</si>
  <si>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</si>
  <si>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</si>
  <si>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</si>
  <si>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</si>
  <si>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</si>
  <si>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</si>
  <si>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</si>
  <si>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</si>
  <si>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</si>
  <si>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</si>
  <si>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</si>
  <si>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</si>
  <si>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</si>
  <si>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</si>
  <si>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</si>
  <si>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</si>
  <si>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</si>
  <si>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</si>
  <si>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</si>
  <si>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</si>
  <si>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</si>
  <si>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</si>
  <si>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</si>
  <si>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</si>
  <si>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</si>
  <si>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</si>
  <si>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</si>
  <si>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</si>
  <si>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</si>
  <si>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</si>
  <si>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</si>
  <si>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</si>
  <si>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</si>
  <si>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</si>
  <si>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</si>
  <si>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</si>
  <si>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</si>
  <si>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</si>
  <si>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</si>
  <si>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</si>
  <si>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</si>
  <si>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</si>
  <si>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</si>
  <si>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</si>
  <si>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</si>
  <si>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</si>
  <si>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</si>
  <si>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</si>
  <si>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</si>
  <si>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</si>
  <si>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</si>
  <si>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</si>
  <si>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</si>
  <si>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</si>
  <si>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</si>
  <si>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</si>
  <si>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</si>
  <si>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</si>
  <si>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</si>
  <si>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</si>
  <si>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</si>
  <si>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</si>
  <si>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</si>
  <si>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</si>
  <si>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</si>
  <si>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</si>
  <si>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</si>
  <si>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</si>
  <si>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</si>
  <si>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</si>
  <si>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</si>
  <si>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</si>
  <si>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</si>
  <si>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</si>
  <si>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</si>
  <si>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</si>
  <si>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</si>
  <si>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</si>
  <si>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</si>
  <si>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</si>
  <si>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</si>
  <si>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</si>
  <si>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</si>
  <si>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</si>
  <si>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</si>
  <si>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</si>
  <si>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</si>
  <si>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</si>
  <si>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</si>
  <si>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</si>
  <si>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</si>
  <si>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</si>
  <si>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</si>
  <si>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</si>
  <si>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</si>
  <si>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</si>
  <si>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</si>
  <si>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</si>
  <si>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</si>
  <si>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</si>
  <si>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</si>
  <si>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</si>
  <si>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</si>
  <si>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</si>
  <si>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</si>
  <si>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</si>
  <si>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</si>
  <si>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</si>
  <si>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</si>
  <si>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</si>
  <si>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</si>
  <si>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</si>
  <si>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</si>
  <si>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</si>
  <si>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</si>
  <si>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</si>
  <si>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</si>
  <si>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</si>
  <si>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</si>
  <si>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</si>
  <si>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</si>
  <si>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</si>
  <si>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</si>
  <si>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</si>
  <si>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</si>
  <si>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</si>
  <si>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</si>
  <si>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</si>
  <si>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</si>
  <si>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</si>
  <si>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</si>
  <si>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</si>
  <si>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</si>
  <si>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</si>
  <si>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</si>
  <si>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</si>
  <si>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</si>
  <si>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</si>
  <si>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</si>
  <si>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</si>
  <si>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</si>
  <si>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</si>
  <si>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</si>
  <si>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</si>
  <si>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</si>
  <si>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</si>
  <si>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</si>
  <si>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</si>
  <si>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</si>
  <si>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</si>
  <si>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</si>
  <si>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</si>
  <si>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</si>
  <si>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</si>
  <si>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</si>
  <si>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</si>
  <si>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</si>
  <si>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</si>
  <si>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</si>
  <si>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</si>
  <si>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</si>
  <si>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</si>
  <si>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</si>
  <si>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</si>
  <si>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</si>
  <si>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</si>
  <si>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</si>
  <si>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</si>
  <si>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</si>
  <si>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</si>
  <si>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</si>
  <si>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</si>
  <si>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</si>
  <si>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</si>
  <si>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</si>
  <si>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</si>
  <si>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</si>
  <si>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</si>
  <si>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</si>
  <si>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</si>
  <si>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</si>
  <si>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</si>
  <si>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</si>
  <si>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</si>
  <si>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</si>
  <si>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</si>
  <si>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</si>
  <si>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</si>
  <si>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</si>
  <si>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</si>
  <si>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</si>
  <si>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</si>
  <si>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</si>
  <si>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</si>
  <si>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</si>
  <si>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</si>
  <si>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</si>
  <si>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</si>
  <si>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</si>
  <si>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</si>
  <si>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</si>
  <si>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</si>
  <si>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</si>
  <si>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</si>
  <si>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</si>
  <si>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</si>
  <si>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</si>
  <si>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</si>
  <si>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</si>
  <si>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</si>
  <si>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</si>
  <si>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</si>
  <si>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</si>
  <si>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</si>
  <si>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</si>
  <si>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</si>
  <si>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</si>
  <si>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</si>
  <si>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</si>
  <si>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</si>
  <si>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</si>
  <si>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</si>
  <si>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</si>
  <si>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</si>
  <si>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</si>
  <si>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</si>
  <si>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</si>
  <si>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</si>
  <si>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</si>
  <si>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</si>
  <si>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</si>
  <si>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</si>
  <si>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</si>
  <si>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</si>
  <si>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</si>
  <si>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</si>
  <si>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</si>
  <si>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</si>
  <si>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</si>
  <si>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</si>
  <si>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</si>
  <si>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</si>
  <si>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</si>
  <si>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</si>
  <si>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</si>
  <si>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</si>
  <si>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</si>
  <si>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</si>
  <si>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</si>
  <si>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</si>
  <si>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</si>
  <si>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</si>
  <si>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</si>
  <si>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</si>
  <si>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</si>
  <si>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</si>
  <si>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</si>
  <si>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</si>
  <si>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</si>
  <si>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</si>
  <si>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</si>
  <si>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</si>
  <si>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</si>
  <si>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</si>
  <si>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</si>
  <si>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</si>
  <si>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</si>
  <si>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</si>
  <si>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</si>
  <si>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</si>
  <si>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</si>
  <si>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</si>
  <si>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</si>
  <si>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</si>
  <si>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</si>
  <si>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</si>
  <si>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</si>
  <si>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</si>
  <si>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</si>
  <si>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</si>
  <si>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</si>
  <si>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</si>
  <si>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</si>
  <si>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</si>
  <si>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</si>
  <si>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</si>
  <si>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</si>
  <si>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</si>
  <si>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</si>
  <si>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</si>
  <si>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</si>
  <si>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</si>
  <si>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</si>
  <si>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</si>
  <si>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</si>
  <si>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</si>
  <si>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</si>
  <si>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</si>
  <si>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</si>
  <si>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</si>
  <si>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</si>
  <si>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</si>
  <si>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</si>
  <si>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</si>
  <si>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</si>
  <si>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</si>
  <si>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</si>
  <si>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</si>
  <si>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</si>
  <si>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</si>
  <si>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</si>
  <si>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</si>
  <si>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</si>
  <si>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</si>
  <si>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</si>
  <si>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</si>
  <si>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</si>
  <si>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</si>
  <si>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</si>
  <si>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</si>
  <si>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</si>
  <si>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</si>
  <si>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</si>
  <si>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</si>
  <si>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</si>
  <si>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</si>
  <si>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</si>
  <si>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</si>
  <si>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</si>
  <si>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</si>
  <si>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</si>
  <si>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</si>
  <si>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</si>
  <si>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</si>
  <si>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</si>
  <si>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</si>
  <si>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</si>
  <si>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</si>
  <si>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</si>
  <si>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</si>
  <si>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</si>
  <si>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</si>
  <si>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</si>
  <si>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</si>
  <si>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</si>
  <si>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</si>
  <si>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</si>
  <si>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</si>
  <si>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</si>
  <si>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</si>
  <si>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</si>
  <si>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</si>
  <si>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</si>
  <si>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</si>
  <si>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</si>
  <si>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</si>
  <si>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</si>
  <si>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</si>
  <si>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</si>
  <si>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</si>
  <si>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</si>
  <si>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</si>
  <si>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</si>
  <si>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</si>
  <si>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</si>
  <si>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</si>
  <si>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</si>
  <si>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</si>
  <si>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</si>
  <si>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</si>
  <si>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</si>
  <si>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</si>
  <si>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</si>
  <si>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</si>
  <si>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</si>
  <si>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</si>
  <si>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</si>
  <si>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</si>
  <si>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</si>
  <si>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</si>
  <si>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</si>
  <si>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</si>
  <si>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</si>
  <si>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</si>
  <si>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</si>
  <si>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</si>
  <si>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</si>
  <si>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</si>
  <si>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</si>
  <si>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</si>
  <si>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</si>
  <si>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</si>
  <si>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</si>
  <si>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</si>
  <si>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</si>
  <si>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</si>
  <si>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</si>
  <si>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</si>
  <si>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</si>
  <si>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</si>
  <si>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</si>
  <si>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</si>
  <si>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</si>
  <si>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</si>
  <si>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</si>
  <si>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</si>
  <si>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</si>
  <si>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</si>
  <si>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</si>
  <si>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</si>
  <si>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</si>
  <si>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</si>
  <si>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</si>
  <si>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</si>
  <si>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</si>
  <si>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</si>
  <si>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</si>
  <si>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</si>
  <si>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</si>
  <si>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</si>
  <si>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</si>
  <si>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</si>
  <si>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</si>
  <si>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</si>
  <si>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</si>
  <si>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</si>
  <si>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</si>
  <si>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</si>
  <si>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</si>
  <si>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</si>
  <si>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</si>
  <si>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</si>
  <si>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</si>
  <si>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</si>
  <si>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</si>
  <si>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</si>
  <si>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</si>
  <si>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</si>
  <si>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</si>
  <si>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</si>
  <si>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</si>
  <si>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</si>
  <si>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</si>
  <si>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</si>
  <si>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</si>
  <si>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</si>
  <si>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</si>
  <si>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</si>
  <si>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</si>
  <si>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</si>
  <si>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</si>
  <si>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</si>
  <si>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</si>
  <si>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</si>
  <si>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</si>
  <si>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</si>
  <si>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</si>
  <si>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</si>
  <si>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</si>
  <si>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</si>
  <si>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</si>
  <si>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</si>
  <si>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</si>
  <si>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</si>
  <si>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</si>
  <si>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</si>
  <si>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</si>
  <si>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</si>
  <si>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</si>
  <si>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</si>
  <si>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</si>
  <si>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</si>
  <si>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</si>
  <si>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</si>
  <si>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</si>
  <si>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</si>
  <si>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</si>
  <si>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</si>
  <si>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</si>
  <si>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</si>
  <si>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</si>
  <si>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</si>
  <si>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</si>
  <si>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</si>
  <si>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</si>
  <si>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</si>
  <si>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</si>
  <si>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</si>
  <si>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</si>
  <si>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</si>
  <si>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</si>
  <si>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</si>
  <si>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</si>
  <si>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</si>
  <si>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</si>
  <si>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</si>
  <si>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</si>
  <si>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</si>
  <si>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</si>
  <si>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</si>
  <si>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</si>
  <si>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</si>
  <si>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</si>
  <si>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</si>
  <si>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</si>
  <si>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</si>
  <si>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</si>
  <si>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</si>
  <si>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</si>
  <si>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</si>
  <si>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</si>
  <si>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</si>
  <si>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</si>
  <si>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</si>
  <si>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</si>
  <si>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</si>
  <si>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</si>
  <si>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</si>
  <si>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</si>
  <si>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</si>
  <si>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</si>
  <si>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</si>
  <si>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</si>
  <si>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</si>
  <si>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</si>
  <si>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</si>
  <si>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</si>
  <si>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</si>
  <si>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</si>
  <si>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</si>
  <si>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</si>
  <si>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</si>
  <si>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</si>
  <si>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</si>
  <si>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</si>
  <si>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</si>
  <si>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</si>
  <si>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</si>
  <si>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</si>
  <si>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</si>
  <si>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</si>
  <si>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</si>
  <si>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</si>
  <si>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</si>
  <si>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</si>
  <si>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</si>
  <si>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</si>
  <si>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</si>
  <si>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</si>
  <si>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</si>
  <si>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</si>
  <si>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</si>
  <si>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</si>
  <si>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</si>
  <si>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</si>
  <si>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</si>
  <si>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</si>
  <si>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</si>
  <si>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</si>
  <si>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</si>
  <si>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</si>
  <si>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</si>
  <si>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</si>
  <si>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</si>
  <si>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</si>
  <si>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</si>
  <si>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</si>
  <si>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</si>
  <si>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</si>
  <si>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</si>
  <si>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</si>
  <si>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</si>
  <si>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</si>
  <si>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</si>
  <si>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</si>
  <si>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</si>
  <si>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</si>
  <si>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</si>
  <si>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</si>
  <si>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</si>
  <si>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</si>
  <si>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</si>
  <si>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</si>
  <si>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</si>
  <si>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</si>
  <si>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</si>
  <si>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</si>
  <si>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</si>
  <si>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</si>
  <si>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</si>
  <si>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</si>
  <si>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</si>
  <si>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</si>
  <si>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</si>
  <si>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</si>
  <si>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</si>
  <si>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</si>
  <si>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</si>
  <si>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</si>
  <si>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</si>
  <si>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</si>
  <si>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</si>
  <si>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</si>
  <si>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</si>
  <si>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</si>
  <si>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</si>
  <si>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</si>
  <si>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</si>
  <si>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</si>
  <si>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</si>
  <si>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</si>
  <si>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</si>
  <si>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</si>
  <si>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</si>
  <si>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</si>
  <si>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</si>
  <si>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</si>
  <si>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</si>
  <si>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</si>
  <si>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</si>
  <si>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</si>
  <si>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</si>
  <si>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</si>
  <si>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</si>
  <si>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</si>
  <si>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</si>
  <si>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</si>
  <si>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</si>
  <si>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</si>
  <si>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</si>
  <si>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</si>
  <si>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</si>
  <si>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</si>
  <si>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</si>
  <si>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</si>
  <si>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</si>
  <si>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</si>
  <si>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</si>
  <si>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</si>
  <si>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</si>
  <si>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</si>
  <si>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</si>
  <si>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</si>
  <si>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</si>
  <si>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</si>
  <si>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</si>
  <si>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</si>
  <si>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</si>
  <si>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</si>
  <si>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</si>
  <si>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</si>
  <si>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</si>
  <si>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</si>
  <si>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</si>
  <si>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</si>
  <si>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</si>
  <si>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</si>
  <si>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</si>
  <si>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</si>
  <si>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</si>
  <si>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</si>
  <si>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</si>
  <si>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</si>
  <si>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</si>
  <si>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</si>
  <si>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</si>
  <si>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</si>
  <si>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</si>
  <si>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</si>
  <si>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</si>
  <si>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</si>
  <si>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</si>
  <si>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</si>
  <si>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</si>
  <si>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</si>
  <si>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</si>
  <si>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</si>
  <si>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</si>
  <si>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</si>
  <si>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</si>
  <si>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</si>
  <si>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</si>
  <si>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</si>
  <si>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</si>
  <si>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</si>
  <si>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</si>
  <si>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</si>
  <si>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</si>
  <si>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</si>
  <si>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</si>
  <si>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</si>
  <si>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</si>
  <si>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</si>
  <si>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</si>
  <si>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</si>
  <si>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</si>
  <si>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</si>
  <si>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</si>
  <si>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</si>
  <si>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</si>
  <si>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</si>
  <si>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</si>
  <si>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</si>
  <si>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</si>
  <si>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</si>
  <si>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</si>
  <si>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</si>
  <si>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</si>
  <si>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</si>
  <si>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</si>
  <si>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</si>
  <si>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</si>
  <si>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</si>
  <si>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</si>
  <si>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</si>
  <si>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</si>
  <si>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</si>
  <si>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</si>
  <si>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</si>
  <si>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</si>
  <si>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</si>
  <si>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</si>
  <si>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</si>
  <si>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</si>
  <si>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</si>
  <si>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</si>
  <si>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</si>
  <si>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</si>
  <si>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</si>
  <si>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</si>
  <si>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</si>
  <si>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</si>
  <si>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</si>
  <si>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</si>
  <si>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</si>
  <si>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</si>
  <si>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</si>
  <si>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</si>
  <si>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</si>
  <si>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</si>
  <si>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</si>
  <si>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</si>
  <si>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</si>
  <si>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</si>
  <si>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</si>
  <si>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</si>
  <si>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</si>
  <si>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</si>
  <si>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</si>
  <si>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</si>
  <si>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</si>
  <si>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</si>
  <si>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</si>
  <si>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</si>
  <si>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</si>
  <si>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</si>
  <si>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</si>
  <si>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</si>
  <si>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</si>
  <si>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</si>
  <si>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</si>
  <si>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</si>
  <si>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</si>
  <si>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</si>
  <si>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</si>
  <si>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</si>
  <si>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</si>
  <si>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</si>
  <si>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</si>
  <si>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</si>
  <si>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</si>
  <si>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</si>
  <si>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</si>
  <si>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</si>
  <si>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</si>
  <si>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</si>
  <si>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</si>
  <si>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</si>
  <si>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</si>
  <si>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</si>
  <si>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</si>
  <si>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</si>
  <si>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</si>
  <si>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</si>
  <si>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</si>
  <si>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</si>
  <si>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</si>
  <si>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</si>
  <si>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</si>
  <si>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</si>
  <si>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</si>
  <si>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</si>
  <si>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</si>
  <si>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</si>
  <si>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</si>
  <si>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</si>
  <si>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</si>
  <si>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</si>
  <si>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</si>
  <si>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</si>
  <si>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</si>
  <si>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</si>
  <si>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</si>
  <si>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</si>
  <si>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</si>
  <si>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</si>
  <si>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</si>
  <si>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</si>
  <si>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</si>
  <si>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</si>
  <si>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</si>
  <si>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</si>
  <si>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</si>
  <si>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</si>
  <si>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</si>
  <si>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</si>
  <si>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</si>
  <si>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</si>
  <si>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</si>
  <si>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</si>
  <si>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</si>
  <si>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</si>
  <si>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</si>
  <si>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</si>
  <si>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</si>
  <si>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</si>
  <si>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</si>
  <si>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</si>
  <si>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</si>
  <si>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</si>
  <si>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</si>
  <si>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</si>
  <si>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</si>
  <si>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</si>
  <si>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</si>
  <si>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</si>
  <si>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</si>
  <si>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</si>
  <si>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</si>
  <si>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</si>
  <si>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</si>
  <si>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</si>
  <si>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</si>
  <si>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</si>
  <si>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</si>
  <si>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</si>
  <si>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</si>
  <si>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</si>
  <si>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</si>
  <si>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</si>
  <si>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</si>
  <si>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</si>
  <si>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</si>
  <si>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</si>
  <si>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</si>
  <si>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</si>
  <si>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</si>
  <si>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</si>
  <si>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</si>
  <si>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</si>
  <si>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</si>
  <si>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</si>
  <si>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</si>
  <si>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</si>
  <si>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</si>
  <si>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</si>
  <si>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</si>
  <si>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</si>
  <si>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</si>
  <si>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</si>
  <si>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</si>
  <si>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</si>
  <si>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</si>
  <si>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</si>
  <si>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</si>
  <si>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</si>
  <si>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</si>
  <si>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</si>
  <si>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</si>
  <si>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</si>
  <si>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</si>
  <si>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</si>
  <si>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</si>
  <si>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</si>
  <si>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</si>
  <si>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</si>
  <si>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</si>
  <si>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</si>
  <si>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</si>
  <si>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</si>
  <si>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</si>
  <si>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</si>
  <si>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</si>
  <si>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</si>
  <si>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</si>
  <si>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</si>
  <si>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</si>
  <si>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</si>
  <si>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</si>
  <si>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</si>
  <si>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</si>
  <si>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</si>
  <si>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</si>
  <si>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</si>
  <si>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</si>
  <si>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</si>
  <si>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</si>
  <si>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</si>
  <si>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</si>
  <si>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</si>
  <si>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</si>
  <si>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</si>
  <si>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</si>
  <si>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</si>
  <si>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</si>
  <si>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</si>
  <si>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</si>
  <si>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</si>
  <si>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</si>
  <si>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</si>
  <si>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</si>
  <si>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</si>
  <si>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</si>
  <si>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</si>
  <si>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</si>
  <si>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</si>
  <si>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</si>
  <si>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</si>
  <si>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</si>
  <si>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</si>
  <si>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</si>
  <si>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</si>
  <si>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</si>
  <si>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</si>
  <si>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</si>
  <si>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</si>
  <si>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</si>
  <si>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</si>
  <si>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</si>
  <si>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</si>
  <si>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</si>
  <si>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</si>
  <si>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</si>
  <si>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</si>
  <si>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</si>
  <si>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</si>
  <si>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</si>
  <si>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</si>
  <si>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</si>
  <si>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</si>
  <si>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</si>
  <si>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</si>
  <si>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</si>
  <si>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</si>
  <si>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</si>
  <si>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</si>
  <si>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</si>
  <si>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</si>
  <si>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</si>
  <si>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</si>
  <si>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</si>
  <si>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</si>
  <si>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</si>
  <si>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</si>
  <si>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</si>
  <si>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</si>
  <si>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</si>
  <si>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</si>
  <si>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</si>
  <si>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</si>
  <si>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</si>
  <si>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</si>
  <si>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</si>
  <si>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</si>
  <si>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</si>
  <si>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</si>
  <si>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</si>
  <si>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</si>
  <si>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</si>
  <si>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</si>
  <si>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</si>
  <si>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</si>
  <si>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</si>
  <si>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</si>
  <si>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</si>
  <si>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</si>
  <si>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</si>
  <si>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</si>
  <si>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</si>
  <si>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</si>
  <si>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</si>
  <si>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</si>
  <si>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</si>
  <si>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</si>
  <si>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</si>
  <si>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</si>
  <si>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</si>
  <si>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</si>
  <si>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</si>
  <si>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</si>
  <si>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</si>
  <si>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</si>
  <si>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</si>
  <si>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</si>
  <si>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</si>
  <si>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</si>
  <si>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</si>
  <si>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</si>
  <si>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</si>
  <si>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</si>
  <si>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</si>
  <si>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</si>
  <si>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</si>
  <si>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</si>
  <si>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</si>
  <si>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</si>
  <si>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</si>
  <si>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</si>
  <si>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</si>
  <si>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</si>
  <si>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</si>
  <si>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</si>
  <si>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</si>
  <si>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</si>
  <si>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</si>
  <si>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</si>
  <si>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</si>
  <si>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</si>
  <si>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</si>
  <si>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</si>
  <si>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</si>
  <si>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</si>
  <si>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</si>
  <si>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</si>
  <si>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</si>
  <si>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</si>
  <si>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</si>
  <si>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</si>
  <si>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</si>
  <si>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</si>
  <si>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</si>
  <si>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</si>
  <si>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</si>
  <si>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</si>
  <si>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</si>
  <si>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</si>
  <si>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</si>
  <si>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</si>
  <si>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</si>
  <si>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</si>
  <si>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</si>
  <si>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</si>
  <si>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</si>
  <si>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</si>
  <si>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</si>
  <si>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</si>
  <si>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</si>
  <si>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</si>
  <si>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</si>
  <si>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</si>
  <si>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</si>
  <si>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</si>
  <si>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</si>
  <si>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</si>
  <si>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</si>
  <si>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</si>
  <si>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</si>
  <si>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</si>
  <si>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</si>
  <si>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</si>
  <si>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</si>
  <si>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</si>
  <si>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</si>
  <si>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</si>
  <si>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</si>
  <si>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</si>
  <si>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</si>
  <si>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</si>
  <si>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</si>
  <si>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</si>
  <si>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</si>
  <si>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</si>
  <si>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</si>
  <si>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</si>
  <si>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</si>
  <si>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</si>
  <si>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</si>
  <si>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</si>
  <si>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</si>
  <si>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</si>
  <si>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</si>
  <si>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</si>
  <si>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</si>
  <si>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</si>
  <si>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</si>
  <si>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</si>
  <si>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</si>
  <si>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</si>
  <si>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</si>
  <si>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</si>
  <si>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</si>
  <si>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</si>
  <si>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</si>
  <si>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</si>
  <si>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</si>
  <si>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</si>
  <si>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</si>
  <si>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</si>
  <si>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</si>
  <si>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</si>
  <si>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</si>
  <si>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</si>
  <si>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</si>
  <si>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</si>
  <si>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</si>
  <si>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</si>
  <si>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</si>
  <si>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</si>
  <si>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</si>
  <si>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</si>
  <si>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</si>
  <si>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</si>
  <si>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</si>
  <si>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</si>
  <si>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</si>
  <si>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</si>
  <si>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</si>
  <si>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</si>
  <si>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</si>
  <si>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</si>
  <si>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</si>
  <si>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</si>
  <si>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</si>
  <si>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</si>
  <si>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</si>
  <si>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</si>
  <si>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</si>
  <si>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</si>
  <si>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</si>
  <si>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</si>
  <si>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</si>
  <si>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</si>
  <si>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</si>
  <si>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</si>
  <si>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</si>
  <si>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</si>
  <si>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</si>
  <si>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</si>
  <si>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</si>
  <si>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</si>
  <si>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</si>
  <si>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</si>
  <si>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</si>
  <si>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</si>
  <si>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</si>
  <si>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</si>
  <si>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</si>
  <si>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</si>
  <si>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</si>
  <si>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</si>
  <si>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</si>
  <si>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</si>
  <si>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</si>
  <si>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</si>
  <si>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</si>
  <si>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</si>
  <si>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</si>
  <si>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</si>
  <si>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</si>
  <si>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</si>
  <si>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</si>
  <si>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</si>
  <si>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</si>
  <si>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</si>
  <si>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</si>
  <si>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</si>
  <si>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</si>
  <si>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</si>
  <si>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</si>
  <si>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</si>
  <si>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</si>
  <si>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</si>
  <si>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</si>
  <si>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</si>
  <si>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</si>
  <si>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</si>
  <si>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</si>
  <si>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</si>
  <si>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</si>
  <si>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Error: 331 - LHLD: Invalid Memory Address: 4096 at line 0</t>
  </si>
  <si>
    <t>Date</t>
  </si>
  <si>
    <t>File</t>
  </si>
  <si>
    <t>C:\Users\jschaal\source\repos\Assembler 8080\Assembler 8080\Source\Z80 Model Current_2026-03-09_0946_v1.06.txt</t>
  </si>
  <si>
    <t>C:\Users\jschaal\source\repos\Assembler 8080\Assembler 8080\Source\Z80 Model Current_2026-03-09_0946_v1.06.xlsm</t>
  </si>
  <si>
    <t>C:\Users\jschaal\OneDrive - Distribuidora La Florida S.A\Dev\asm\snapshots\Z80 Model Current_2026-03-09_0946_v1.06.txt</t>
  </si>
  <si>
    <t>C:\Users\jschaal\OneDrive - Distribuidora La Florida S.A\Dev\asm\snapshots\Z80 Model Current_2026-03-09_0946_v1.06.xlsm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</si>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</sst>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22" fontId="0" fillId="0" borderId="1" xfId="0" applyNumberFormat="1" applyBorder="1"/>
  </cellXfs>
  <cellStyles count="1">
    <cellStyle name="Normal" xfId="0" builtinId="0"/>
  </cellStyles>
  <dxfs count="60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23" sqref="F2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2" t="s">
        <v>1237</v>
      </c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4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414</v>
      </c>
      <c r="AQ4" s="6"/>
    </row>
    <row r="5" spans="1:43" ht="15.75" thickBot="1">
      <c r="A5" s="177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505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925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1210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0</v>
      </c>
      <c r="AG13">
        <v>1</v>
      </c>
      <c r="AL13" s="191" t="s">
        <v>495</v>
      </c>
      <c r="AM13" s="53" t="s">
        <v>885</v>
      </c>
      <c r="AN13" s="68" t="s">
        <v>404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 s="54">
        <f>(SUMPRODUCT(AK15:AK1070,AA15:AA1070))+SUMPRODUCT(AC13:AJ13,AC14:AJ14)</f>
        <v>260</v>
      </c>
      <c r="AM14" s="54" t="str" cm="1">
        <f t="array" ref="AM14">IFERROR(VLOOKUP(INDEX(MemoryTable,_xlfn.XMATCH(1,$AK$15:$AK$1070),_xlfn.XMATCH(1,$AC$13:$AJ$13)),'8080 Op to Hex'!$B:$I,8,0),"")</f>
        <v>INX</v>
      </c>
      <c r="AN14" s="54">
        <f>IFERROR(HEX2DEC(INDEX(MemoryTable,_xlfn.XMATCH(1,$AK$15:$AK$1070),_xlfn.XMATCH(1,$AC$13:$AJ$13))),"")</f>
        <v>51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577</v>
      </c>
      <c r="AD15" s="138" t="s">
        <v>221</v>
      </c>
      <c r="AE15" s="138" t="s">
        <v>909</v>
      </c>
      <c r="AF15" s="138" t="s">
        <v>910</v>
      </c>
      <c r="AG15" s="138" t="s">
        <v>400</v>
      </c>
      <c r="AH15" s="138" t="s">
        <v>468</v>
      </c>
      <c r="AI15" s="138" t="s">
        <v>911</v>
      </c>
      <c r="AJ15" s="139" t="s">
        <v>221</v>
      </c>
      <c r="AK15">
        <v>1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900</v>
      </c>
      <c r="AD16" s="141" t="s">
        <v>887</v>
      </c>
      <c r="AE16" s="141" t="s">
        <v>301</v>
      </c>
      <c r="AF16" s="141" t="s">
        <v>892</v>
      </c>
      <c r="AG16" s="141" t="s">
        <v>912</v>
      </c>
      <c r="AH16" s="141" t="s">
        <v>913</v>
      </c>
      <c r="AI16" s="141" t="s">
        <v>914</v>
      </c>
      <c r="AJ16" s="142" t="s">
        <v>915</v>
      </c>
    </row>
    <row r="17" spans="1:36" ht="15.75" thickBot="1">
      <c r="A17" s="26">
        <v>0</v>
      </c>
      <c r="B17" s="24" t="s">
        <v>1161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908</v>
      </c>
      <c r="AD17" s="141" t="s">
        <v>221</v>
      </c>
      <c r="AE17" s="141" t="s">
        <v>577</v>
      </c>
      <c r="AF17" s="141" t="s">
        <v>370</v>
      </c>
      <c r="AG17" s="141" t="s">
        <v>900</v>
      </c>
      <c r="AH17" s="141" t="s">
        <v>402</v>
      </c>
      <c r="AI17" s="141" t="s">
        <v>301</v>
      </c>
      <c r="AJ17" s="142" t="s">
        <v>892</v>
      </c>
    </row>
    <row r="18" spans="1:36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577</v>
      </c>
      <c r="AD18" s="141" t="s">
        <v>887</v>
      </c>
      <c r="AE18" s="141" t="s">
        <v>917</v>
      </c>
      <c r="AF18" s="141" t="s">
        <v>491</v>
      </c>
      <c r="AG18" s="141" t="s">
        <v>918</v>
      </c>
      <c r="AH18" s="141" t="s">
        <v>919</v>
      </c>
      <c r="AI18" s="141" t="s">
        <v>920</v>
      </c>
      <c r="AJ18" s="142" t="s">
        <v>221</v>
      </c>
    </row>
    <row r="19" spans="1:36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416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900</v>
      </c>
      <c r="AD19" s="141" t="s">
        <v>532</v>
      </c>
      <c r="AE19" s="141" t="s">
        <v>301</v>
      </c>
      <c r="AF19" s="141" t="s">
        <v>892</v>
      </c>
      <c r="AG19" s="141" t="s">
        <v>914</v>
      </c>
      <c r="AH19" s="141"/>
      <c r="AI19" s="141"/>
      <c r="AJ19" s="142"/>
    </row>
    <row r="20" spans="1:36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1128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6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1129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6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1140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6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5" t="s">
        <v>1137</v>
      </c>
      <c r="H23" s="186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6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6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7" t="s">
        <v>1199</v>
      </c>
      <c r="H25" s="188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6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89" t="s">
        <v>1209</v>
      </c>
      <c r="H26" s="190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6">
      <c r="A27" s="178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6">
      <c r="A28" s="178"/>
      <c r="B28" s="179" t="s">
        <v>1159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6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6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6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6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08" priority="38" operator="equal">
      <formula>0</formula>
    </cfRule>
    <cfRule type="cellIs" dxfId="607" priority="39" operator="greaterThan">
      <formula>0</formula>
    </cfRule>
  </conditionalFormatting>
  <conditionalFormatting sqref="F1:W1">
    <cfRule type="containsText" dxfId="606" priority="29" operator="containsText" text="Halted">
      <formula>NOT(ISERROR(SEARCH("Halted",F1)))</formula>
    </cfRule>
    <cfRule type="containsText" dxfId="605" priority="36" operator="containsText" text="Error">
      <formula>NOT(ISERROR(SEARCH("Error",F1)))</formula>
    </cfRule>
    <cfRule type="expression" dxfId="604" priority="37">
      <formula>$F$1&lt;&gt;""</formula>
    </cfRule>
  </conditionalFormatting>
  <conditionalFormatting sqref="P41:R1070">
    <cfRule type="expression" dxfId="603" priority="61">
      <formula>$N41=$E$13</formula>
    </cfRule>
  </conditionalFormatting>
  <conditionalFormatting sqref="M7:T7 M8:N1070 M40:O40 M41:R1070">
    <cfRule type="containsText" dxfId="602" priority="17" operator="containsText" text=" ">
      <formula>NOT(ISERROR(SEARCH(" ",M7)))</formula>
    </cfRule>
  </conditionalFormatting>
  <conditionalFormatting sqref="AL5:AM5">
    <cfRule type="cellIs" dxfId="601" priority="15" operator="equal">
      <formula>0</formula>
    </cfRule>
    <cfRule type="cellIs" dxfId="600" priority="16" operator="equal">
      <formula>1</formula>
    </cfRule>
  </conditionalFormatting>
  <conditionalFormatting sqref="H19:H23">
    <cfRule type="cellIs" dxfId="599" priority="13" operator="equal">
      <formula>0</formula>
    </cfRule>
    <cfRule type="cellIs" dxfId="598" priority="14" operator="equal">
      <formula>1</formula>
    </cfRule>
  </conditionalFormatting>
  <conditionalFormatting sqref="K7:T7 K8:N39 K40:O40 K41:R1070">
    <cfRule type="expression" dxfId="597" priority="12">
      <formula>$E$13=$N7</formula>
    </cfRule>
  </conditionalFormatting>
  <conditionalFormatting sqref="AD5:AK5">
    <cfRule type="cellIs" dxfId="596" priority="10" operator="equal">
      <formula>0</formula>
    </cfRule>
    <cfRule type="cellIs" dxfId="595" priority="11" operator="equal">
      <formula>1</formula>
    </cfRule>
  </conditionalFormatting>
  <conditionalFormatting sqref="AA13:AJ13">
    <cfRule type="cellIs" dxfId="594" priority="5" operator="equal">
      <formula>1</formula>
    </cfRule>
  </conditionalFormatting>
  <conditionalFormatting sqref="H26">
    <cfRule type="cellIs" dxfId="593" priority="2" operator="equal">
      <formula>0</formula>
    </cfRule>
    <cfRule type="cellIs" dxfId="592" priority="3" operator="equal">
      <formula>1</formula>
    </cfRule>
  </conditionalFormatting>
  <conditionalFormatting sqref="AK15:AK1070">
    <cfRule type="cellIs" dxfId="591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1130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69" t="s">
        <v>1133</v>
      </c>
      <c r="U1" s="169" t="s">
        <v>1134</v>
      </c>
      <c r="V1" s="169" t="s">
        <v>1135</v>
      </c>
      <c r="W1" s="169" t="s">
        <v>1136</v>
      </c>
    </row>
    <row r="2" spans="1:23">
      <c r="A2">
        <v>1</v>
      </c>
      <c r="B2" s="170" t="s">
        <v>1042</v>
      </c>
      <c r="C2" t="s">
        <v>295</v>
      </c>
      <c r="D2" t="s">
        <v>309</v>
      </c>
      <c r="E2" t="s">
        <v>1036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466</v>
      </c>
      <c r="M2" s="170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1132</v>
      </c>
      <c r="C3" t="s">
        <v>878</v>
      </c>
      <c r="D3" t="s">
        <v>1037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466</v>
      </c>
      <c r="M3" s="170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1139</v>
      </c>
      <c r="C4" t="s">
        <v>881</v>
      </c>
      <c r="D4" t="s">
        <v>433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466</v>
      </c>
      <c r="M4" s="170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1152</v>
      </c>
      <c r="C5" t="s">
        <v>982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466</v>
      </c>
      <c r="M5" s="170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1138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466</v>
      </c>
      <c r="M6" s="170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6" sqref="L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991</v>
      </c>
      <c r="U5" s="195" t="s">
        <v>336</v>
      </c>
      <c r="V5" s="196"/>
      <c r="W5" s="196"/>
      <c r="X5" s="196"/>
      <c r="Y5" s="196"/>
      <c r="Z5" s="196"/>
      <c r="AA5" s="196"/>
      <c r="AB5" s="197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8" t="s">
        <v>1234</v>
      </c>
      <c r="V6" s="198"/>
      <c r="W6" s="198"/>
      <c r="X6" s="198"/>
      <c r="Y6" s="198"/>
      <c r="Z6" s="198"/>
      <c r="AA6" s="198"/>
      <c r="AB6" s="198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9"/>
      <c r="V7" s="199"/>
      <c r="W7" s="199"/>
      <c r="X7" s="199"/>
      <c r="Y7" s="199"/>
      <c r="Z7" s="199"/>
      <c r="AA7" s="199"/>
      <c r="AB7" s="199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9"/>
      <c r="V8" s="199"/>
      <c r="W8" s="199"/>
      <c r="X8" s="199"/>
      <c r="Y8" s="199"/>
      <c r="Z8" s="199"/>
      <c r="AA8" s="199"/>
      <c r="AB8" s="199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9"/>
      <c r="V9" s="199"/>
      <c r="W9" s="199"/>
      <c r="X9" s="199"/>
      <c r="Y9" s="199"/>
      <c r="Z9" s="199"/>
      <c r="AA9" s="199"/>
      <c r="AB9" s="199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9"/>
      <c r="V10" s="199"/>
      <c r="W10" s="199"/>
      <c r="X10" s="199"/>
      <c r="Y10" s="199"/>
      <c r="Z10" s="199"/>
      <c r="AA10" s="199"/>
      <c r="AB10" s="199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9"/>
      <c r="V11" s="199"/>
      <c r="W11" s="199"/>
      <c r="X11" s="199"/>
      <c r="Y11" s="199"/>
      <c r="Z11" s="199"/>
      <c r="AA11" s="199"/>
      <c r="AB11" s="199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9"/>
      <c r="V12" s="199"/>
      <c r="W12" s="199"/>
      <c r="X12" s="199"/>
      <c r="Y12" s="199"/>
      <c r="Z12" s="199"/>
      <c r="AA12" s="199"/>
      <c r="AB12" s="199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9"/>
      <c r="V13" s="199"/>
      <c r="W13" s="199"/>
      <c r="X13" s="199"/>
      <c r="Y13" s="199"/>
      <c r="Z13" s="199"/>
      <c r="AA13" s="199"/>
      <c r="AB13" s="199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9"/>
      <c r="V14" s="199"/>
      <c r="W14" s="199"/>
      <c r="X14" s="199"/>
      <c r="Y14" s="199"/>
      <c r="Z14" s="199"/>
      <c r="AA14" s="199"/>
      <c r="AB14" s="199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9"/>
      <c r="V15" s="199"/>
      <c r="W15" s="199"/>
      <c r="X15" s="199"/>
      <c r="Y15" s="199"/>
      <c r="Z15" s="199"/>
      <c r="AA15" s="199"/>
      <c r="AB15" s="199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9"/>
      <c r="V16" s="199"/>
      <c r="W16" s="199"/>
      <c r="X16" s="199"/>
      <c r="Y16" s="199"/>
      <c r="Z16" s="199"/>
      <c r="AA16" s="199"/>
      <c r="AB16" s="199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9"/>
      <c r="V17" s="199"/>
      <c r="W17" s="199"/>
      <c r="X17" s="199"/>
      <c r="Y17" s="199"/>
      <c r="Z17" s="199"/>
      <c r="AA17" s="199"/>
      <c r="AB17" s="199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9"/>
      <c r="V18" s="199"/>
      <c r="W18" s="199"/>
      <c r="X18" s="199"/>
      <c r="Y18" s="199"/>
      <c r="Z18" s="199"/>
      <c r="AA18" s="199"/>
      <c r="AB18" s="199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9"/>
      <c r="V19" s="199"/>
      <c r="W19" s="199"/>
      <c r="X19" s="199"/>
      <c r="Y19" s="199"/>
      <c r="Z19" s="199"/>
      <c r="AA19" s="199"/>
      <c r="AB19" s="199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9"/>
      <c r="V20" s="199"/>
      <c r="W20" s="199"/>
      <c r="X20" s="199"/>
      <c r="Y20" s="199"/>
      <c r="Z20" s="199"/>
      <c r="AA20" s="199"/>
      <c r="AB20" s="199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9"/>
      <c r="V21" s="199"/>
      <c r="W21" s="199"/>
      <c r="X21" s="199"/>
      <c r="Y21" s="199"/>
      <c r="Z21" s="199"/>
      <c r="AA21" s="199"/>
      <c r="AB21" s="199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9"/>
      <c r="V22" s="199"/>
      <c r="W22" s="199"/>
      <c r="X22" s="199"/>
      <c r="Y22" s="199"/>
      <c r="Z22" s="199"/>
      <c r="AA22" s="199"/>
      <c r="AB22" s="199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9"/>
      <c r="V23" s="199"/>
      <c r="W23" s="199"/>
      <c r="X23" s="199"/>
      <c r="Y23" s="199"/>
      <c r="Z23" s="199"/>
      <c r="AA23" s="199"/>
      <c r="AB23" s="199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9"/>
      <c r="V24" s="199"/>
      <c r="W24" s="199"/>
      <c r="X24" s="199"/>
      <c r="Y24" s="199"/>
      <c r="Z24" s="199"/>
      <c r="AA24" s="199"/>
      <c r="AB24" s="199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9"/>
      <c r="V25" s="199"/>
      <c r="W25" s="199"/>
      <c r="X25" s="199"/>
      <c r="Y25" s="199"/>
      <c r="Z25" s="199"/>
      <c r="AA25" s="199"/>
      <c r="AB25" s="199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9"/>
      <c r="V26" s="199"/>
      <c r="W26" s="199"/>
      <c r="X26" s="199"/>
      <c r="Y26" s="199"/>
      <c r="Z26" s="199"/>
      <c r="AA26" s="199"/>
      <c r="AB26" s="199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9"/>
      <c r="V27" s="199"/>
      <c r="W27" s="199"/>
      <c r="X27" s="199"/>
      <c r="Y27" s="199"/>
      <c r="Z27" s="199"/>
      <c r="AA27" s="199"/>
      <c r="AB27" s="199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9"/>
      <c r="V28" s="199"/>
      <c r="W28" s="199"/>
      <c r="X28" s="199"/>
      <c r="Y28" s="199"/>
      <c r="Z28" s="199"/>
      <c r="AA28" s="199"/>
      <c r="AB28" s="199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9"/>
      <c r="V29" s="199"/>
      <c r="W29" s="199"/>
      <c r="X29" s="199"/>
      <c r="Y29" s="199"/>
      <c r="Z29" s="199"/>
      <c r="AA29" s="199"/>
      <c r="AB29" s="199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9"/>
      <c r="V30" s="199"/>
      <c r="W30" s="199"/>
      <c r="X30" s="199"/>
      <c r="Y30" s="199"/>
      <c r="Z30" s="199"/>
      <c r="AA30" s="199"/>
      <c r="AB30" s="199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9"/>
      <c r="V31" s="199"/>
      <c r="W31" s="199"/>
      <c r="X31" s="199"/>
      <c r="Y31" s="199"/>
      <c r="Z31" s="199"/>
      <c r="AA31" s="199"/>
      <c r="AB31" s="19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9"/>
      <c r="V32" s="199"/>
      <c r="W32" s="199"/>
      <c r="X32" s="199"/>
      <c r="Y32" s="199"/>
      <c r="Z32" s="199"/>
      <c r="AA32" s="199"/>
      <c r="AB32" s="199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9"/>
      <c r="V33" s="199"/>
      <c r="W33" s="199"/>
      <c r="X33" s="199"/>
      <c r="Y33" s="199"/>
      <c r="Z33" s="199"/>
      <c r="AA33" s="199"/>
      <c r="AB33" s="199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9"/>
      <c r="V34" s="199"/>
      <c r="W34" s="199"/>
      <c r="X34" s="199"/>
      <c r="Y34" s="199"/>
      <c r="Z34" s="199"/>
      <c r="AA34" s="199"/>
      <c r="AB34" s="199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9"/>
      <c r="V35" s="199"/>
      <c r="W35" s="199"/>
      <c r="X35" s="199"/>
      <c r="Y35" s="199"/>
      <c r="Z35" s="199"/>
      <c r="AA35" s="199"/>
      <c r="AB35" s="199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1219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1235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1220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1222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1223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1224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1225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1226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1227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1228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1229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1230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1231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1232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995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992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881</v>
      </c>
      <c r="F548" s="153" t="s">
        <v>146</v>
      </c>
      <c r="G548" s="98"/>
      <c r="H548" s="54"/>
      <c r="I548" s="55" t="s">
        <v>1008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1010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1006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1015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1016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1017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1018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1014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1019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1020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1021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435</v>
      </c>
      <c r="L564" s="56" t="s">
        <v>1061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435</v>
      </c>
      <c r="L575" s="56" t="s">
        <v>1062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435</v>
      </c>
      <c r="L586" s="56" t="s">
        <v>1064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435</v>
      </c>
      <c r="L593" s="56" t="s">
        <v>1065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435</v>
      </c>
      <c r="L600" s="56" t="s">
        <v>1096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435</v>
      </c>
      <c r="L607" s="56" t="s">
        <v>1097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872</v>
      </c>
      <c r="F609" s="168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873</v>
      </c>
      <c r="F611" s="168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435</v>
      </c>
      <c r="L614" s="56" t="s">
        <v>1099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870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871</v>
      </c>
      <c r="F618" s="168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435</v>
      </c>
      <c r="L621" s="56" t="s">
        <v>1101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868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869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435</v>
      </c>
      <c r="L629" s="56" t="s">
        <v>1102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868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869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435</v>
      </c>
      <c r="L637" s="56" t="s">
        <v>1104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470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435</v>
      </c>
      <c r="L647" s="56" t="s">
        <v>1106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786</v>
      </c>
      <c r="F650" s="168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439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435</v>
      </c>
      <c r="L655" s="56" t="s">
        <v>1107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879</v>
      </c>
      <c r="F658" s="168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439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435</v>
      </c>
      <c r="L663" s="56" t="s">
        <v>1108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875</v>
      </c>
      <c r="F667" s="168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439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435</v>
      </c>
      <c r="L672" s="56" t="s">
        <v>1109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884</v>
      </c>
      <c r="F676" s="168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439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435</v>
      </c>
      <c r="L681" s="56" t="s">
        <v>1110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1111</v>
      </c>
      <c r="F685" s="168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439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435</v>
      </c>
      <c r="L690" s="56" t="s">
        <v>1112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883</v>
      </c>
      <c r="F694" s="168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439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435</v>
      </c>
      <c r="L699" s="56" t="s">
        <v>1113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882</v>
      </c>
      <c r="F703" s="168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439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435</v>
      </c>
      <c r="L708" s="56" t="s">
        <v>1114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439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763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435</v>
      </c>
      <c r="L717" s="56" t="s">
        <v>1115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439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794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435</v>
      </c>
      <c r="L726" s="56" t="s">
        <v>1116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439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855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435</v>
      </c>
      <c r="L735" s="56" t="s">
        <v>1117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439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1118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435</v>
      </c>
      <c r="L744" s="56" t="s">
        <v>1119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439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841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435</v>
      </c>
      <c r="L753" s="56" t="s">
        <v>1120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439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825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435</v>
      </c>
      <c r="L762" s="56" t="s">
        <v>1121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877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435</v>
      </c>
      <c r="L770" s="56" t="s">
        <v>1122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470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471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470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471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470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471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435</v>
      </c>
      <c r="L782" s="56" t="s">
        <v>1123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474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474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474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435</v>
      </c>
      <c r="L793" s="56" t="s">
        <v>1124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435</v>
      </c>
      <c r="L801" s="56" t="s">
        <v>1175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1170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1170</v>
      </c>
      <c r="F803" s="168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1172</v>
      </c>
      <c r="F804" s="168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1173</v>
      </c>
      <c r="F805" s="168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1170</v>
      </c>
      <c r="F806" s="168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1172</v>
      </c>
      <c r="F807" s="168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435</v>
      </c>
      <c r="L810" s="56" t="s">
        <v>1182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1170</v>
      </c>
      <c r="F811" s="168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1180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435</v>
      </c>
      <c r="L815" s="56" t="s">
        <v>1183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1170</v>
      </c>
      <c r="F816" s="168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1180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1180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435</v>
      </c>
      <c r="L821" s="56" t="s">
        <v>1184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1170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1179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435</v>
      </c>
      <c r="L827" s="56" t="s">
        <v>1185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1170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1179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435</v>
      </c>
      <c r="L833" s="56" t="s">
        <v>1190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1170</v>
      </c>
      <c r="F834" s="168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1170</v>
      </c>
      <c r="F835" s="168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1170</v>
      </c>
      <c r="F836" s="168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1170</v>
      </c>
      <c r="F837" s="168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435</v>
      </c>
      <c r="L843" s="56" t="s">
        <v>1211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435</v>
      </c>
      <c r="L849" s="56" t="s">
        <v>1212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435</v>
      </c>
      <c r="L855" s="56" t="s">
        <v>1213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435</v>
      </c>
      <c r="L861" s="56" t="s">
        <v>1214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435</v>
      </c>
      <c r="L867" s="56" t="s">
        <v>1215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457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435</v>
      </c>
      <c r="L873" s="56" t="s">
        <v>1216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435</v>
      </c>
      <c r="L879" s="56" t="s">
        <v>1217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874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435</v>
      </c>
      <c r="L885" s="56" t="s">
        <v>1218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874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1219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435</v>
      </c>
      <c r="L891" s="56" t="s">
        <v>1233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1235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435</v>
      </c>
      <c r="L897" s="68" t="s">
        <v>1236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M843:N843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843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K849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M849:N849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849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K855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M855:N855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855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K861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M861:N861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861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67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67:N867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67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73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73:N873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73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79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79:N879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79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85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85:N885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85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91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91:N891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91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97">
    <cfRule type="cellIs" dxfId="9" priority="5" operator="equal">
      <formula>0</formula>
    </cfRule>
    <cfRule type="cellIs" dxfId="8" priority="6" operator="equal">
      <formula>1</formula>
    </cfRule>
  </conditionalFormatting>
  <conditionalFormatting sqref="J897">
    <cfRule type="cellIs" dxfId="7" priority="3" operator="equal">
      <formula>0</formula>
    </cfRule>
    <cfRule type="cellIs" dxfId="6" priority="4" operator="equal">
      <formula>1</formula>
    </cfRule>
  </conditionalFormatting>
  <conditionalFormatting sqref="M897:N897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defaultRowHeight="15"/>
  <cols>
    <col min="1" max="1" width="7.7109375" bestFit="1" customWidth="1"/>
    <col min="2" max="2" width="12.42578125" bestFit="1" customWidth="1"/>
    <col min="3" max="3" width="113.5703125" bestFit="1" customWidth="1"/>
  </cols>
  <sheetData>
    <row r="1" spans="1:3" ht="15.75" thickBot="1">
      <c r="A1" s="9" t="s">
        <v>1041</v>
      </c>
      <c r="B1" s="11" t="s">
        <v>1238</v>
      </c>
      <c r="C1" s="10" t="s">
        <v>1239</v>
      </c>
    </row>
    <row r="2" spans="1:3">
      <c r="A2" s="6">
        <v>1.06</v>
      </c>
      <c r="B2" s="203">
        <v>46090.407199074078</v>
      </c>
      <c r="C2" s="6" t="s">
        <v>1240</v>
      </c>
    </row>
    <row r="3" spans="1:3">
      <c r="A3" s="6">
        <v>1.06</v>
      </c>
      <c r="B3" s="203">
        <v>46090.407210648147</v>
      </c>
      <c r="C3" s="6" t="s">
        <v>1241</v>
      </c>
    </row>
    <row r="4" spans="1:3">
      <c r="A4" s="6">
        <v>1.06</v>
      </c>
      <c r="B4" s="203">
        <v>46090.407210648147</v>
      </c>
      <c r="C4" s="6" t="s">
        <v>1242</v>
      </c>
    </row>
    <row r="5" spans="1:3">
      <c r="A5" s="6">
        <v>1.99</v>
      </c>
      <c r="B5" s="203">
        <v>46090.407210648147</v>
      </c>
      <c r="C5" s="6" t="s">
        <v>1243</v>
      </c>
    </row>
    <row r="6" spans="1:3">
      <c r="A6" s="6">
        <v>2</v>
      </c>
      <c r="B6" s="203">
        <v>46090.414097222223</v>
      </c>
      <c r="C6" s="6" t="s">
        <v>1244</v>
      </c>
    </row>
    <row r="7" spans="1:3">
      <c r="A7" s="6">
        <v>2</v>
      </c>
      <c r="B7" s="203">
        <v>46090.4141087963</v>
      </c>
      <c r="C7" s="6" t="s">
        <v>1245</v>
      </c>
    </row>
    <row r="8" spans="1:3">
      <c r="A8" s="6"/>
      <c r="B8" s="203"/>
      <c r="C8" s="6"/>
    </row>
    <row r="9" spans="1:3">
      <c r="A9" s="6"/>
      <c r="B9" s="203"/>
      <c r="C9" s="6"/>
    </row>
    <row r="10" spans="1:3">
      <c r="A10" s="6"/>
      <c r="B10" s="203"/>
      <c r="C10" s="6"/>
    </row>
    <row r="11" spans="1:3">
      <c r="A11" s="6"/>
      <c r="B11" s="203"/>
      <c r="C11" s="6"/>
    </row>
    <row r="12" spans="1:3">
      <c r="A12" s="6"/>
      <c r="B12" s="203"/>
      <c r="C12" s="6"/>
    </row>
    <row r="13" spans="1:3">
      <c r="A13" s="6"/>
      <c r="B13" s="203"/>
      <c r="C13" s="6"/>
    </row>
    <row r="14" spans="1:3">
      <c r="A14" s="6"/>
      <c r="B14" s="203"/>
      <c r="C14" s="6"/>
    </row>
    <row r="15" spans="1:3">
      <c r="A15" s="6"/>
      <c r="B15" s="203"/>
      <c r="C15" s="6"/>
    </row>
    <row r="16" spans="1:3">
      <c r="A16" s="6"/>
      <c r="B16" s="203"/>
      <c r="C16" s="6"/>
    </row>
    <row r="17" spans="1:3">
      <c r="A17" s="6"/>
      <c r="B17" s="203"/>
      <c r="C17" s="6"/>
    </row>
    <row r="18" spans="1:3">
      <c r="A18" s="6"/>
      <c r="B18" s="6"/>
      <c r="C18" s="6"/>
    </row>
    <row r="19" spans="1:3">
      <c r="A19" s="6"/>
      <c r="B19" s="6"/>
      <c r="C19" s="6"/>
    </row>
    <row r="20" spans="1:3">
      <c r="A20" s="6"/>
      <c r="B20" s="6"/>
      <c r="C20" s="6"/>
    </row>
    <row r="21" spans="1:3">
      <c r="A21" s="6"/>
      <c r="B21" s="6"/>
      <c r="C21" s="6"/>
    </row>
    <row r="22" spans="1:3">
      <c r="A22" s="6"/>
      <c r="B22" s="6"/>
      <c r="C22" s="6"/>
    </row>
    <row r="23" spans="1:3">
      <c r="A23" s="6"/>
      <c r="B23" s="6"/>
      <c r="C23" s="6"/>
    </row>
    <row r="24" spans="1:3">
      <c r="A24" s="6"/>
      <c r="B24" s="6"/>
      <c r="C24" s="6"/>
    </row>
    <row r="25" spans="1:3">
      <c r="A25" s="6"/>
      <c r="B25" s="6"/>
      <c r="C25" s="6"/>
    </row>
    <row r="26" spans="1:3">
      <c r="A26" s="6"/>
      <c r="B26" s="6"/>
      <c r="C26" s="6"/>
    </row>
    <row r="27" spans="1:3">
      <c r="A27" s="6"/>
      <c r="B27" s="6"/>
      <c r="C27" s="6"/>
    </row>
    <row r="28" spans="1:3">
      <c r="A28" s="6"/>
      <c r="B28" s="6"/>
      <c r="C28" s="6"/>
    </row>
    <row r="29" spans="1:3">
      <c r="A29" s="6"/>
      <c r="B29" s="6"/>
      <c r="C29" s="6"/>
    </row>
    <row r="30" spans="1:3">
      <c r="A30" s="6"/>
      <c r="B30" s="6"/>
      <c r="C30" s="6"/>
    </row>
    <row r="31" spans="1:3">
      <c r="A31" s="6"/>
      <c r="B31" s="6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I255"/>
  <sheetViews>
    <sheetView workbookViewId="0">
      <pane xSplit="2" ySplit="1" topLeftCell="C221" activePane="bottomRight" state="frozen"/>
      <selection pane="topRight" activeCell="C1" sqref="C1"/>
      <selection pane="bottomLeft" activeCell="A2" sqref="A2"/>
      <selection pane="bottomRight" sqref="A1:I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9" ht="15.75" thickBot="1">
      <c r="A1" s="30" t="s">
        <v>885</v>
      </c>
      <c r="B1" s="53" t="s">
        <v>138</v>
      </c>
      <c r="C1" s="53" t="s">
        <v>886</v>
      </c>
      <c r="D1" s="41" t="s">
        <v>129</v>
      </c>
      <c r="E1" s="41" t="s">
        <v>130</v>
      </c>
      <c r="F1" s="41" t="s">
        <v>505</v>
      </c>
      <c r="G1" s="41" t="s">
        <v>506</v>
      </c>
      <c r="H1" s="41" t="s">
        <v>3</v>
      </c>
      <c r="I1" s="154" t="s">
        <v>148</v>
      </c>
    </row>
    <row r="2" spans="1:9">
      <c r="A2" s="39" t="s">
        <v>110</v>
      </c>
      <c r="B2" s="54" t="s">
        <v>221</v>
      </c>
      <c r="C2" s="54">
        <f t="shared" ref="C2:C65" si="0">COUNTA(D2:E2)</f>
        <v>0</v>
      </c>
      <c r="D2" s="39"/>
      <c r="E2" s="39"/>
      <c r="F2" s="39">
        <v>1</v>
      </c>
      <c r="G2" s="39">
        <v>4</v>
      </c>
      <c r="H2" s="39" t="s">
        <v>507</v>
      </c>
      <c r="I2" s="39" t="str">
        <f>A2</f>
        <v>NOP</v>
      </c>
    </row>
    <row r="3" spans="1:9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  <c r="I3" s="6" t="str">
        <f t="shared" ref="I3:I66" si="1">A3</f>
        <v>LXI</v>
      </c>
    </row>
    <row r="4" spans="1:9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  <c r="I4" s="6" t="str">
        <f t="shared" si="1"/>
        <v>STAX</v>
      </c>
    </row>
    <row r="5" spans="1:9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  <c r="I5" s="6" t="str">
        <f t="shared" si="1"/>
        <v>INX</v>
      </c>
    </row>
    <row r="6" spans="1:9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  <c r="I6" s="6" t="str">
        <f t="shared" si="1"/>
        <v>INR</v>
      </c>
    </row>
    <row r="7" spans="1:9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  <c r="I7" s="6" t="str">
        <f t="shared" si="1"/>
        <v>DCR</v>
      </c>
    </row>
    <row r="8" spans="1:9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  <c r="I8" s="6" t="str">
        <f t="shared" si="1"/>
        <v>MVI</v>
      </c>
    </row>
    <row r="9" spans="1:9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  <c r="I9" s="6" t="str">
        <f t="shared" si="1"/>
        <v>RLC</v>
      </c>
    </row>
    <row r="10" spans="1:9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  <c r="I10" s="6" t="str">
        <f t="shared" si="1"/>
        <v>PRT</v>
      </c>
    </row>
    <row r="11" spans="1:9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  <c r="I11" s="6" t="str">
        <f t="shared" si="1"/>
        <v>DAD</v>
      </c>
    </row>
    <row r="12" spans="1:9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  <c r="I12" s="6" t="str">
        <f t="shared" si="1"/>
        <v>LDAX</v>
      </c>
    </row>
    <row r="13" spans="1:9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  <c r="I13" s="6" t="str">
        <f t="shared" si="1"/>
        <v>DCX</v>
      </c>
    </row>
    <row r="14" spans="1:9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  <c r="I14" s="6" t="str">
        <f t="shared" si="1"/>
        <v>INR</v>
      </c>
    </row>
    <row r="15" spans="1:9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  <c r="I15" s="6" t="str">
        <f t="shared" si="1"/>
        <v>DCR</v>
      </c>
    </row>
    <row r="16" spans="1:9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  <c r="I16" s="6" t="str">
        <f t="shared" si="1"/>
        <v>MVI</v>
      </c>
    </row>
    <row r="17" spans="1:9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  <c r="I17" s="6" t="str">
        <f t="shared" si="1"/>
        <v>RRC</v>
      </c>
    </row>
    <row r="18" spans="1:9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  <c r="I18" s="6" t="str">
        <f t="shared" si="1"/>
        <v>NOP</v>
      </c>
    </row>
    <row r="19" spans="1:9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  <c r="I19" s="6" t="str">
        <f t="shared" si="1"/>
        <v>LXI</v>
      </c>
    </row>
    <row r="20" spans="1:9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  <c r="I20" s="6" t="str">
        <f t="shared" si="1"/>
        <v>STAX</v>
      </c>
    </row>
    <row r="21" spans="1:9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  <c r="I21" s="6" t="str">
        <f t="shared" si="1"/>
        <v>INX</v>
      </c>
    </row>
    <row r="22" spans="1:9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  <c r="I22" s="6" t="str">
        <f t="shared" si="1"/>
        <v>INR</v>
      </c>
    </row>
    <row r="23" spans="1:9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  <c r="I23" s="6" t="str">
        <f t="shared" si="1"/>
        <v>DCR</v>
      </c>
    </row>
    <row r="24" spans="1:9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  <c r="I24" s="6" t="str">
        <f t="shared" si="1"/>
        <v>MVI</v>
      </c>
    </row>
    <row r="25" spans="1:9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  <c r="I25" s="6" t="str">
        <f t="shared" si="1"/>
        <v>RAL</v>
      </c>
    </row>
    <row r="26" spans="1:9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  <c r="I26" s="6" t="str">
        <f t="shared" si="1"/>
        <v>NOP</v>
      </c>
    </row>
    <row r="27" spans="1:9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  <c r="I27" s="6" t="str">
        <f t="shared" si="1"/>
        <v>DAD</v>
      </c>
    </row>
    <row r="28" spans="1:9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  <c r="I28" s="6" t="str">
        <f t="shared" si="1"/>
        <v>LDAX</v>
      </c>
    </row>
    <row r="29" spans="1:9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  <c r="I29" s="6" t="str">
        <f t="shared" si="1"/>
        <v>DCX</v>
      </c>
    </row>
    <row r="30" spans="1:9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  <c r="I30" s="6" t="str">
        <f t="shared" si="1"/>
        <v>INR</v>
      </c>
    </row>
    <row r="31" spans="1:9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  <c r="I31" s="6" t="str">
        <f t="shared" si="1"/>
        <v>DCR</v>
      </c>
    </row>
    <row r="32" spans="1:9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  <c r="I32" s="6" t="str">
        <f t="shared" si="1"/>
        <v>MVI</v>
      </c>
    </row>
    <row r="33" spans="1:9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  <c r="I33" s="6" t="str">
        <f t="shared" si="1"/>
        <v>RAR</v>
      </c>
    </row>
    <row r="34" spans="1:9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  <c r="I34" s="6" t="str">
        <f t="shared" si="1"/>
        <v>NOP</v>
      </c>
    </row>
    <row r="35" spans="1:9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  <c r="I35" s="6" t="str">
        <f t="shared" si="1"/>
        <v>LXI</v>
      </c>
    </row>
    <row r="36" spans="1:9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  <c r="I36" s="6" t="str">
        <f t="shared" si="1"/>
        <v>SHLD</v>
      </c>
    </row>
    <row r="37" spans="1:9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  <c r="I37" s="6" t="str">
        <f t="shared" si="1"/>
        <v>INX</v>
      </c>
    </row>
    <row r="38" spans="1:9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  <c r="I38" s="6" t="str">
        <f t="shared" si="1"/>
        <v>INR</v>
      </c>
    </row>
    <row r="39" spans="1:9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  <c r="I39" s="6" t="str">
        <f t="shared" si="1"/>
        <v>DCR</v>
      </c>
    </row>
    <row r="40" spans="1:9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  <c r="I40" s="6" t="str">
        <f t="shared" si="1"/>
        <v>MVI</v>
      </c>
    </row>
    <row r="41" spans="1:9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  <c r="I41" s="6" t="str">
        <f t="shared" si="1"/>
        <v>DAA</v>
      </c>
    </row>
    <row r="42" spans="1:9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  <c r="I42" s="6" t="str">
        <f t="shared" si="1"/>
        <v>NOP</v>
      </c>
    </row>
    <row r="43" spans="1:9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  <c r="I43" s="6" t="str">
        <f t="shared" si="1"/>
        <v>DAD</v>
      </c>
    </row>
    <row r="44" spans="1:9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  <c r="I44" s="6" t="str">
        <f t="shared" si="1"/>
        <v>LHLD</v>
      </c>
    </row>
    <row r="45" spans="1:9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  <c r="I45" s="6" t="str">
        <f t="shared" si="1"/>
        <v>DCX</v>
      </c>
    </row>
    <row r="46" spans="1:9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  <c r="I46" s="6" t="str">
        <f t="shared" si="1"/>
        <v>INR</v>
      </c>
    </row>
    <row r="47" spans="1:9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  <c r="I47" s="6" t="str">
        <f t="shared" si="1"/>
        <v>DCR</v>
      </c>
    </row>
    <row r="48" spans="1:9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  <c r="I48" s="6" t="str">
        <f t="shared" si="1"/>
        <v>MVI</v>
      </c>
    </row>
    <row r="49" spans="1:9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  <c r="I49" s="6" t="str">
        <f t="shared" si="1"/>
        <v>CMA</v>
      </c>
    </row>
    <row r="50" spans="1:9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  <c r="I50" s="6" t="str">
        <f t="shared" si="1"/>
        <v>PRI</v>
      </c>
    </row>
    <row r="51" spans="1:9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  <c r="I51" s="6" t="str">
        <f t="shared" si="1"/>
        <v>LXI</v>
      </c>
    </row>
    <row r="52" spans="1:9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  <c r="I52" s="6" t="str">
        <f t="shared" si="1"/>
        <v>STA</v>
      </c>
    </row>
    <row r="53" spans="1:9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  <c r="I53" s="6" t="str">
        <f t="shared" si="1"/>
        <v>INX</v>
      </c>
    </row>
    <row r="54" spans="1:9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  <c r="I54" s="6" t="str">
        <f t="shared" si="1"/>
        <v>INR</v>
      </c>
    </row>
    <row r="55" spans="1:9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  <c r="I55" s="6" t="str">
        <f t="shared" si="1"/>
        <v>DCR</v>
      </c>
    </row>
    <row r="56" spans="1:9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  <c r="I56" s="6" t="str">
        <f t="shared" si="1"/>
        <v>MVI</v>
      </c>
    </row>
    <row r="57" spans="1:9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  <c r="I57" s="6" t="str">
        <f t="shared" si="1"/>
        <v>STC</v>
      </c>
    </row>
    <row r="58" spans="1:9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  <c r="I58" s="6" t="str">
        <f t="shared" si="1"/>
        <v>END</v>
      </c>
    </row>
    <row r="59" spans="1:9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  <c r="I59" s="6" t="str">
        <f t="shared" si="1"/>
        <v>DAD</v>
      </c>
    </row>
    <row r="60" spans="1:9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  <c r="I60" s="6" t="str">
        <f t="shared" si="1"/>
        <v>LDA</v>
      </c>
    </row>
    <row r="61" spans="1:9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DCX</v>
      </c>
    </row>
    <row r="62" spans="1:9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  <c r="I62" s="6" t="str">
        <f t="shared" si="1"/>
        <v>INR</v>
      </c>
    </row>
    <row r="63" spans="1:9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  <c r="I63" s="6" t="str">
        <f t="shared" si="1"/>
        <v>DCR</v>
      </c>
    </row>
    <row r="64" spans="1:9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  <c r="I64" s="6" t="str">
        <f t="shared" si="1"/>
        <v>MVI</v>
      </c>
    </row>
    <row r="65" spans="1:9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  <c r="I65" s="6" t="str">
        <f t="shared" si="1"/>
        <v>CMC</v>
      </c>
    </row>
    <row r="66" spans="1:9">
      <c r="A66" s="6" t="s">
        <v>187</v>
      </c>
      <c r="B66" s="55" t="s">
        <v>916</v>
      </c>
      <c r="C66" s="55">
        <f t="shared" ref="C66:C129" si="2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  <c r="I66" s="6" t="str">
        <f t="shared" si="1"/>
        <v>MOV</v>
      </c>
    </row>
    <row r="67" spans="1:9">
      <c r="A67" s="6" t="s">
        <v>187</v>
      </c>
      <c r="B67" s="55" t="s">
        <v>917</v>
      </c>
      <c r="C67" s="55">
        <f t="shared" si="2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  <c r="I67" s="6" t="str">
        <f t="shared" ref="I67:I130" si="3">A67</f>
        <v>MOV</v>
      </c>
    </row>
    <row r="68" spans="1:9">
      <c r="A68" s="6" t="s">
        <v>187</v>
      </c>
      <c r="B68" s="55" t="s">
        <v>491</v>
      </c>
      <c r="C68" s="55">
        <f t="shared" si="2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  <c r="I68" s="6" t="str">
        <f t="shared" si="3"/>
        <v>MOV</v>
      </c>
    </row>
    <row r="69" spans="1:9">
      <c r="A69" s="6" t="s">
        <v>187</v>
      </c>
      <c r="B69" s="55" t="s">
        <v>918</v>
      </c>
      <c r="C69" s="55">
        <f t="shared" si="2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  <c r="I69" s="6" t="str">
        <f t="shared" si="3"/>
        <v>MOV</v>
      </c>
    </row>
    <row r="70" spans="1:9">
      <c r="A70" s="6" t="s">
        <v>187</v>
      </c>
      <c r="B70" s="55" t="s">
        <v>919</v>
      </c>
      <c r="C70" s="55">
        <f t="shared" si="2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  <c r="I70" s="6" t="str">
        <f t="shared" si="3"/>
        <v>MOV</v>
      </c>
    </row>
    <row r="71" spans="1:9">
      <c r="A71" s="6" t="s">
        <v>187</v>
      </c>
      <c r="B71" s="55" t="s">
        <v>920</v>
      </c>
      <c r="C71" s="55">
        <f t="shared" si="2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  <c r="I71" s="6" t="str">
        <f t="shared" si="3"/>
        <v>MOV</v>
      </c>
    </row>
    <row r="72" spans="1:9">
      <c r="A72" s="6" t="s">
        <v>187</v>
      </c>
      <c r="B72" s="55" t="s">
        <v>921</v>
      </c>
      <c r="C72" s="55">
        <f t="shared" si="2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  <c r="I72" s="6" t="str">
        <f t="shared" si="3"/>
        <v>MOV</v>
      </c>
    </row>
    <row r="73" spans="1:9">
      <c r="A73" s="6" t="s">
        <v>187</v>
      </c>
      <c r="B73" s="55" t="s">
        <v>922</v>
      </c>
      <c r="C73" s="55">
        <f t="shared" si="2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  <c r="I73" s="6" t="str">
        <f t="shared" si="3"/>
        <v>MOV</v>
      </c>
    </row>
    <row r="74" spans="1:9">
      <c r="A74" s="6" t="s">
        <v>187</v>
      </c>
      <c r="B74" s="55" t="s">
        <v>923</v>
      </c>
      <c r="C74" s="55">
        <f t="shared" si="2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  <c r="I74" s="6" t="str">
        <f t="shared" si="3"/>
        <v>MOV</v>
      </c>
    </row>
    <row r="75" spans="1:9">
      <c r="A75" s="6" t="s">
        <v>187</v>
      </c>
      <c r="B75" s="55" t="s">
        <v>924</v>
      </c>
      <c r="C75" s="55">
        <f t="shared" si="2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  <c r="I75" s="6" t="str">
        <f t="shared" si="3"/>
        <v>MOV</v>
      </c>
    </row>
    <row r="76" spans="1:9">
      <c r="A76" s="6" t="s">
        <v>187</v>
      </c>
      <c r="B76" s="55" t="s">
        <v>591</v>
      </c>
      <c r="C76" s="55">
        <f t="shared" si="2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  <c r="I76" s="6" t="str">
        <f t="shared" si="3"/>
        <v>MOV</v>
      </c>
    </row>
    <row r="77" spans="1:9">
      <c r="A77" s="6" t="s">
        <v>187</v>
      </c>
      <c r="B77" s="55" t="s">
        <v>593</v>
      </c>
      <c r="C77" s="55">
        <f t="shared" si="2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  <c r="I77" s="6" t="str">
        <f t="shared" si="3"/>
        <v>MOV</v>
      </c>
    </row>
    <row r="78" spans="1:9">
      <c r="A78" s="6" t="s">
        <v>187</v>
      </c>
      <c r="B78" s="55" t="s">
        <v>595</v>
      </c>
      <c r="C78" s="55">
        <f t="shared" si="2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  <c r="I78" s="6" t="str">
        <f t="shared" si="3"/>
        <v>MOV</v>
      </c>
    </row>
    <row r="79" spans="1:9">
      <c r="A79" s="6" t="s">
        <v>187</v>
      </c>
      <c r="B79" s="55" t="s">
        <v>597</v>
      </c>
      <c r="C79" s="55">
        <f t="shared" si="2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  <c r="I79" s="6" t="str">
        <f t="shared" si="3"/>
        <v>MOV</v>
      </c>
    </row>
    <row r="80" spans="1:9">
      <c r="A80" s="6" t="s">
        <v>187</v>
      </c>
      <c r="B80" s="55" t="s">
        <v>599</v>
      </c>
      <c r="C80" s="55">
        <f t="shared" si="2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  <c r="I80" s="6" t="str">
        <f t="shared" si="3"/>
        <v>MOV</v>
      </c>
    </row>
    <row r="81" spans="1:9">
      <c r="A81" s="6" t="s">
        <v>187</v>
      </c>
      <c r="B81" s="55" t="s">
        <v>601</v>
      </c>
      <c r="C81" s="55">
        <f t="shared" si="2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  <c r="I81" s="6" t="str">
        <f t="shared" si="3"/>
        <v>MOV</v>
      </c>
    </row>
    <row r="82" spans="1:9">
      <c r="A82" s="6" t="s">
        <v>187</v>
      </c>
      <c r="B82" s="55" t="s">
        <v>925</v>
      </c>
      <c r="C82" s="55">
        <f t="shared" si="2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  <c r="I82" s="6" t="str">
        <f t="shared" si="3"/>
        <v>MOV</v>
      </c>
    </row>
    <row r="83" spans="1:9">
      <c r="A83" s="6" t="s">
        <v>187</v>
      </c>
      <c r="B83" s="55" t="s">
        <v>926</v>
      </c>
      <c r="C83" s="55">
        <f t="shared" si="2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  <c r="I83" s="6" t="str">
        <f t="shared" si="3"/>
        <v>MOV</v>
      </c>
    </row>
    <row r="84" spans="1:9">
      <c r="A84" s="6" t="s">
        <v>187</v>
      </c>
      <c r="B84" s="55" t="s">
        <v>927</v>
      </c>
      <c r="C84" s="55">
        <f t="shared" si="2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  <c r="I84" s="6" t="str">
        <f t="shared" si="3"/>
        <v>MOV</v>
      </c>
    </row>
    <row r="85" spans="1:9">
      <c r="A85" s="6" t="s">
        <v>187</v>
      </c>
      <c r="B85" s="55" t="s">
        <v>928</v>
      </c>
      <c r="C85" s="55">
        <f t="shared" si="2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  <c r="I85" s="6" t="str">
        <f t="shared" si="3"/>
        <v>MOV</v>
      </c>
    </row>
    <row r="86" spans="1:9">
      <c r="A86" s="6" t="s">
        <v>187</v>
      </c>
      <c r="B86" s="55" t="s">
        <v>929</v>
      </c>
      <c r="C86" s="55">
        <f t="shared" si="2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  <c r="I86" s="6" t="str">
        <f t="shared" si="3"/>
        <v>MOV</v>
      </c>
    </row>
    <row r="87" spans="1:9">
      <c r="A87" s="6" t="s">
        <v>187</v>
      </c>
      <c r="B87" s="55" t="s">
        <v>191</v>
      </c>
      <c r="C87" s="55">
        <f t="shared" si="2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  <c r="I87" s="6" t="str">
        <f t="shared" si="3"/>
        <v>MOV</v>
      </c>
    </row>
    <row r="88" spans="1:9">
      <c r="A88" s="6" t="s">
        <v>187</v>
      </c>
      <c r="B88" s="55" t="s">
        <v>930</v>
      </c>
      <c r="C88" s="55">
        <f t="shared" si="2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  <c r="I88" s="6" t="str">
        <f t="shared" si="3"/>
        <v>MOV</v>
      </c>
    </row>
    <row r="89" spans="1:9">
      <c r="A89" s="6" t="s">
        <v>187</v>
      </c>
      <c r="B89" s="55" t="s">
        <v>931</v>
      </c>
      <c r="C89" s="55">
        <f t="shared" si="2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  <c r="I89" s="6" t="str">
        <f t="shared" si="3"/>
        <v>MOV</v>
      </c>
    </row>
    <row r="90" spans="1:9">
      <c r="A90" s="6" t="s">
        <v>187</v>
      </c>
      <c r="B90" s="55" t="s">
        <v>932</v>
      </c>
      <c r="C90" s="55">
        <f t="shared" si="2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  <c r="I90" s="6" t="str">
        <f t="shared" si="3"/>
        <v>MOV</v>
      </c>
    </row>
    <row r="91" spans="1:9">
      <c r="A91" s="6" t="s">
        <v>187</v>
      </c>
      <c r="B91" s="55" t="s">
        <v>933</v>
      </c>
      <c r="C91" s="55">
        <f t="shared" si="2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  <c r="I91" s="6" t="str">
        <f t="shared" si="3"/>
        <v>MOV</v>
      </c>
    </row>
    <row r="92" spans="1:9">
      <c r="A92" s="6" t="s">
        <v>187</v>
      </c>
      <c r="B92" s="55" t="s">
        <v>364</v>
      </c>
      <c r="C92" s="55">
        <f t="shared" si="2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  <c r="I92" s="6" t="str">
        <f t="shared" si="3"/>
        <v>MOV</v>
      </c>
    </row>
    <row r="93" spans="1:9">
      <c r="A93" s="6" t="s">
        <v>187</v>
      </c>
      <c r="B93" s="55" t="s">
        <v>614</v>
      </c>
      <c r="C93" s="55">
        <f t="shared" si="2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  <c r="I93" s="6" t="str">
        <f t="shared" si="3"/>
        <v>MOV</v>
      </c>
    </row>
    <row r="94" spans="1:9">
      <c r="A94" s="6" t="s">
        <v>187</v>
      </c>
      <c r="B94" s="55" t="s">
        <v>616</v>
      </c>
      <c r="C94" s="55">
        <f t="shared" si="2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  <c r="I94" s="6" t="str">
        <f t="shared" si="3"/>
        <v>MOV</v>
      </c>
    </row>
    <row r="95" spans="1:9">
      <c r="A95" s="6" t="s">
        <v>187</v>
      </c>
      <c r="B95" s="55" t="s">
        <v>618</v>
      </c>
      <c r="C95" s="55">
        <f t="shared" si="2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  <c r="I95" s="6" t="str">
        <f t="shared" si="3"/>
        <v>MOV</v>
      </c>
    </row>
    <row r="96" spans="1:9">
      <c r="A96" s="6" t="s">
        <v>187</v>
      </c>
      <c r="B96" s="55" t="s">
        <v>620</v>
      </c>
      <c r="C96" s="55">
        <f t="shared" si="2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  <c r="I96" s="6" t="str">
        <f t="shared" si="3"/>
        <v>MOV</v>
      </c>
    </row>
    <row r="97" spans="1:9">
      <c r="A97" s="6" t="s">
        <v>187</v>
      </c>
      <c r="B97" s="55" t="s">
        <v>622</v>
      </c>
      <c r="C97" s="55">
        <f t="shared" si="2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  <c r="I97" s="6" t="str">
        <f t="shared" si="3"/>
        <v>MOV</v>
      </c>
    </row>
    <row r="98" spans="1:9">
      <c r="A98" s="6" t="s">
        <v>187</v>
      </c>
      <c r="B98" s="55" t="s">
        <v>934</v>
      </c>
      <c r="C98" s="55">
        <f t="shared" si="2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  <c r="I98" s="6" t="str">
        <f t="shared" si="3"/>
        <v>MOV</v>
      </c>
    </row>
    <row r="99" spans="1:9">
      <c r="A99" s="6" t="s">
        <v>187</v>
      </c>
      <c r="B99" s="55" t="s">
        <v>935</v>
      </c>
      <c r="C99" s="55">
        <f t="shared" si="2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  <c r="I99" s="6" t="str">
        <f t="shared" si="3"/>
        <v>MOV</v>
      </c>
    </row>
    <row r="100" spans="1:9">
      <c r="A100" s="6" t="s">
        <v>187</v>
      </c>
      <c r="B100" s="55" t="s">
        <v>936</v>
      </c>
      <c r="C100" s="55">
        <f t="shared" si="2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  <c r="I100" s="6" t="str">
        <f t="shared" si="3"/>
        <v>MOV</v>
      </c>
    </row>
    <row r="101" spans="1:9">
      <c r="A101" s="6" t="s">
        <v>187</v>
      </c>
      <c r="B101" s="55" t="s">
        <v>937</v>
      </c>
      <c r="C101" s="55">
        <f t="shared" si="2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  <c r="I101" s="6" t="str">
        <f t="shared" si="3"/>
        <v>MOV</v>
      </c>
    </row>
    <row r="102" spans="1:9">
      <c r="A102" s="6" t="s">
        <v>187</v>
      </c>
      <c r="B102" s="55" t="s">
        <v>938</v>
      </c>
      <c r="C102" s="55">
        <f t="shared" si="2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  <c r="I102" s="6" t="str">
        <f t="shared" si="3"/>
        <v>MOV</v>
      </c>
    </row>
    <row r="103" spans="1:9">
      <c r="A103" s="6" t="s">
        <v>187</v>
      </c>
      <c r="B103" s="55" t="s">
        <v>939</v>
      </c>
      <c r="C103" s="55">
        <f t="shared" si="2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  <c r="I103" s="6" t="str">
        <f t="shared" si="3"/>
        <v>MOV</v>
      </c>
    </row>
    <row r="104" spans="1:9">
      <c r="A104" s="6" t="s">
        <v>187</v>
      </c>
      <c r="B104" s="55" t="s">
        <v>940</v>
      </c>
      <c r="C104" s="55">
        <f t="shared" si="2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  <c r="I104" s="6" t="str">
        <f t="shared" si="3"/>
        <v>MOV</v>
      </c>
    </row>
    <row r="105" spans="1:9">
      <c r="A105" s="6" t="s">
        <v>187</v>
      </c>
      <c r="B105" s="55" t="s">
        <v>941</v>
      </c>
      <c r="C105" s="55">
        <f t="shared" si="2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  <c r="I105" s="6" t="str">
        <f t="shared" si="3"/>
        <v>MOV</v>
      </c>
    </row>
    <row r="106" spans="1:9">
      <c r="A106" s="6" t="s">
        <v>187</v>
      </c>
      <c r="B106" s="55" t="s">
        <v>942</v>
      </c>
      <c r="C106" s="55">
        <f t="shared" si="2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  <c r="I106" s="6" t="str">
        <f t="shared" si="3"/>
        <v>MOV</v>
      </c>
    </row>
    <row r="107" spans="1:9">
      <c r="A107" s="6" t="s">
        <v>187</v>
      </c>
      <c r="B107" s="55" t="s">
        <v>943</v>
      </c>
      <c r="C107" s="55">
        <f t="shared" si="2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  <c r="I107" s="6" t="str">
        <f t="shared" si="3"/>
        <v>MOV</v>
      </c>
    </row>
    <row r="108" spans="1:9">
      <c r="A108" s="6" t="s">
        <v>187</v>
      </c>
      <c r="B108" s="55" t="s">
        <v>634</v>
      </c>
      <c r="C108" s="55">
        <f t="shared" si="2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  <c r="I108" s="6" t="str">
        <f t="shared" si="3"/>
        <v>MOV</v>
      </c>
    </row>
    <row r="109" spans="1:9">
      <c r="A109" s="6" t="s">
        <v>187</v>
      </c>
      <c r="B109" s="55" t="s">
        <v>636</v>
      </c>
      <c r="C109" s="55">
        <f t="shared" si="2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  <c r="I109" s="6" t="str">
        <f t="shared" si="3"/>
        <v>MOV</v>
      </c>
    </row>
    <row r="110" spans="1:9">
      <c r="A110" s="6" t="s">
        <v>187</v>
      </c>
      <c r="B110" s="55" t="s">
        <v>638</v>
      </c>
      <c r="C110" s="55">
        <f t="shared" si="2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  <c r="I110" s="6" t="str">
        <f t="shared" si="3"/>
        <v>MOV</v>
      </c>
    </row>
    <row r="111" spans="1:9">
      <c r="A111" s="6" t="s">
        <v>187</v>
      </c>
      <c r="B111" s="55" t="s">
        <v>640</v>
      </c>
      <c r="C111" s="55">
        <f t="shared" si="2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  <c r="I111" s="6" t="str">
        <f t="shared" si="3"/>
        <v>MOV</v>
      </c>
    </row>
    <row r="112" spans="1:9">
      <c r="A112" s="6" t="s">
        <v>187</v>
      </c>
      <c r="B112" s="55" t="s">
        <v>642</v>
      </c>
      <c r="C112" s="55">
        <f t="shared" si="2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  <c r="I112" s="6" t="str">
        <f t="shared" si="3"/>
        <v>MOV</v>
      </c>
    </row>
    <row r="113" spans="1:9">
      <c r="A113" s="6" t="s">
        <v>187</v>
      </c>
      <c r="B113" s="55" t="s">
        <v>644</v>
      </c>
      <c r="C113" s="55">
        <f t="shared" si="2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  <c r="I113" s="6" t="str">
        <f t="shared" si="3"/>
        <v>MOV</v>
      </c>
    </row>
    <row r="114" spans="1:9">
      <c r="A114" s="6" t="s">
        <v>187</v>
      </c>
      <c r="B114" s="55" t="s">
        <v>944</v>
      </c>
      <c r="C114" s="55">
        <f t="shared" si="2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  <c r="I114" s="6" t="str">
        <f t="shared" si="3"/>
        <v>MOV</v>
      </c>
    </row>
    <row r="115" spans="1:9">
      <c r="A115" s="6" t="s">
        <v>187</v>
      </c>
      <c r="B115" s="55" t="s">
        <v>945</v>
      </c>
      <c r="C115" s="55">
        <f t="shared" si="2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  <c r="I115" s="6" t="str">
        <f t="shared" si="3"/>
        <v>MOV</v>
      </c>
    </row>
    <row r="116" spans="1:9">
      <c r="A116" s="6" t="s">
        <v>187</v>
      </c>
      <c r="B116" s="55" t="s">
        <v>946</v>
      </c>
      <c r="C116" s="55">
        <f t="shared" si="2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  <c r="I116" s="6" t="str">
        <f t="shared" si="3"/>
        <v>MOV</v>
      </c>
    </row>
    <row r="117" spans="1:9">
      <c r="A117" s="6" t="s">
        <v>187</v>
      </c>
      <c r="B117" s="55" t="s">
        <v>947</v>
      </c>
      <c r="C117" s="55">
        <f t="shared" si="2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  <c r="I117" s="6" t="str">
        <f t="shared" si="3"/>
        <v>MOV</v>
      </c>
    </row>
    <row r="118" spans="1:9">
      <c r="A118" s="6" t="s">
        <v>187</v>
      </c>
      <c r="B118" s="55" t="s">
        <v>948</v>
      </c>
      <c r="C118" s="55">
        <f t="shared" si="2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  <c r="I118" s="6" t="str">
        <f t="shared" si="3"/>
        <v>MOV</v>
      </c>
    </row>
    <row r="119" spans="1:9">
      <c r="A119" s="6" t="s">
        <v>187</v>
      </c>
      <c r="B119" s="55" t="s">
        <v>949</v>
      </c>
      <c r="C119" s="55">
        <f t="shared" si="2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  <c r="I119" s="6" t="str">
        <f t="shared" si="3"/>
        <v>MOV</v>
      </c>
    </row>
    <row r="120" spans="1:9">
      <c r="A120" s="6" t="s">
        <v>108</v>
      </c>
      <c r="B120" s="55" t="s">
        <v>950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652</v>
      </c>
      <c r="I120" s="6" t="str">
        <f t="shared" si="3"/>
        <v>HLT</v>
      </c>
    </row>
    <row r="121" spans="1:9">
      <c r="A121" s="6" t="s">
        <v>187</v>
      </c>
      <c r="B121" s="55" t="s">
        <v>951</v>
      </c>
      <c r="C121" s="55">
        <f t="shared" si="2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  <c r="I121" s="6" t="str">
        <f t="shared" si="3"/>
        <v>MOV</v>
      </c>
    </row>
    <row r="122" spans="1:9">
      <c r="A122" s="6" t="s">
        <v>187</v>
      </c>
      <c r="B122" s="55" t="s">
        <v>952</v>
      </c>
      <c r="C122" s="55">
        <f t="shared" si="2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  <c r="I122" s="6" t="str">
        <f t="shared" si="3"/>
        <v>MOV</v>
      </c>
    </row>
    <row r="123" spans="1:9">
      <c r="A123" s="6" t="s">
        <v>187</v>
      </c>
      <c r="B123" s="55" t="s">
        <v>953</v>
      </c>
      <c r="C123" s="55">
        <f t="shared" si="2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  <c r="I123" s="6" t="str">
        <f t="shared" si="3"/>
        <v>MOV</v>
      </c>
    </row>
    <row r="124" spans="1:9">
      <c r="A124" s="6" t="s">
        <v>187</v>
      </c>
      <c r="B124" s="55" t="s">
        <v>656</v>
      </c>
      <c r="C124" s="55">
        <f t="shared" si="2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  <c r="I124" s="6" t="str">
        <f t="shared" si="3"/>
        <v>MOV</v>
      </c>
    </row>
    <row r="125" spans="1:9">
      <c r="A125" s="6" t="s">
        <v>187</v>
      </c>
      <c r="B125" s="55" t="s">
        <v>658</v>
      </c>
      <c r="C125" s="55">
        <f t="shared" si="2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  <c r="I125" s="6" t="str">
        <f t="shared" si="3"/>
        <v>MOV</v>
      </c>
    </row>
    <row r="126" spans="1:9">
      <c r="A126" s="6" t="s">
        <v>187</v>
      </c>
      <c r="B126" s="55" t="s">
        <v>660</v>
      </c>
      <c r="C126" s="55">
        <f t="shared" si="2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  <c r="I126" s="6" t="str">
        <f t="shared" si="3"/>
        <v>MOV</v>
      </c>
    </row>
    <row r="127" spans="1:9">
      <c r="A127" s="6" t="s">
        <v>187</v>
      </c>
      <c r="B127" s="55" t="s">
        <v>662</v>
      </c>
      <c r="C127" s="55">
        <f t="shared" si="2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  <c r="I127" s="6" t="str">
        <f t="shared" si="3"/>
        <v>MOV</v>
      </c>
    </row>
    <row r="128" spans="1:9">
      <c r="A128" s="6" t="s">
        <v>187</v>
      </c>
      <c r="B128" s="55" t="s">
        <v>339</v>
      </c>
      <c r="C128" s="55">
        <f t="shared" si="2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  <c r="I128" s="6" t="str">
        <f t="shared" si="3"/>
        <v>MOV</v>
      </c>
    </row>
    <row r="129" spans="1:9">
      <c r="A129" s="6" t="s">
        <v>187</v>
      </c>
      <c r="B129" s="55" t="s">
        <v>220</v>
      </c>
      <c r="C129" s="55">
        <f t="shared" si="2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  <c r="I129" s="6" t="str">
        <f t="shared" si="3"/>
        <v>MOV</v>
      </c>
    </row>
    <row r="130" spans="1:9">
      <c r="A130" s="6" t="s">
        <v>398</v>
      </c>
      <c r="B130" s="55" t="s">
        <v>222</v>
      </c>
      <c r="C130" s="55">
        <f t="shared" ref="C130:C193" si="4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  <c r="I130" s="6" t="str">
        <f t="shared" si="3"/>
        <v>ADD</v>
      </c>
    </row>
    <row r="131" spans="1:9">
      <c r="A131" s="6" t="s">
        <v>398</v>
      </c>
      <c r="B131" s="55" t="s">
        <v>458</v>
      </c>
      <c r="C131" s="55">
        <f t="shared" si="4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  <c r="I131" s="6" t="str">
        <f t="shared" ref="I131:I194" si="5">A131</f>
        <v>ADD</v>
      </c>
    </row>
    <row r="132" spans="1:9">
      <c r="A132" s="6" t="s">
        <v>398</v>
      </c>
      <c r="B132" s="55" t="s">
        <v>282</v>
      </c>
      <c r="C132" s="55">
        <f t="shared" si="4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  <c r="I132" s="6" t="str">
        <f t="shared" si="5"/>
        <v>ADD</v>
      </c>
    </row>
    <row r="133" spans="1:9">
      <c r="A133" s="6" t="s">
        <v>398</v>
      </c>
      <c r="B133" s="55" t="s">
        <v>954</v>
      </c>
      <c r="C133" s="55">
        <f t="shared" si="4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  <c r="I133" s="6" t="str">
        <f t="shared" si="5"/>
        <v>ADD</v>
      </c>
    </row>
    <row r="134" spans="1:9">
      <c r="A134" s="6" t="s">
        <v>398</v>
      </c>
      <c r="B134" s="55" t="s">
        <v>955</v>
      </c>
      <c r="C134" s="55">
        <f t="shared" si="4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  <c r="I134" s="6" t="str">
        <f t="shared" si="5"/>
        <v>ADD</v>
      </c>
    </row>
    <row r="135" spans="1:9">
      <c r="A135" s="6" t="s">
        <v>398</v>
      </c>
      <c r="B135" s="55" t="s">
        <v>956</v>
      </c>
      <c r="C135" s="55">
        <f t="shared" si="4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  <c r="I135" s="6" t="str">
        <f t="shared" si="5"/>
        <v>ADD</v>
      </c>
    </row>
    <row r="136" spans="1:9">
      <c r="A136" s="6" t="s">
        <v>398</v>
      </c>
      <c r="B136" s="55" t="s">
        <v>957</v>
      </c>
      <c r="C136" s="55">
        <f t="shared" si="4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  <c r="I136" s="6" t="str">
        <f t="shared" si="5"/>
        <v>ADD</v>
      </c>
    </row>
    <row r="137" spans="1:9">
      <c r="A137" s="6" t="s">
        <v>398</v>
      </c>
      <c r="B137" s="55" t="s">
        <v>958</v>
      </c>
      <c r="C137" s="55">
        <f t="shared" si="4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  <c r="I137" s="6" t="str">
        <f t="shared" si="5"/>
        <v>ADD</v>
      </c>
    </row>
    <row r="138" spans="1:9">
      <c r="A138" s="6" t="s">
        <v>434</v>
      </c>
      <c r="B138" s="55" t="s">
        <v>959</v>
      </c>
      <c r="C138" s="55">
        <f t="shared" si="4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  <c r="I138" s="6" t="str">
        <f t="shared" si="5"/>
        <v>ADC</v>
      </c>
    </row>
    <row r="139" spans="1:9">
      <c r="A139" s="6" t="s">
        <v>434</v>
      </c>
      <c r="B139" s="55" t="s">
        <v>960</v>
      </c>
      <c r="C139" s="55">
        <f t="shared" si="4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  <c r="I139" s="6" t="str">
        <f t="shared" si="5"/>
        <v>ADC</v>
      </c>
    </row>
    <row r="140" spans="1:9">
      <c r="A140" s="6" t="s">
        <v>434</v>
      </c>
      <c r="B140" s="55" t="s">
        <v>676</v>
      </c>
      <c r="C140" s="55">
        <f t="shared" si="4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  <c r="I140" s="6" t="str">
        <f t="shared" si="5"/>
        <v>ADC</v>
      </c>
    </row>
    <row r="141" spans="1:9">
      <c r="A141" s="6" t="s">
        <v>434</v>
      </c>
      <c r="B141" s="55" t="s">
        <v>678</v>
      </c>
      <c r="C141" s="55">
        <f t="shared" si="4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  <c r="I141" s="6" t="str">
        <f t="shared" si="5"/>
        <v>ADC</v>
      </c>
    </row>
    <row r="142" spans="1:9">
      <c r="A142" s="6" t="s">
        <v>434</v>
      </c>
      <c r="B142" s="55" t="s">
        <v>680</v>
      </c>
      <c r="C142" s="55">
        <f t="shared" si="4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  <c r="I142" s="6" t="str">
        <f t="shared" si="5"/>
        <v>ADC</v>
      </c>
    </row>
    <row r="143" spans="1:9">
      <c r="A143" s="6" t="s">
        <v>434</v>
      </c>
      <c r="B143" s="55" t="s">
        <v>682</v>
      </c>
      <c r="C143" s="55">
        <f t="shared" si="4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  <c r="I143" s="6" t="str">
        <f t="shared" si="5"/>
        <v>ADC</v>
      </c>
    </row>
    <row r="144" spans="1:9">
      <c r="A144" s="6" t="s">
        <v>434</v>
      </c>
      <c r="B144" s="55" t="s">
        <v>684</v>
      </c>
      <c r="C144" s="55">
        <f t="shared" si="4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  <c r="I144" s="6" t="str">
        <f t="shared" si="5"/>
        <v>ADC</v>
      </c>
    </row>
    <row r="145" spans="1:9">
      <c r="A145" s="6" t="s">
        <v>434</v>
      </c>
      <c r="B145" s="55" t="s">
        <v>686</v>
      </c>
      <c r="C145" s="55">
        <f t="shared" si="4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  <c r="I145" s="6" t="str">
        <f t="shared" si="5"/>
        <v>ADC</v>
      </c>
    </row>
    <row r="146" spans="1:9">
      <c r="A146" s="6" t="s">
        <v>439</v>
      </c>
      <c r="B146" s="55" t="s">
        <v>961</v>
      </c>
      <c r="C146" s="55">
        <f t="shared" si="4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  <c r="I146" s="6" t="str">
        <f t="shared" si="5"/>
        <v>SUB</v>
      </c>
    </row>
    <row r="147" spans="1:9">
      <c r="A147" s="6" t="s">
        <v>439</v>
      </c>
      <c r="B147" s="55" t="s">
        <v>962</v>
      </c>
      <c r="C147" s="55">
        <f t="shared" si="4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  <c r="I147" s="6" t="str">
        <f t="shared" si="5"/>
        <v>SUB</v>
      </c>
    </row>
    <row r="148" spans="1:9">
      <c r="A148" s="6" t="s">
        <v>439</v>
      </c>
      <c r="B148" s="55" t="s">
        <v>963</v>
      </c>
      <c r="C148" s="55">
        <f t="shared" si="4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  <c r="I148" s="6" t="str">
        <f t="shared" si="5"/>
        <v>SUB</v>
      </c>
    </row>
    <row r="149" spans="1:9">
      <c r="A149" s="6" t="s">
        <v>439</v>
      </c>
      <c r="B149" s="55" t="s">
        <v>964</v>
      </c>
      <c r="C149" s="55">
        <f t="shared" si="4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  <c r="I149" s="6" t="str">
        <f t="shared" si="5"/>
        <v>SUB</v>
      </c>
    </row>
    <row r="150" spans="1:9">
      <c r="A150" s="6" t="s">
        <v>439</v>
      </c>
      <c r="B150" s="55" t="s">
        <v>965</v>
      </c>
      <c r="C150" s="55">
        <f t="shared" si="4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  <c r="I150" s="6" t="str">
        <f t="shared" si="5"/>
        <v>SUB</v>
      </c>
    </row>
    <row r="151" spans="1:9">
      <c r="A151" s="6" t="s">
        <v>439</v>
      </c>
      <c r="B151" s="55" t="s">
        <v>966</v>
      </c>
      <c r="C151" s="55">
        <f t="shared" si="4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  <c r="I151" s="6" t="str">
        <f t="shared" si="5"/>
        <v>SUB</v>
      </c>
    </row>
    <row r="152" spans="1:9">
      <c r="A152" s="6" t="s">
        <v>439</v>
      </c>
      <c r="B152" s="55" t="s">
        <v>967</v>
      </c>
      <c r="C152" s="55">
        <f t="shared" si="4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  <c r="I152" s="6" t="str">
        <f t="shared" si="5"/>
        <v>SUB</v>
      </c>
    </row>
    <row r="153" spans="1:9">
      <c r="A153" s="6" t="s">
        <v>439</v>
      </c>
      <c r="B153" s="55" t="s">
        <v>968</v>
      </c>
      <c r="C153" s="55">
        <f t="shared" si="4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  <c r="I153" s="6" t="str">
        <f t="shared" si="5"/>
        <v>SUB</v>
      </c>
    </row>
    <row r="154" spans="1:9">
      <c r="A154" s="6" t="s">
        <v>452</v>
      </c>
      <c r="B154" s="55" t="s">
        <v>969</v>
      </c>
      <c r="C154" s="55">
        <f t="shared" si="4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  <c r="I154" s="6" t="str">
        <f t="shared" si="5"/>
        <v>SBB</v>
      </c>
    </row>
    <row r="155" spans="1:9">
      <c r="A155" s="6" t="s">
        <v>452</v>
      </c>
      <c r="B155" s="55" t="s">
        <v>367</v>
      </c>
      <c r="C155" s="55">
        <f t="shared" si="4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  <c r="I155" s="6" t="str">
        <f t="shared" si="5"/>
        <v>SBB</v>
      </c>
    </row>
    <row r="156" spans="1:9">
      <c r="A156" s="6" t="s">
        <v>452</v>
      </c>
      <c r="B156" s="55" t="s">
        <v>698</v>
      </c>
      <c r="C156" s="55">
        <f t="shared" si="4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  <c r="I156" s="6" t="str">
        <f t="shared" si="5"/>
        <v>SBB</v>
      </c>
    </row>
    <row r="157" spans="1:9">
      <c r="A157" s="6" t="s">
        <v>452</v>
      </c>
      <c r="B157" s="55" t="s">
        <v>700</v>
      </c>
      <c r="C157" s="55">
        <f t="shared" si="4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  <c r="I157" s="6" t="str">
        <f t="shared" si="5"/>
        <v>SBB</v>
      </c>
    </row>
    <row r="158" spans="1:9">
      <c r="A158" s="6" t="s">
        <v>452</v>
      </c>
      <c r="B158" s="55" t="s">
        <v>702</v>
      </c>
      <c r="C158" s="55">
        <f t="shared" si="4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  <c r="I158" s="6" t="str">
        <f t="shared" si="5"/>
        <v>SBB</v>
      </c>
    </row>
    <row r="159" spans="1:9">
      <c r="A159" s="6" t="s">
        <v>452</v>
      </c>
      <c r="B159" s="55" t="s">
        <v>704</v>
      </c>
      <c r="C159" s="55">
        <f t="shared" si="4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  <c r="I159" s="6" t="str">
        <f t="shared" si="5"/>
        <v>SBB</v>
      </c>
    </row>
    <row r="160" spans="1:9">
      <c r="A160" s="6" t="s">
        <v>452</v>
      </c>
      <c r="B160" s="55" t="s">
        <v>706</v>
      </c>
      <c r="C160" s="55">
        <f t="shared" si="4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  <c r="I160" s="6" t="str">
        <f t="shared" si="5"/>
        <v>SBB</v>
      </c>
    </row>
    <row r="161" spans="1:9">
      <c r="A161" s="6" t="s">
        <v>452</v>
      </c>
      <c r="B161" s="55" t="s">
        <v>708</v>
      </c>
      <c r="C161" s="55">
        <f t="shared" si="4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  <c r="I161" s="6" t="str">
        <f t="shared" si="5"/>
        <v>SBB</v>
      </c>
    </row>
    <row r="162" spans="1:9">
      <c r="A162" s="6" t="s">
        <v>407</v>
      </c>
      <c r="B162" s="55" t="s">
        <v>710</v>
      </c>
      <c r="C162" s="55">
        <f t="shared" si="4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  <c r="I162" s="6" t="str">
        <f t="shared" si="5"/>
        <v>ANA</v>
      </c>
    </row>
    <row r="163" spans="1:9">
      <c r="A163" s="6" t="s">
        <v>407</v>
      </c>
      <c r="B163" s="55" t="s">
        <v>712</v>
      </c>
      <c r="C163" s="55">
        <f t="shared" si="4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  <c r="I163" s="6" t="str">
        <f t="shared" si="5"/>
        <v>ANA</v>
      </c>
    </row>
    <row r="164" spans="1:9">
      <c r="A164" s="6" t="s">
        <v>407</v>
      </c>
      <c r="B164" s="55" t="s">
        <v>714</v>
      </c>
      <c r="C164" s="55">
        <f t="shared" si="4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  <c r="I164" s="6" t="str">
        <f t="shared" si="5"/>
        <v>ANA</v>
      </c>
    </row>
    <row r="165" spans="1:9">
      <c r="A165" s="6" t="s">
        <v>407</v>
      </c>
      <c r="B165" s="55" t="s">
        <v>716</v>
      </c>
      <c r="C165" s="55">
        <f t="shared" si="4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  <c r="I165" s="6" t="str">
        <f t="shared" si="5"/>
        <v>ANA</v>
      </c>
    </row>
    <row r="166" spans="1:9">
      <c r="A166" s="6" t="s">
        <v>407</v>
      </c>
      <c r="B166" s="55" t="s">
        <v>718</v>
      </c>
      <c r="C166" s="55">
        <f t="shared" si="4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  <c r="I166" s="6" t="str">
        <f t="shared" si="5"/>
        <v>ANA</v>
      </c>
    </row>
    <row r="167" spans="1:9">
      <c r="A167" s="6" t="s">
        <v>407</v>
      </c>
      <c r="B167" s="55" t="s">
        <v>720</v>
      </c>
      <c r="C167" s="55">
        <f t="shared" si="4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  <c r="I167" s="6" t="str">
        <f t="shared" si="5"/>
        <v>ANA</v>
      </c>
    </row>
    <row r="168" spans="1:9">
      <c r="A168" s="6" t="s">
        <v>407</v>
      </c>
      <c r="B168" s="55" t="s">
        <v>722</v>
      </c>
      <c r="C168" s="55">
        <f t="shared" si="4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  <c r="I168" s="6" t="str">
        <f t="shared" si="5"/>
        <v>ANA</v>
      </c>
    </row>
    <row r="169" spans="1:9">
      <c r="A169" s="6" t="s">
        <v>407</v>
      </c>
      <c r="B169" s="55" t="s">
        <v>724</v>
      </c>
      <c r="C169" s="55">
        <f t="shared" si="4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  <c r="I169" s="6" t="str">
        <f t="shared" si="5"/>
        <v>ANA</v>
      </c>
    </row>
    <row r="170" spans="1:9">
      <c r="A170" s="6" t="s">
        <v>457</v>
      </c>
      <c r="B170" s="55" t="s">
        <v>726</v>
      </c>
      <c r="C170" s="55">
        <f t="shared" si="4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  <c r="I170" s="6" t="str">
        <f t="shared" si="5"/>
        <v>XRA</v>
      </c>
    </row>
    <row r="171" spans="1:9">
      <c r="A171" s="6" t="s">
        <v>457</v>
      </c>
      <c r="B171" s="55" t="s">
        <v>728</v>
      </c>
      <c r="C171" s="55">
        <f t="shared" si="4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  <c r="I171" s="6" t="str">
        <f t="shared" si="5"/>
        <v>XRA</v>
      </c>
    </row>
    <row r="172" spans="1:9">
      <c r="A172" s="6" t="s">
        <v>457</v>
      </c>
      <c r="B172" s="55" t="s">
        <v>186</v>
      </c>
      <c r="C172" s="55">
        <f t="shared" si="4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  <c r="I172" s="6" t="str">
        <f t="shared" si="5"/>
        <v>XRA</v>
      </c>
    </row>
    <row r="173" spans="1:9">
      <c r="A173" s="6" t="s">
        <v>457</v>
      </c>
      <c r="B173" s="55" t="s">
        <v>332</v>
      </c>
      <c r="C173" s="55">
        <f t="shared" si="4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  <c r="I173" s="6" t="str">
        <f t="shared" si="5"/>
        <v>XRA</v>
      </c>
    </row>
    <row r="174" spans="1:9">
      <c r="A174" s="6" t="s">
        <v>457</v>
      </c>
      <c r="B174" s="55" t="s">
        <v>128</v>
      </c>
      <c r="C174" s="55">
        <f t="shared" si="4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  <c r="I174" s="6" t="str">
        <f t="shared" si="5"/>
        <v>XRA</v>
      </c>
    </row>
    <row r="175" spans="1:9">
      <c r="A175" s="6" t="s">
        <v>457</v>
      </c>
      <c r="B175" s="55" t="s">
        <v>733</v>
      </c>
      <c r="C175" s="55">
        <f t="shared" si="4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  <c r="I175" s="6" t="str">
        <f t="shared" si="5"/>
        <v>XRA</v>
      </c>
    </row>
    <row r="176" spans="1:9">
      <c r="A176" s="6" t="s">
        <v>457</v>
      </c>
      <c r="B176" s="55" t="s">
        <v>735</v>
      </c>
      <c r="C176" s="55">
        <f t="shared" si="4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  <c r="I176" s="6" t="str">
        <f t="shared" si="5"/>
        <v>XRA</v>
      </c>
    </row>
    <row r="177" spans="1:9">
      <c r="A177" s="6" t="s">
        <v>457</v>
      </c>
      <c r="B177" s="55" t="s">
        <v>737</v>
      </c>
      <c r="C177" s="55">
        <f t="shared" si="4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  <c r="I177" s="6" t="str">
        <f t="shared" si="5"/>
        <v>XRA</v>
      </c>
    </row>
    <row r="178" spans="1:9">
      <c r="A178" s="6" t="s">
        <v>268</v>
      </c>
      <c r="B178" s="55" t="s">
        <v>504</v>
      </c>
      <c r="C178" s="55">
        <f t="shared" si="4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  <c r="I178" s="6" t="str">
        <f t="shared" si="5"/>
        <v>ORA</v>
      </c>
    </row>
    <row r="179" spans="1:9">
      <c r="A179" s="6" t="s">
        <v>268</v>
      </c>
      <c r="B179" s="55" t="s">
        <v>502</v>
      </c>
      <c r="C179" s="55">
        <f t="shared" si="4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  <c r="I179" s="6" t="str">
        <f t="shared" si="5"/>
        <v>ORA</v>
      </c>
    </row>
    <row r="180" spans="1:9">
      <c r="A180" s="6" t="s">
        <v>268</v>
      </c>
      <c r="B180" s="55" t="s">
        <v>501</v>
      </c>
      <c r="C180" s="55">
        <f t="shared" si="4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  <c r="I180" s="6" t="str">
        <f t="shared" si="5"/>
        <v>ORA</v>
      </c>
    </row>
    <row r="181" spans="1:9">
      <c r="A181" s="6" t="s">
        <v>268</v>
      </c>
      <c r="B181" s="55" t="s">
        <v>500</v>
      </c>
      <c r="C181" s="55">
        <f t="shared" si="4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  <c r="I181" s="6" t="str">
        <f t="shared" si="5"/>
        <v>ORA</v>
      </c>
    </row>
    <row r="182" spans="1:9">
      <c r="A182" s="6" t="s">
        <v>268</v>
      </c>
      <c r="B182" s="55" t="s">
        <v>499</v>
      </c>
      <c r="C182" s="55">
        <f t="shared" si="4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  <c r="I182" s="6" t="str">
        <f t="shared" si="5"/>
        <v>ORA</v>
      </c>
    </row>
    <row r="183" spans="1:9">
      <c r="A183" s="6" t="s">
        <v>268</v>
      </c>
      <c r="B183" s="55" t="s">
        <v>498</v>
      </c>
      <c r="C183" s="55">
        <f t="shared" si="4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  <c r="I183" s="6" t="str">
        <f t="shared" si="5"/>
        <v>ORA</v>
      </c>
    </row>
    <row r="184" spans="1:9">
      <c r="A184" s="6" t="s">
        <v>268</v>
      </c>
      <c r="B184" s="55" t="s">
        <v>497</v>
      </c>
      <c r="C184" s="55">
        <f t="shared" si="4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  <c r="I184" s="6" t="str">
        <f t="shared" si="5"/>
        <v>ORA</v>
      </c>
    </row>
    <row r="185" spans="1:9">
      <c r="A185" s="6" t="s">
        <v>268</v>
      </c>
      <c r="B185" s="55" t="s">
        <v>496</v>
      </c>
      <c r="C185" s="55">
        <f t="shared" si="4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  <c r="I185" s="6" t="str">
        <f t="shared" si="5"/>
        <v>ORA</v>
      </c>
    </row>
    <row r="186" spans="1:9">
      <c r="A186" s="6" t="s">
        <v>874</v>
      </c>
      <c r="B186" s="55" t="s">
        <v>747</v>
      </c>
      <c r="C186" s="55">
        <f t="shared" si="4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  <c r="I186" s="6" t="str">
        <f t="shared" si="5"/>
        <v>CMP</v>
      </c>
    </row>
    <row r="187" spans="1:9">
      <c r="A187" s="6" t="s">
        <v>874</v>
      </c>
      <c r="B187" s="55" t="s">
        <v>749</v>
      </c>
      <c r="C187" s="55">
        <f t="shared" si="4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  <c r="I187" s="6" t="str">
        <f t="shared" si="5"/>
        <v>CMP</v>
      </c>
    </row>
    <row r="188" spans="1:9">
      <c r="A188" s="6" t="s">
        <v>874</v>
      </c>
      <c r="B188" s="55" t="s">
        <v>751</v>
      </c>
      <c r="C188" s="55">
        <f t="shared" si="4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  <c r="I188" s="6" t="str">
        <f t="shared" si="5"/>
        <v>CMP</v>
      </c>
    </row>
    <row r="189" spans="1:9">
      <c r="A189" s="6" t="s">
        <v>874</v>
      </c>
      <c r="B189" s="55" t="s">
        <v>753</v>
      </c>
      <c r="C189" s="55">
        <f t="shared" si="4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  <c r="I189" s="6" t="str">
        <f t="shared" si="5"/>
        <v>CMP</v>
      </c>
    </row>
    <row r="190" spans="1:9">
      <c r="A190" s="6" t="s">
        <v>874</v>
      </c>
      <c r="B190" s="55" t="s">
        <v>342</v>
      </c>
      <c r="C190" s="55">
        <f t="shared" si="4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  <c r="I190" s="6" t="str">
        <f t="shared" si="5"/>
        <v>CMP</v>
      </c>
    </row>
    <row r="191" spans="1:9">
      <c r="A191" s="6" t="s">
        <v>874</v>
      </c>
      <c r="B191" s="55" t="s">
        <v>756</v>
      </c>
      <c r="C191" s="55">
        <f t="shared" si="4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  <c r="I191" s="6" t="str">
        <f t="shared" si="5"/>
        <v>CMP</v>
      </c>
    </row>
    <row r="192" spans="1:9">
      <c r="A192" s="6" t="s">
        <v>874</v>
      </c>
      <c r="B192" s="55" t="s">
        <v>758</v>
      </c>
      <c r="C192" s="55">
        <f t="shared" si="4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  <c r="I192" s="6" t="str">
        <f t="shared" si="5"/>
        <v>CMP</v>
      </c>
    </row>
    <row r="193" spans="1:9">
      <c r="A193" s="6" t="s">
        <v>874</v>
      </c>
      <c r="B193" s="55" t="s">
        <v>760</v>
      </c>
      <c r="C193" s="55">
        <f t="shared" si="4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  <c r="I193" s="6" t="str">
        <f t="shared" si="5"/>
        <v>CMP</v>
      </c>
    </row>
    <row r="194" spans="1:9">
      <c r="A194" s="6" t="s">
        <v>763</v>
      </c>
      <c r="B194" s="55" t="s">
        <v>762</v>
      </c>
      <c r="C194" s="55">
        <f t="shared" ref="C194:C253" si="6">COUNTA(D194:E194)</f>
        <v>0</v>
      </c>
      <c r="D194" s="6"/>
      <c r="E194" s="6"/>
      <c r="F194" s="6">
        <v>1</v>
      </c>
      <c r="G194" s="6">
        <v>11</v>
      </c>
      <c r="H194" s="6" t="s">
        <v>764</v>
      </c>
      <c r="I194" s="6" t="str">
        <f t="shared" si="5"/>
        <v>RNZ</v>
      </c>
    </row>
    <row r="195" spans="1:9">
      <c r="A195" s="6" t="s">
        <v>281</v>
      </c>
      <c r="B195" s="55" t="s">
        <v>765</v>
      </c>
      <c r="C195" s="55">
        <f t="shared" si="6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  <c r="I195" s="6" t="str">
        <f t="shared" ref="I195:I255" si="7">A195</f>
        <v>POP</v>
      </c>
    </row>
    <row r="196" spans="1:9">
      <c r="A196" s="6" t="s">
        <v>358</v>
      </c>
      <c r="B196" s="55" t="s">
        <v>767</v>
      </c>
      <c r="C196" s="55">
        <f t="shared" si="6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  <c r="I196" s="6" t="str">
        <f t="shared" si="7"/>
        <v>JNZ</v>
      </c>
    </row>
    <row r="197" spans="1:9">
      <c r="A197" s="6" t="s">
        <v>353</v>
      </c>
      <c r="B197" s="55" t="s">
        <v>769</v>
      </c>
      <c r="C197" s="55">
        <f t="shared" si="6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  <c r="I197" s="6" t="str">
        <f t="shared" si="7"/>
        <v>JMP</v>
      </c>
    </row>
    <row r="198" spans="1:9">
      <c r="A198" s="6" t="s">
        <v>875</v>
      </c>
      <c r="B198" s="55" t="s">
        <v>771</v>
      </c>
      <c r="C198" s="55">
        <f t="shared" si="6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  <c r="I198" s="6" t="str">
        <f t="shared" si="7"/>
        <v>CNZ</v>
      </c>
    </row>
    <row r="199" spans="1:9">
      <c r="A199" s="6" t="s">
        <v>149</v>
      </c>
      <c r="B199" s="55" t="s">
        <v>773</v>
      </c>
      <c r="C199" s="55">
        <f t="shared" si="6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  <c r="I199" s="6" t="str">
        <f t="shared" si="7"/>
        <v>PUSH</v>
      </c>
    </row>
    <row r="200" spans="1:9">
      <c r="A200" s="6" t="s">
        <v>401</v>
      </c>
      <c r="B200" s="55" t="s">
        <v>775</v>
      </c>
      <c r="C200" s="55">
        <f t="shared" si="6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  <c r="I200" s="6" t="str">
        <f t="shared" si="7"/>
        <v>ADI</v>
      </c>
    </row>
    <row r="201" spans="1:9">
      <c r="A201" s="6" t="s">
        <v>876</v>
      </c>
      <c r="B201" s="55" t="s">
        <v>777</v>
      </c>
      <c r="C201" s="55">
        <f t="shared" si="6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  <c r="I201" s="6" t="str">
        <f t="shared" si="7"/>
        <v>RST</v>
      </c>
    </row>
    <row r="202" spans="1:9">
      <c r="A202" s="6" t="s">
        <v>494</v>
      </c>
      <c r="B202" s="55" t="s">
        <v>779</v>
      </c>
      <c r="C202" s="55">
        <f t="shared" si="6"/>
        <v>0</v>
      </c>
      <c r="D202" s="6"/>
      <c r="E202" s="6"/>
      <c r="F202" s="6">
        <v>1</v>
      </c>
      <c r="G202" s="6">
        <v>11</v>
      </c>
      <c r="H202" s="6" t="s">
        <v>780</v>
      </c>
      <c r="I202" s="6" t="str">
        <f t="shared" si="7"/>
        <v>RZ</v>
      </c>
    </row>
    <row r="203" spans="1:9">
      <c r="A203" s="6" t="s">
        <v>84</v>
      </c>
      <c r="B203" s="55" t="s">
        <v>781</v>
      </c>
      <c r="C203" s="55">
        <f t="shared" si="6"/>
        <v>0</v>
      </c>
      <c r="D203" s="6"/>
      <c r="E203" s="6"/>
      <c r="F203" s="6">
        <v>1</v>
      </c>
      <c r="G203" s="6">
        <v>10</v>
      </c>
      <c r="H203" s="6" t="s">
        <v>782</v>
      </c>
      <c r="I203" s="6" t="str">
        <f t="shared" si="7"/>
        <v>RET</v>
      </c>
    </row>
    <row r="204" spans="1:9">
      <c r="A204" s="6" t="s">
        <v>254</v>
      </c>
      <c r="B204" s="55" t="s">
        <v>783</v>
      </c>
      <c r="C204" s="55">
        <f t="shared" si="6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  <c r="I204" s="6" t="str">
        <f t="shared" si="7"/>
        <v>JZ</v>
      </c>
    </row>
    <row r="205" spans="1:9">
      <c r="A205" s="6" t="s">
        <v>353</v>
      </c>
      <c r="B205" s="55" t="s">
        <v>785</v>
      </c>
      <c r="C205" s="55">
        <f t="shared" si="6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  <c r="I205" s="6" t="str">
        <f t="shared" si="7"/>
        <v>JMP</v>
      </c>
    </row>
    <row r="206" spans="1:9">
      <c r="A206" s="6" t="s">
        <v>493</v>
      </c>
      <c r="B206" s="55" t="s">
        <v>786</v>
      </c>
      <c r="C206" s="55">
        <f t="shared" si="6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  <c r="I206" s="6" t="str">
        <f t="shared" si="7"/>
        <v>CZ</v>
      </c>
    </row>
    <row r="207" spans="1:9">
      <c r="A207" s="6" t="s">
        <v>196</v>
      </c>
      <c r="B207" s="55" t="s">
        <v>487</v>
      </c>
      <c r="C207" s="55">
        <f t="shared" si="6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  <c r="I207" s="6" t="str">
        <f t="shared" si="7"/>
        <v>CALL</v>
      </c>
    </row>
    <row r="208" spans="1:9">
      <c r="A208" s="6" t="s">
        <v>437</v>
      </c>
      <c r="B208" s="55" t="s">
        <v>789</v>
      </c>
      <c r="C208" s="55">
        <f t="shared" si="6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  <c r="I208" s="6" t="str">
        <f t="shared" si="7"/>
        <v>ACI</v>
      </c>
    </row>
    <row r="209" spans="1:9">
      <c r="A209" s="6" t="s">
        <v>876</v>
      </c>
      <c r="B209" s="55" t="s">
        <v>791</v>
      </c>
      <c r="C209" s="55">
        <f t="shared" si="6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  <c r="I209" s="6" t="str">
        <f t="shared" si="7"/>
        <v>RST</v>
      </c>
    </row>
    <row r="210" spans="1:9">
      <c r="A210" s="6" t="s">
        <v>794</v>
      </c>
      <c r="B210" s="55" t="s">
        <v>793</v>
      </c>
      <c r="C210" s="55">
        <f t="shared" si="6"/>
        <v>0</v>
      </c>
      <c r="D210" s="6"/>
      <c r="E210" s="6"/>
      <c r="F210" s="6">
        <v>1</v>
      </c>
      <c r="G210" s="6">
        <v>5</v>
      </c>
      <c r="H210" s="6" t="s">
        <v>795</v>
      </c>
      <c r="I210" s="6" t="str">
        <f t="shared" si="7"/>
        <v>RNC</v>
      </c>
    </row>
    <row r="211" spans="1:9">
      <c r="A211" s="6" t="s">
        <v>281</v>
      </c>
      <c r="B211" s="55" t="s">
        <v>796</v>
      </c>
      <c r="C211" s="55">
        <f t="shared" si="6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  <c r="I211" s="6" t="str">
        <f t="shared" si="7"/>
        <v>POP</v>
      </c>
    </row>
    <row r="212" spans="1:9">
      <c r="A212" s="6" t="s">
        <v>877</v>
      </c>
      <c r="B212" s="55" t="s">
        <v>798</v>
      </c>
      <c r="C212" s="55">
        <f t="shared" si="6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  <c r="I212" s="6" t="str">
        <f t="shared" si="7"/>
        <v>JNC</v>
      </c>
    </row>
    <row r="213" spans="1:9">
      <c r="A213" s="6" t="s">
        <v>878</v>
      </c>
      <c r="B213" s="55" t="s">
        <v>800</v>
      </c>
      <c r="C213" s="55">
        <f t="shared" si="6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  <c r="I213" s="6" t="str">
        <f t="shared" si="7"/>
        <v>OUT</v>
      </c>
    </row>
    <row r="214" spans="1:9">
      <c r="A214" s="6" t="s">
        <v>879</v>
      </c>
      <c r="B214" s="55" t="s">
        <v>802</v>
      </c>
      <c r="C214" s="55">
        <f t="shared" si="6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  <c r="I214" s="6" t="str">
        <f t="shared" si="7"/>
        <v>CNC</v>
      </c>
    </row>
    <row r="215" spans="1:9">
      <c r="A215" s="6" t="s">
        <v>149</v>
      </c>
      <c r="B215" s="55" t="s">
        <v>804</v>
      </c>
      <c r="C215" s="55">
        <f t="shared" si="6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  <c r="I215" s="6" t="str">
        <f t="shared" si="7"/>
        <v>PUSH</v>
      </c>
    </row>
    <row r="216" spans="1:9">
      <c r="A216" s="6" t="s">
        <v>441</v>
      </c>
      <c r="B216" s="55" t="s">
        <v>806</v>
      </c>
      <c r="C216" s="55">
        <f t="shared" si="6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  <c r="I216" s="6" t="str">
        <f t="shared" si="7"/>
        <v>SUI</v>
      </c>
    </row>
    <row r="217" spans="1:9">
      <c r="A217" s="6" t="s">
        <v>876</v>
      </c>
      <c r="B217" s="55" t="s">
        <v>808</v>
      </c>
      <c r="C217" s="55">
        <f t="shared" si="6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  <c r="I217" s="6" t="str">
        <f t="shared" si="7"/>
        <v>RST</v>
      </c>
    </row>
    <row r="218" spans="1:9">
      <c r="A218" s="6" t="s">
        <v>811</v>
      </c>
      <c r="B218" s="55" t="s">
        <v>810</v>
      </c>
      <c r="C218" s="55">
        <f t="shared" si="6"/>
        <v>0</v>
      </c>
      <c r="D218" s="6"/>
      <c r="E218" s="6"/>
      <c r="F218" s="6">
        <v>1</v>
      </c>
      <c r="G218" s="6">
        <v>5</v>
      </c>
      <c r="H218" s="6" t="s">
        <v>812</v>
      </c>
      <c r="I218" s="6" t="str">
        <f t="shared" si="7"/>
        <v>RC</v>
      </c>
    </row>
    <row r="219" spans="1:9">
      <c r="A219" s="6" t="s">
        <v>84</v>
      </c>
      <c r="B219" s="55" t="s">
        <v>813</v>
      </c>
      <c r="C219" s="55">
        <f t="shared" si="6"/>
        <v>0</v>
      </c>
      <c r="D219" s="6"/>
      <c r="E219" s="6"/>
      <c r="F219" s="6">
        <v>1</v>
      </c>
      <c r="G219" s="6">
        <v>10</v>
      </c>
      <c r="H219" s="6" t="s">
        <v>782</v>
      </c>
      <c r="I219" s="6" t="str">
        <f t="shared" si="7"/>
        <v>RET</v>
      </c>
    </row>
    <row r="220" spans="1:9">
      <c r="A220" s="6" t="s">
        <v>880</v>
      </c>
      <c r="B220" s="55" t="s">
        <v>814</v>
      </c>
      <c r="C220" s="55">
        <f t="shared" si="6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  <c r="I220" s="6" t="str">
        <f t="shared" si="7"/>
        <v>JC</v>
      </c>
    </row>
    <row r="221" spans="1:9">
      <c r="A221" s="6" t="s">
        <v>881</v>
      </c>
      <c r="B221" s="55" t="s">
        <v>298</v>
      </c>
      <c r="C221" s="55">
        <f t="shared" si="6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  <c r="I221" s="6" t="str">
        <f t="shared" si="7"/>
        <v>IN</v>
      </c>
    </row>
    <row r="222" spans="1:9">
      <c r="A222" s="6" t="s">
        <v>786</v>
      </c>
      <c r="B222" s="55" t="s">
        <v>817</v>
      </c>
      <c r="C222" s="55">
        <f t="shared" si="6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  <c r="I222" s="6" t="str">
        <f t="shared" si="7"/>
        <v>CC</v>
      </c>
    </row>
    <row r="223" spans="1:9">
      <c r="A223" s="6" t="s">
        <v>196</v>
      </c>
      <c r="B223" s="55" t="s">
        <v>819</v>
      </c>
      <c r="C223" s="55">
        <f t="shared" si="6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  <c r="I223" s="6" t="str">
        <f t="shared" si="7"/>
        <v>CALL</v>
      </c>
    </row>
    <row r="224" spans="1:9">
      <c r="A224" s="6" t="s">
        <v>455</v>
      </c>
      <c r="B224" s="55" t="s">
        <v>820</v>
      </c>
      <c r="C224" s="55">
        <f t="shared" si="6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  <c r="I224" s="6" t="str">
        <f t="shared" si="7"/>
        <v>SBI</v>
      </c>
    </row>
    <row r="225" spans="1:9">
      <c r="A225" s="6" t="s">
        <v>876</v>
      </c>
      <c r="B225" s="55" t="s">
        <v>822</v>
      </c>
      <c r="C225" s="55">
        <f t="shared" si="6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  <c r="I225" s="6" t="str">
        <f t="shared" si="7"/>
        <v>RST</v>
      </c>
    </row>
    <row r="226" spans="1:9">
      <c r="A226" s="6" t="s">
        <v>825</v>
      </c>
      <c r="B226" s="55" t="s">
        <v>824</v>
      </c>
      <c r="C226" s="55">
        <f t="shared" si="6"/>
        <v>0</v>
      </c>
      <c r="D226" s="6"/>
      <c r="E226" s="6"/>
      <c r="F226" s="6">
        <v>1</v>
      </c>
      <c r="G226" s="6">
        <v>5</v>
      </c>
      <c r="H226" s="6" t="s">
        <v>826</v>
      </c>
      <c r="I226" s="6" t="str">
        <f t="shared" si="7"/>
        <v>RPO</v>
      </c>
    </row>
    <row r="227" spans="1:9">
      <c r="A227" s="6" t="s">
        <v>281</v>
      </c>
      <c r="B227" s="55" t="s">
        <v>827</v>
      </c>
      <c r="C227" s="55">
        <f t="shared" si="6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  <c r="I227" s="6" t="str">
        <f t="shared" si="7"/>
        <v>POP</v>
      </c>
    </row>
    <row r="228" spans="1:9">
      <c r="A228" s="6" t="s">
        <v>373</v>
      </c>
      <c r="B228" s="55" t="s">
        <v>829</v>
      </c>
      <c r="C228" s="55">
        <f t="shared" si="6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  <c r="I228" s="6" t="str">
        <f t="shared" si="7"/>
        <v>JPO</v>
      </c>
    </row>
    <row r="229" spans="1:9">
      <c r="A229" s="6" t="s">
        <v>98</v>
      </c>
      <c r="B229" s="55" t="s">
        <v>831</v>
      </c>
      <c r="C229" s="55">
        <f t="shared" si="6"/>
        <v>0</v>
      </c>
      <c r="D229" s="6"/>
      <c r="E229" s="6"/>
      <c r="F229" s="6">
        <v>1</v>
      </c>
      <c r="G229" s="6">
        <v>18</v>
      </c>
      <c r="H229" s="6" t="s">
        <v>99</v>
      </c>
      <c r="I229" s="6" t="str">
        <f t="shared" si="7"/>
        <v>XTHL</v>
      </c>
    </row>
    <row r="230" spans="1:9">
      <c r="A230" s="6" t="s">
        <v>882</v>
      </c>
      <c r="B230" s="55" t="s">
        <v>832</v>
      </c>
      <c r="C230" s="55">
        <f t="shared" si="6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  <c r="I230" s="6" t="str">
        <f t="shared" si="7"/>
        <v>CPO</v>
      </c>
    </row>
    <row r="231" spans="1:9">
      <c r="A231" s="6" t="s">
        <v>149</v>
      </c>
      <c r="B231" s="55" t="s">
        <v>834</v>
      </c>
      <c r="C231" s="55">
        <f t="shared" si="6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  <c r="I231" s="6" t="str">
        <f t="shared" si="7"/>
        <v>PUSH</v>
      </c>
    </row>
    <row r="232" spans="1:9">
      <c r="A232" s="6" t="s">
        <v>153</v>
      </c>
      <c r="B232" s="55" t="s">
        <v>836</v>
      </c>
      <c r="C232" s="55">
        <f t="shared" si="6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  <c r="I232" s="6" t="str">
        <f t="shared" si="7"/>
        <v>ANI</v>
      </c>
    </row>
    <row r="233" spans="1:9">
      <c r="A233" s="6" t="s">
        <v>876</v>
      </c>
      <c r="B233" s="55" t="s">
        <v>838</v>
      </c>
      <c r="C233" s="55">
        <f t="shared" si="6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  <c r="I233" s="6" t="str">
        <f t="shared" si="7"/>
        <v>RST</v>
      </c>
    </row>
    <row r="234" spans="1:9">
      <c r="A234" s="6" t="s">
        <v>841</v>
      </c>
      <c r="B234" s="55" t="s">
        <v>840</v>
      </c>
      <c r="C234" s="55">
        <f t="shared" si="6"/>
        <v>0</v>
      </c>
      <c r="D234" s="6"/>
      <c r="E234" s="6"/>
      <c r="F234" s="6">
        <v>1</v>
      </c>
      <c r="G234" s="6">
        <v>5</v>
      </c>
      <c r="H234" s="6" t="s">
        <v>842</v>
      </c>
      <c r="I234" s="6" t="str">
        <f t="shared" si="7"/>
        <v>RPE</v>
      </c>
    </row>
    <row r="235" spans="1:9">
      <c r="A235" s="6" t="s">
        <v>88</v>
      </c>
      <c r="B235" s="55" t="s">
        <v>843</v>
      </c>
      <c r="C235" s="55">
        <f t="shared" si="6"/>
        <v>0</v>
      </c>
      <c r="D235" s="6"/>
      <c r="E235" s="6"/>
      <c r="F235" s="6">
        <v>1</v>
      </c>
      <c r="G235" s="6">
        <v>5</v>
      </c>
      <c r="H235" s="6" t="s">
        <v>844</v>
      </c>
      <c r="I235" s="6" t="str">
        <f t="shared" si="7"/>
        <v>PCHL</v>
      </c>
    </row>
    <row r="236" spans="1:9">
      <c r="A236" s="6" t="s">
        <v>371</v>
      </c>
      <c r="B236" s="55" t="s">
        <v>845</v>
      </c>
      <c r="C236" s="55">
        <f t="shared" si="6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  <c r="I236" s="6" t="str">
        <f t="shared" si="7"/>
        <v>JPE</v>
      </c>
    </row>
    <row r="237" spans="1:9">
      <c r="A237" s="6" t="s">
        <v>22</v>
      </c>
      <c r="B237" s="55" t="s">
        <v>847</v>
      </c>
      <c r="C237" s="55">
        <f t="shared" si="6"/>
        <v>0</v>
      </c>
      <c r="D237" s="6"/>
      <c r="E237" s="6"/>
      <c r="F237" s="6">
        <v>1</v>
      </c>
      <c r="G237" s="6">
        <v>4</v>
      </c>
      <c r="H237" s="6" t="s">
        <v>848</v>
      </c>
      <c r="I237" s="6" t="str">
        <f t="shared" si="7"/>
        <v>XCHG</v>
      </c>
    </row>
    <row r="238" spans="1:9">
      <c r="A238" s="6" t="s">
        <v>883</v>
      </c>
      <c r="B238" s="55" t="s">
        <v>849</v>
      </c>
      <c r="C238" s="55">
        <f t="shared" si="6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  <c r="I238" s="6" t="str">
        <f t="shared" si="7"/>
        <v>CPE</v>
      </c>
    </row>
    <row r="239" spans="1:9">
      <c r="A239" s="6" t="s">
        <v>196</v>
      </c>
      <c r="B239" s="55" t="s">
        <v>851</v>
      </c>
      <c r="C239" s="55">
        <f t="shared" si="6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  <c r="I239" s="6" t="str">
        <f t="shared" si="7"/>
        <v>CALL</v>
      </c>
    </row>
    <row r="240" spans="1:9">
      <c r="A240" s="6" t="s">
        <v>161</v>
      </c>
      <c r="B240" s="55" t="s">
        <v>206</v>
      </c>
      <c r="C240" s="55">
        <f t="shared" si="6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  <c r="I240" s="6" t="str">
        <f t="shared" si="7"/>
        <v>XRI</v>
      </c>
    </row>
    <row r="241" spans="1:9">
      <c r="A241" s="6" t="s">
        <v>876</v>
      </c>
      <c r="B241" s="55" t="s">
        <v>853</v>
      </c>
      <c r="C241" s="55">
        <f t="shared" si="6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  <c r="I241" s="6" t="str">
        <f t="shared" si="7"/>
        <v>RST</v>
      </c>
    </row>
    <row r="242" spans="1:9">
      <c r="A242" s="6" t="s">
        <v>855</v>
      </c>
      <c r="B242" s="55" t="s">
        <v>270</v>
      </c>
      <c r="C242" s="55">
        <f t="shared" si="6"/>
        <v>0</v>
      </c>
      <c r="D242" s="6"/>
      <c r="E242" s="6"/>
      <c r="F242" s="6">
        <v>1</v>
      </c>
      <c r="G242" s="6">
        <v>5</v>
      </c>
      <c r="H242" s="6" t="s">
        <v>856</v>
      </c>
      <c r="I242" s="6" t="str">
        <f t="shared" si="7"/>
        <v>RP</v>
      </c>
    </row>
    <row r="243" spans="1:9">
      <c r="A243" s="6" t="s">
        <v>281</v>
      </c>
      <c r="B243" s="55" t="s">
        <v>857</v>
      </c>
      <c r="C243" s="55">
        <f t="shared" si="6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  <c r="I243" s="6" t="str">
        <f t="shared" si="7"/>
        <v>POP</v>
      </c>
    </row>
    <row r="244" spans="1:9">
      <c r="A244" s="6" t="s">
        <v>365</v>
      </c>
      <c r="B244" s="55" t="s">
        <v>859</v>
      </c>
      <c r="C244" s="55">
        <f t="shared" si="6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  <c r="I244" s="6" t="str">
        <f t="shared" si="7"/>
        <v>JP</v>
      </c>
    </row>
    <row r="245" spans="1:9">
      <c r="A245" s="6" t="s">
        <v>862</v>
      </c>
      <c r="B245" s="55" t="s">
        <v>861</v>
      </c>
      <c r="C245" s="55">
        <f t="shared" si="6"/>
        <v>0</v>
      </c>
      <c r="D245" s="6"/>
      <c r="E245" s="6"/>
      <c r="F245" s="6">
        <v>1</v>
      </c>
      <c r="G245" s="6">
        <v>4</v>
      </c>
      <c r="H245" s="6" t="s">
        <v>863</v>
      </c>
      <c r="I245" s="6" t="str">
        <f t="shared" si="7"/>
        <v>DI</v>
      </c>
    </row>
    <row r="246" spans="1:9">
      <c r="A246" s="6" t="s">
        <v>884</v>
      </c>
      <c r="B246" s="55" t="s">
        <v>864</v>
      </c>
      <c r="C246" s="55">
        <f t="shared" si="6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  <c r="I246" s="6" t="str">
        <f t="shared" si="7"/>
        <v>CP</v>
      </c>
    </row>
    <row r="247" spans="1:9">
      <c r="A247" s="6" t="s">
        <v>149</v>
      </c>
      <c r="B247" s="55" t="s">
        <v>866</v>
      </c>
      <c r="C247" s="55">
        <f t="shared" si="6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  <c r="I247" s="6" t="str">
        <f t="shared" si="7"/>
        <v>PUSH</v>
      </c>
    </row>
    <row r="248" spans="1:9">
      <c r="A248" s="6" t="s">
        <v>155</v>
      </c>
      <c r="B248" s="55" t="s">
        <v>985</v>
      </c>
      <c r="C248" s="55">
        <f t="shared" si="6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  <c r="I248" s="6" t="str">
        <f t="shared" si="7"/>
        <v>ORI</v>
      </c>
    </row>
    <row r="249" spans="1:9">
      <c r="A249" s="6" t="s">
        <v>1118</v>
      </c>
      <c r="B249" s="55" t="s">
        <v>1126</v>
      </c>
      <c r="C249" s="55">
        <f t="shared" si="6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  <c r="I249" s="6" t="str">
        <f t="shared" si="7"/>
        <v>RM</v>
      </c>
    </row>
    <row r="250" spans="1:9">
      <c r="A250" s="6" t="s">
        <v>100</v>
      </c>
      <c r="B250" s="55" t="s">
        <v>987</v>
      </c>
      <c r="C250" s="55">
        <f t="shared" si="6"/>
        <v>0</v>
      </c>
      <c r="D250" s="6"/>
      <c r="E250" s="6"/>
      <c r="F250" s="6">
        <v>1</v>
      </c>
      <c r="G250" s="6">
        <v>10</v>
      </c>
      <c r="H250" s="6" t="s">
        <v>988</v>
      </c>
      <c r="I250" s="6" t="str">
        <f t="shared" si="7"/>
        <v>SPHL</v>
      </c>
    </row>
    <row r="251" spans="1:9">
      <c r="A251" s="6" t="s">
        <v>362</v>
      </c>
      <c r="B251" s="55" t="s">
        <v>983</v>
      </c>
      <c r="C251" s="55">
        <f t="shared" si="6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  <c r="I251" s="6" t="str">
        <f t="shared" si="7"/>
        <v>JM</v>
      </c>
    </row>
    <row r="252" spans="1:9">
      <c r="A252" s="6" t="s">
        <v>1111</v>
      </c>
      <c r="B252" s="55" t="s">
        <v>1037</v>
      </c>
      <c r="C252" s="55">
        <f t="shared" si="6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  <c r="I252" s="6" t="str">
        <f t="shared" si="7"/>
        <v>CM</v>
      </c>
    </row>
    <row r="253" spans="1:9">
      <c r="A253" s="6" t="s">
        <v>163</v>
      </c>
      <c r="B253" s="55" t="s">
        <v>433</v>
      </c>
      <c r="C253" s="55">
        <f t="shared" si="6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  <c r="I253" s="6" t="str">
        <f t="shared" si="7"/>
        <v>CPI</v>
      </c>
    </row>
    <row r="254" spans="1:9">
      <c r="A254" s="6" t="s">
        <v>1170</v>
      </c>
      <c r="B254" s="55" t="s">
        <v>146</v>
      </c>
      <c r="C254" s="55"/>
      <c r="D254" s="6"/>
      <c r="E254" s="6"/>
      <c r="F254" s="6"/>
      <c r="G254" s="6"/>
      <c r="H254" s="6" t="s">
        <v>1181</v>
      </c>
      <c r="I254" s="6" t="str">
        <f t="shared" si="7"/>
        <v>LD</v>
      </c>
    </row>
    <row r="255" spans="1:9">
      <c r="A255" s="6" t="s">
        <v>1180</v>
      </c>
      <c r="B255" s="55" t="s">
        <v>146</v>
      </c>
      <c r="C255" s="55"/>
      <c r="D255" s="6"/>
      <c r="E255" s="6"/>
      <c r="F255" s="6"/>
      <c r="G255" s="6"/>
      <c r="H255" s="6" t="s">
        <v>1181</v>
      </c>
      <c r="I255" s="6" t="str">
        <f t="shared" si="7"/>
        <v>SRL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1141</v>
      </c>
      <c r="B1" s="175" t="s">
        <v>1144</v>
      </c>
      <c r="C1" s="175" t="s">
        <v>431</v>
      </c>
      <c r="D1" s="175" t="s">
        <v>1145</v>
      </c>
      <c r="E1" s="175" t="s">
        <v>1142</v>
      </c>
      <c r="F1" s="175" t="s">
        <v>1143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873</v>
      </c>
      <c r="B5" t="s">
        <v>170</v>
      </c>
    </row>
    <row r="6" spans="1:6">
      <c r="A6" s="176" t="s">
        <v>872</v>
      </c>
      <c r="B6" t="s">
        <v>170</v>
      </c>
    </row>
    <row r="7" spans="1:6">
      <c r="A7" s="176" t="s">
        <v>871</v>
      </c>
      <c r="B7" t="s">
        <v>170</v>
      </c>
    </row>
    <row r="8" spans="1:6">
      <c r="A8" s="176" t="s">
        <v>870</v>
      </c>
      <c r="B8" t="s">
        <v>170</v>
      </c>
    </row>
    <row r="9" spans="1:6">
      <c r="A9" s="176" t="s">
        <v>869</v>
      </c>
      <c r="B9" t="s">
        <v>170</v>
      </c>
    </row>
    <row r="10" spans="1:6">
      <c r="A10" s="176" t="s">
        <v>868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1146</v>
      </c>
    </row>
    <row r="15" spans="1:6">
      <c r="A15" s="176" t="s">
        <v>434</v>
      </c>
      <c r="B15" t="s">
        <v>1146</v>
      </c>
    </row>
    <row r="16" spans="1:6">
      <c r="A16" s="176" t="s">
        <v>401</v>
      </c>
      <c r="B16" t="s">
        <v>1146</v>
      </c>
    </row>
    <row r="17" spans="1:2">
      <c r="A17" s="176" t="s">
        <v>437</v>
      </c>
      <c r="B17" t="s">
        <v>1146</v>
      </c>
    </row>
    <row r="18" spans="1:2">
      <c r="A18" s="176" t="s">
        <v>439</v>
      </c>
      <c r="B18" t="s">
        <v>1146</v>
      </c>
    </row>
    <row r="19" spans="1:2">
      <c r="A19" s="176" t="s">
        <v>452</v>
      </c>
      <c r="B19" t="s">
        <v>1146</v>
      </c>
    </row>
    <row r="20" spans="1:2">
      <c r="A20" s="176" t="s">
        <v>441</v>
      </c>
      <c r="B20" t="s">
        <v>1146</v>
      </c>
    </row>
    <row r="21" spans="1:2">
      <c r="A21" s="176" t="s">
        <v>455</v>
      </c>
      <c r="B21" t="s">
        <v>1146</v>
      </c>
    </row>
    <row r="22" spans="1:2">
      <c r="A22" s="176" t="s">
        <v>214</v>
      </c>
      <c r="B22" t="s">
        <v>1146</v>
      </c>
    </row>
    <row r="23" spans="1:2">
      <c r="A23" s="176" t="s">
        <v>238</v>
      </c>
      <c r="B23" t="s">
        <v>1146</v>
      </c>
    </row>
    <row r="24" spans="1:2">
      <c r="A24" s="176" t="s">
        <v>470</v>
      </c>
      <c r="B24" t="s">
        <v>1146</v>
      </c>
    </row>
    <row r="25" spans="1:2">
      <c r="A25" s="176" t="s">
        <v>471</v>
      </c>
      <c r="B25" t="s">
        <v>1146</v>
      </c>
    </row>
    <row r="26" spans="1:2">
      <c r="A26" s="176" t="s">
        <v>474</v>
      </c>
      <c r="B26" t="s">
        <v>1146</v>
      </c>
    </row>
    <row r="27" spans="1:2">
      <c r="A27" s="176" t="s">
        <v>52</v>
      </c>
      <c r="B27" t="s">
        <v>1146</v>
      </c>
    </row>
    <row r="28" spans="1:2">
      <c r="A28" s="176" t="s">
        <v>874</v>
      </c>
      <c r="B28" t="s">
        <v>1146</v>
      </c>
    </row>
    <row r="29" spans="1:2">
      <c r="A29" s="176" t="s">
        <v>163</v>
      </c>
      <c r="B29" t="s">
        <v>1146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457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461</v>
      </c>
      <c r="B37" t="s">
        <v>1147</v>
      </c>
    </row>
    <row r="38" spans="1:2">
      <c r="A38" s="176" t="s">
        <v>159</v>
      </c>
      <c r="B38" t="s">
        <v>1147</v>
      </c>
    </row>
    <row r="39" spans="1:2">
      <c r="A39" s="176" t="s">
        <v>463</v>
      </c>
      <c r="B39" t="s">
        <v>1147</v>
      </c>
    </row>
    <row r="40" spans="1:2">
      <c r="A40" s="176" t="s">
        <v>157</v>
      </c>
      <c r="B40" t="s">
        <v>1147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1149</v>
      </c>
    </row>
    <row r="44" spans="1:2">
      <c r="A44" s="176" t="s">
        <v>880</v>
      </c>
      <c r="B44" t="s">
        <v>1149</v>
      </c>
    </row>
    <row r="45" spans="1:2">
      <c r="A45" s="176" t="s">
        <v>877</v>
      </c>
      <c r="B45" t="s">
        <v>1149</v>
      </c>
    </row>
    <row r="46" spans="1:2">
      <c r="A46" s="176" t="s">
        <v>254</v>
      </c>
      <c r="B46" t="s">
        <v>1149</v>
      </c>
    </row>
    <row r="47" spans="1:2">
      <c r="A47" s="176" t="s">
        <v>358</v>
      </c>
      <c r="B47" t="s">
        <v>1149</v>
      </c>
    </row>
    <row r="48" spans="1:2">
      <c r="A48" s="176" t="s">
        <v>365</v>
      </c>
      <c r="B48" t="s">
        <v>1149</v>
      </c>
    </row>
    <row r="49" spans="1:2">
      <c r="A49" s="176" t="s">
        <v>362</v>
      </c>
      <c r="B49" t="s">
        <v>1149</v>
      </c>
    </row>
    <row r="50" spans="1:2">
      <c r="A50" s="176" t="s">
        <v>371</v>
      </c>
      <c r="B50" t="s">
        <v>1149</v>
      </c>
    </row>
    <row r="51" spans="1:2">
      <c r="A51" s="176" t="s">
        <v>373</v>
      </c>
      <c r="B51" t="s">
        <v>1149</v>
      </c>
    </row>
    <row r="52" spans="1:2">
      <c r="A52" s="176" t="s">
        <v>196</v>
      </c>
      <c r="B52" t="s">
        <v>1149</v>
      </c>
    </row>
    <row r="53" spans="1:2">
      <c r="A53" s="176" t="s">
        <v>84</v>
      </c>
      <c r="B53" t="s">
        <v>1149</v>
      </c>
    </row>
    <row r="54" spans="1:2">
      <c r="A54" s="176" t="s">
        <v>493</v>
      </c>
      <c r="B54" t="s">
        <v>1149</v>
      </c>
    </row>
    <row r="55" spans="1:2">
      <c r="A55" s="176" t="s">
        <v>875</v>
      </c>
      <c r="B55" t="s">
        <v>1149</v>
      </c>
    </row>
    <row r="56" spans="1:2">
      <c r="A56" s="176" t="s">
        <v>786</v>
      </c>
      <c r="B56" t="s">
        <v>1149</v>
      </c>
    </row>
    <row r="57" spans="1:2">
      <c r="A57" s="176" t="s">
        <v>879</v>
      </c>
      <c r="B57" t="s">
        <v>1149</v>
      </c>
    </row>
    <row r="58" spans="1:2">
      <c r="A58" s="176" t="s">
        <v>884</v>
      </c>
      <c r="B58" t="s">
        <v>1149</v>
      </c>
    </row>
    <row r="59" spans="1:2">
      <c r="A59" s="176" t="s">
        <v>1111</v>
      </c>
      <c r="B59" t="s">
        <v>1149</v>
      </c>
    </row>
    <row r="60" spans="1:2">
      <c r="A60" s="176" t="s">
        <v>883</v>
      </c>
      <c r="B60" t="s">
        <v>1149</v>
      </c>
    </row>
    <row r="61" spans="1:2">
      <c r="A61" s="176" t="s">
        <v>882</v>
      </c>
      <c r="B61" t="s">
        <v>1149</v>
      </c>
    </row>
    <row r="62" spans="1:2">
      <c r="A62" s="176" t="s">
        <v>494</v>
      </c>
      <c r="B62" t="s">
        <v>1149</v>
      </c>
    </row>
    <row r="63" spans="1:2">
      <c r="A63" s="176" t="s">
        <v>763</v>
      </c>
      <c r="B63" t="s">
        <v>1149</v>
      </c>
    </row>
    <row r="64" spans="1:2">
      <c r="A64" s="176" t="s">
        <v>811</v>
      </c>
      <c r="B64" t="s">
        <v>1149</v>
      </c>
    </row>
    <row r="65" spans="1:2">
      <c r="A65" s="176" t="s">
        <v>794</v>
      </c>
      <c r="B65" t="s">
        <v>1149</v>
      </c>
    </row>
    <row r="66" spans="1:2">
      <c r="A66" s="176" t="s">
        <v>855</v>
      </c>
      <c r="B66" t="s">
        <v>1149</v>
      </c>
    </row>
    <row r="67" spans="1:2">
      <c r="A67" s="176" t="s">
        <v>1118</v>
      </c>
      <c r="B67" t="s">
        <v>1149</v>
      </c>
    </row>
    <row r="68" spans="1:2">
      <c r="A68" s="176" t="s">
        <v>841</v>
      </c>
      <c r="B68" t="s">
        <v>1149</v>
      </c>
    </row>
    <row r="69" spans="1:2">
      <c r="A69" s="176" t="s">
        <v>825</v>
      </c>
      <c r="B69" t="s">
        <v>1149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881</v>
      </c>
      <c r="B73" t="s">
        <v>1150</v>
      </c>
    </row>
    <row r="74" spans="1:2">
      <c r="A74" s="176" t="s">
        <v>878</v>
      </c>
      <c r="B74" t="s">
        <v>1150</v>
      </c>
    </row>
    <row r="75" spans="1:2">
      <c r="A75" s="176" t="s">
        <v>110</v>
      </c>
      <c r="B75" t="s">
        <v>1148</v>
      </c>
    </row>
    <row r="76" spans="1:2">
      <c r="A76" s="176" t="s">
        <v>108</v>
      </c>
      <c r="B76" t="s">
        <v>1148</v>
      </c>
    </row>
    <row r="77" spans="1:2">
      <c r="A77" s="176" t="s">
        <v>1151</v>
      </c>
      <c r="B77" t="s">
        <v>1148</v>
      </c>
    </row>
    <row r="78" spans="1:2">
      <c r="A78" s="176" t="s">
        <v>862</v>
      </c>
      <c r="B78" t="s">
        <v>1148</v>
      </c>
    </row>
    <row r="79" spans="1:2">
      <c r="A79" s="176" t="s">
        <v>876</v>
      </c>
      <c r="B79" t="s">
        <v>1148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0" t="s">
        <v>1208</v>
      </c>
      <c r="B1" s="201"/>
      <c r="C1" s="201"/>
      <c r="D1" s="202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1025</v>
      </c>
      <c r="C3" s="153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0" t="s">
        <v>1030</v>
      </c>
      <c r="B24" s="201"/>
      <c r="C24" s="201"/>
      <c r="D24" s="202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1025</v>
      </c>
      <c r="C26" s="153" t="s">
        <v>1029</v>
      </c>
      <c r="D26" s="98"/>
    </row>
    <row r="27" spans="1:4">
      <c r="A27" s="95"/>
      <c r="B27" s="96"/>
      <c r="C27" s="153"/>
      <c r="D27" s="98"/>
    </row>
    <row r="28" spans="1:4">
      <c r="A28" s="95" t="s">
        <v>1026</v>
      </c>
      <c r="B28" s="96" t="s">
        <v>295</v>
      </c>
      <c r="C28" s="153" t="s">
        <v>114</v>
      </c>
      <c r="D28" s="98" t="s">
        <v>1033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1027</v>
      </c>
      <c r="B31" s="96" t="s">
        <v>881</v>
      </c>
      <c r="C31" s="153" t="s">
        <v>1034</v>
      </c>
      <c r="D31" s="98"/>
    </row>
    <row r="32" spans="1:4">
      <c r="A32" s="95"/>
      <c r="B32" s="96" t="s">
        <v>874</v>
      </c>
      <c r="C32" s="153" t="s">
        <v>150</v>
      </c>
      <c r="D32" s="98"/>
    </row>
    <row r="33" spans="1:4">
      <c r="A33" s="95"/>
      <c r="B33" s="96" t="s">
        <v>254</v>
      </c>
      <c r="C33" s="153" t="s">
        <v>1027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1031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878</v>
      </c>
      <c r="C37" s="153" t="s">
        <v>146</v>
      </c>
      <c r="D37" s="98"/>
    </row>
    <row r="38" spans="1:4">
      <c r="A38" s="95"/>
      <c r="B38" s="96" t="s">
        <v>878</v>
      </c>
      <c r="C38" s="153" t="s">
        <v>1035</v>
      </c>
      <c r="D38" s="98"/>
    </row>
    <row r="39" spans="1:4">
      <c r="A39" s="95"/>
      <c r="B39" s="96" t="s">
        <v>353</v>
      </c>
      <c r="C39" s="153" t="s">
        <v>1027</v>
      </c>
      <c r="D39" s="98"/>
    </row>
    <row r="40" spans="1:4">
      <c r="A40" s="95"/>
      <c r="B40" s="96"/>
      <c r="C40" s="153"/>
      <c r="D40" s="98"/>
    </row>
    <row r="41" spans="1:4">
      <c r="A41" s="95" t="s">
        <v>1031</v>
      </c>
      <c r="B41" s="96" t="s">
        <v>147</v>
      </c>
      <c r="C41" s="153" t="s">
        <v>188</v>
      </c>
      <c r="D41" s="98" t="s">
        <v>889</v>
      </c>
    </row>
    <row r="42" spans="1:4">
      <c r="A42" s="95"/>
      <c r="B42" s="96" t="s">
        <v>457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1032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1032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00" t="s">
        <v>1039</v>
      </c>
      <c r="B49" s="201"/>
      <c r="C49" s="201"/>
      <c r="D49" s="202"/>
    </row>
    <row r="50" spans="1:4">
      <c r="A50" s="95"/>
      <c r="B50" s="96" t="s">
        <v>295</v>
      </c>
      <c r="C50" s="153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3" t="s">
        <v>1038</v>
      </c>
      <c r="D51" s="98"/>
    </row>
    <row r="52" spans="1:4">
      <c r="A52" s="95"/>
      <c r="B52" s="96" t="s">
        <v>878</v>
      </c>
      <c r="C52" s="153" t="s">
        <v>1037</v>
      </c>
      <c r="D52" s="98"/>
    </row>
    <row r="53" spans="1:4">
      <c r="A53" s="95"/>
      <c r="B53" s="96" t="s">
        <v>982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00" t="s">
        <v>1044</v>
      </c>
      <c r="B56" s="201"/>
      <c r="C56" s="201"/>
      <c r="D56" s="202"/>
    </row>
    <row r="57" spans="1:4">
      <c r="A57" s="95"/>
      <c r="B57" s="96" t="s">
        <v>1025</v>
      </c>
      <c r="C57" s="153" t="s">
        <v>1042</v>
      </c>
      <c r="D57" s="98"/>
    </row>
    <row r="58" spans="1:4">
      <c r="A58" s="95" t="s">
        <v>1040</v>
      </c>
      <c r="B58" s="96" t="s">
        <v>164</v>
      </c>
      <c r="C58" s="153" t="s">
        <v>1043</v>
      </c>
      <c r="D58" s="98"/>
    </row>
    <row r="59" spans="1:4">
      <c r="A59" s="95"/>
      <c r="B59" s="96" t="s">
        <v>295</v>
      </c>
      <c r="C59" s="153" t="s">
        <v>309</v>
      </c>
      <c r="D59" s="98" t="s">
        <v>1036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878</v>
      </c>
      <c r="C61" s="153" t="s">
        <v>1035</v>
      </c>
      <c r="D61" s="98"/>
    </row>
    <row r="62" spans="1:4">
      <c r="A62" s="95"/>
      <c r="B62" s="96" t="s">
        <v>878</v>
      </c>
      <c r="C62" s="153" t="s">
        <v>1037</v>
      </c>
      <c r="D62" s="98"/>
    </row>
    <row r="63" spans="1:4">
      <c r="A63" s="95"/>
      <c r="B63" s="96" t="s">
        <v>982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970</v>
      </c>
      <c r="C65" s="153" t="s">
        <v>1040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1036</v>
      </c>
      <c r="B68" s="96" t="s">
        <v>298</v>
      </c>
      <c r="C68" s="153" t="s">
        <v>1041</v>
      </c>
      <c r="D68" s="98"/>
    </row>
    <row r="69" spans="1:4" ht="15.75" thickBot="1"/>
    <row r="70" spans="1:4" ht="15.75" thickBot="1">
      <c r="A70" s="200" t="s">
        <v>1047</v>
      </c>
      <c r="B70" s="201"/>
      <c r="C70" s="201"/>
      <c r="D70" s="202"/>
    </row>
    <row r="71" spans="1:4">
      <c r="A71" s="95"/>
      <c r="B71" s="96" t="s">
        <v>295</v>
      </c>
      <c r="C71" s="153" t="s">
        <v>309</v>
      </c>
      <c r="D71" s="98" t="s">
        <v>1045</v>
      </c>
    </row>
    <row r="72" spans="1:4">
      <c r="A72" s="95"/>
      <c r="B72" s="96" t="s">
        <v>878</v>
      </c>
      <c r="C72" s="153" t="s">
        <v>1035</v>
      </c>
      <c r="D72" s="98"/>
    </row>
    <row r="73" spans="1:4">
      <c r="A73" s="95"/>
      <c r="B73" s="96" t="s">
        <v>878</v>
      </c>
      <c r="C73" s="153" t="s">
        <v>1037</v>
      </c>
      <c r="D73" s="98"/>
    </row>
    <row r="74" spans="1:4">
      <c r="A74" s="95"/>
      <c r="B74" s="96" t="s">
        <v>881</v>
      </c>
      <c r="C74" s="153" t="s">
        <v>433</v>
      </c>
      <c r="D74" s="98"/>
    </row>
    <row r="75" spans="1:4">
      <c r="A75" s="95"/>
      <c r="B75" s="96" t="s">
        <v>147</v>
      </c>
      <c r="C75" s="153" t="s">
        <v>152</v>
      </c>
      <c r="D75" s="98" t="s">
        <v>887</v>
      </c>
    </row>
    <row r="76" spans="1:4">
      <c r="A76" s="95"/>
      <c r="B76" s="96" t="s">
        <v>982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1036</v>
      </c>
    </row>
    <row r="78" spans="1:4">
      <c r="A78" s="95"/>
      <c r="B78" s="96" t="s">
        <v>982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1045</v>
      </c>
      <c r="B80" s="96" t="s">
        <v>1046</v>
      </c>
      <c r="C80" s="153">
        <v>50</v>
      </c>
      <c r="D80" s="98"/>
    </row>
    <row r="81" spans="1:4">
      <c r="A81" s="95" t="s">
        <v>1036</v>
      </c>
      <c r="B81" s="96" t="s">
        <v>298</v>
      </c>
      <c r="C81" s="153" t="s">
        <v>1048</v>
      </c>
      <c r="D81" s="98"/>
    </row>
    <row r="82" spans="1:4" ht="15.75" thickBot="1"/>
    <row r="83" spans="1:4" ht="15.75" thickBot="1">
      <c r="A83" s="200" t="s">
        <v>1059</v>
      </c>
      <c r="B83" s="201"/>
      <c r="C83" s="201"/>
      <c r="D83" s="202"/>
    </row>
    <row r="84" spans="1:4">
      <c r="A84" s="95" t="s">
        <v>1054</v>
      </c>
      <c r="B84" s="96" t="s">
        <v>878</v>
      </c>
      <c r="C84" s="153" t="s">
        <v>1035</v>
      </c>
      <c r="D84" s="98"/>
    </row>
    <row r="85" spans="1:4">
      <c r="A85" s="95"/>
      <c r="B85" s="96" t="s">
        <v>878</v>
      </c>
      <c r="C85" s="153" t="s">
        <v>1037</v>
      </c>
      <c r="D85" s="98"/>
    </row>
    <row r="86" spans="1:4">
      <c r="A86" s="95"/>
      <c r="B86" s="96" t="s">
        <v>295</v>
      </c>
      <c r="C86" s="153" t="s">
        <v>309</v>
      </c>
      <c r="D86" s="98" t="s">
        <v>1055</v>
      </c>
    </row>
    <row r="87" spans="1:4">
      <c r="A87" s="95"/>
      <c r="B87" s="96" t="s">
        <v>147</v>
      </c>
      <c r="C87" s="153" t="s">
        <v>152</v>
      </c>
      <c r="D87" s="98" t="s">
        <v>887</v>
      </c>
    </row>
    <row r="88" spans="1:4">
      <c r="A88" s="95"/>
      <c r="B88" s="96" t="s">
        <v>982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1049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3"/>
      <c r="D94" s="98"/>
    </row>
    <row r="95" spans="1:4">
      <c r="A95" s="95"/>
      <c r="B95" s="96" t="s">
        <v>878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1053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878</v>
      </c>
      <c r="C100" s="153" t="s">
        <v>983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1027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1053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878</v>
      </c>
      <c r="C107" s="153" t="s">
        <v>983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1051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1049</v>
      </c>
      <c r="B111" s="96" t="s">
        <v>295</v>
      </c>
      <c r="C111" s="153" t="s">
        <v>309</v>
      </c>
      <c r="D111" s="98" t="s">
        <v>1056</v>
      </c>
    </row>
    <row r="112" spans="1:4">
      <c r="A112" s="95"/>
      <c r="B112" s="96" t="s">
        <v>147</v>
      </c>
      <c r="C112" s="153" t="s">
        <v>152</v>
      </c>
      <c r="D112" s="98" t="s">
        <v>887</v>
      </c>
    </row>
    <row r="113" spans="1:4">
      <c r="A113" s="95"/>
      <c r="B113" s="96" t="s">
        <v>982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1055</v>
      </c>
      <c r="B115" s="96" t="s">
        <v>298</v>
      </c>
      <c r="C115" s="153" t="s">
        <v>1057</v>
      </c>
      <c r="D115" s="98"/>
    </row>
    <row r="116" spans="1:4">
      <c r="A116" s="95" t="s">
        <v>1056</v>
      </c>
      <c r="B116" s="96" t="s">
        <v>298</v>
      </c>
      <c r="C116" s="153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109</vt:i4>
      </vt:variant>
    </vt:vector>
  </HeadingPairs>
  <TitlesOfParts>
    <vt:vector size="118" baseType="lpstr">
      <vt:lpstr>CPU</vt:lpstr>
      <vt:lpstr>Trace</vt:lpstr>
      <vt:lpstr>Unit Tests</vt:lpstr>
      <vt:lpstr>Export Log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2026-03-09T13:56:19Z</dcterms:modified>
</cp:coreProperties>
</file>