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C297D32A-AD7B-4B28-A805-212BAE1E42A9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43" i="5" a="1"/>
  <c r="J322" i="5" a="1"/>
  <c r="J187" i="5" a="1"/>
  <c r="J176" i="5" a="1"/>
  <c r="J197" i="5" a="1"/>
  <c r="J132" i="5" a="1"/>
  <c r="J304" i="5" a="1"/>
  <c r="J312" i="5" a="1"/>
  <c r="J318" i="5" a="1"/>
  <c r="J271" i="5" a="1"/>
  <c r="J181" i="5" a="1"/>
  <c r="J218" i="5" a="1"/>
  <c r="J156" i="5" a="1"/>
  <c r="J256" i="5" a="1"/>
  <c r="J201" i="5" a="1"/>
  <c r="J274" i="5" a="1"/>
  <c r="J235" i="5" a="1"/>
  <c r="J267" i="5" a="1"/>
  <c r="J215" i="5" a="1"/>
  <c r="J126" i="5" a="1"/>
  <c r="J137" i="5" a="1"/>
  <c r="J260" i="5" a="1"/>
  <c r="J188" i="5" a="1"/>
  <c r="J248" i="5" a="1"/>
  <c r="J243" i="5" a="1"/>
  <c r="J44" i="5" a="1"/>
  <c r="J219" i="5" a="1"/>
  <c r="J150" i="5" a="1"/>
  <c r="J283" i="5" a="1"/>
  <c r="J144" i="5" a="1"/>
  <c r="J171" i="5" a="1"/>
  <c r="J166" i="5" a="1"/>
  <c r="J311" i="5" a="1"/>
  <c r="J249" i="5" a="1"/>
  <c r="J266" i="5" a="1"/>
  <c r="J155" i="5" a="1"/>
  <c r="J199" i="5" a="1"/>
  <c r="J269" i="5" a="1"/>
  <c r="J178" i="5" a="1"/>
  <c r="J306" i="5" a="1"/>
  <c r="J128" i="5" a="1"/>
  <c r="J296" i="5" a="1"/>
  <c r="J247" i="5" a="1"/>
  <c r="J263" i="5" a="1"/>
  <c r="J237" i="5" a="1"/>
  <c r="J282" i="5" a="1"/>
  <c r="J285" i="5" a="1"/>
  <c r="J227" i="5" a="1"/>
  <c r="J292" i="5" a="1"/>
  <c r="J327" i="5" a="1"/>
  <c r="J313" i="5" a="1"/>
  <c r="J185" i="5" a="1"/>
  <c r="J321" i="5" a="1"/>
  <c r="J331" i="5" a="1"/>
  <c r="J286" i="5" a="1"/>
  <c r="J228" i="5" a="1"/>
  <c r="J167" i="5" a="1"/>
  <c r="J145" i="5" a="1"/>
  <c r="J324" i="5" a="1"/>
  <c r="J142" i="5" a="1"/>
  <c r="J170" i="5" a="1"/>
  <c r="J277" i="5" a="1"/>
  <c r="J279" i="5" a="1"/>
  <c r="J330" i="5" a="1"/>
  <c r="J46" i="5" a="1"/>
  <c r="J151" i="5" a="1"/>
  <c r="J329" i="5" a="1"/>
  <c r="J195" i="5" a="1"/>
  <c r="J245" i="5" a="1"/>
  <c r="J309" i="5" a="1"/>
  <c r="J198" i="5" a="1"/>
  <c r="J303" i="5" a="1"/>
  <c r="J287" i="5" a="1"/>
  <c r="J305" i="5" a="1"/>
  <c r="J293" i="5" a="1"/>
  <c r="J268" i="5" a="1"/>
  <c r="J141" i="5" a="1"/>
  <c r="J261" i="5" a="1"/>
  <c r="J302" i="5" a="1"/>
  <c r="J191" i="5" a="1"/>
  <c r="J234" i="5" a="1"/>
  <c r="J246" i="5" a="1"/>
  <c r="J270" i="5" a="1"/>
  <c r="J332" i="5" a="1"/>
  <c r="J262" i="5" a="1"/>
  <c r="J284" i="5" a="1"/>
  <c r="J236" i="5" a="1"/>
  <c r="J179" i="5" a="1"/>
  <c r="J241" i="5" a="1"/>
  <c r="J186" i="5" a="1"/>
  <c r="J242" i="5" a="1"/>
  <c r="J189" i="5" a="1"/>
  <c r="J323" i="5" a="1"/>
  <c r="J200" i="5" a="1"/>
  <c r="J130" i="5" a="1"/>
  <c r="J168" i="5" a="1"/>
  <c r="J300" i="5" a="1"/>
  <c r="J226" i="5" a="1"/>
  <c r="J315" i="5" a="1"/>
  <c r="J196" i="5" a="1"/>
  <c r="J138" i="5" a="1"/>
  <c r="J153" i="5" a="1"/>
  <c r="J225" i="5" a="1"/>
  <c r="J314" i="5" a="1"/>
  <c r="J165" i="5" a="1"/>
  <c r="J310" i="5" a="1"/>
  <c r="J212" i="5" a="1"/>
  <c r="J206" i="5" a="1"/>
  <c r="J275" i="5" a="1"/>
  <c r="J255" i="5" a="1"/>
  <c r="J297" i="5" a="1"/>
  <c r="J133" i="5" a="1"/>
  <c r="J129" i="5" a="1"/>
  <c r="J333" i="5" a="1"/>
  <c r="J158" i="5" a="1"/>
  <c r="J320" i="5" a="1"/>
  <c r="J127" i="5" a="1"/>
  <c r="J152" i="5" a="1"/>
  <c r="J136" i="5" a="1"/>
  <c r="J131" i="5" a="1"/>
  <c r="J175" i="5" a="1"/>
  <c r="J276" i="5" a="1"/>
  <c r="J177" i="5" a="1"/>
  <c r="J294" i="5" a="1"/>
  <c r="J278" i="5" a="1"/>
  <c r="J295" i="5" a="1"/>
  <c r="J288" i="5" a="1"/>
  <c r="J291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0" i="5" a="1"/>
  <c r="J107" i="5" a="1"/>
  <c r="J91" i="5" a="1"/>
  <c r="J108" i="5" a="1"/>
  <c r="J89" i="5" a="1"/>
  <c r="J88" i="5" a="1"/>
  <c r="J84" i="5" a="1"/>
  <c r="J85" i="5" a="1"/>
  <c r="J86" i="5" a="1"/>
  <c r="J101" i="5" a="1"/>
  <c r="J87" i="5" a="1"/>
  <c r="J109" i="5" a="1"/>
  <c r="J102" i="5" a="1"/>
  <c r="J110" i="5" a="1"/>
  <c r="J99" i="5" a="1"/>
  <c r="J90" i="5" a="1"/>
  <c r="J100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1" i="5" a="1"/>
  <c r="J52" i="5" a="1"/>
  <c r="J40" i="5" a="1"/>
  <c r="J12" i="5" a="1"/>
  <c r="J77" i="5" a="1"/>
  <c r="J71" i="5" a="1"/>
  <c r="J63" i="5" a="1"/>
  <c r="J78" i="5" a="1"/>
  <c r="J35" i="5" a="1"/>
  <c r="J26" i="5" a="1"/>
  <c r="J31" i="5" a="1"/>
  <c r="J69" i="5" a="1"/>
  <c r="J22" i="5" a="1"/>
  <c r="J70" i="5" a="1"/>
  <c r="J33" i="5" a="1"/>
  <c r="J72" i="5" a="1"/>
  <c r="J60" i="5" a="1"/>
  <c r="J59" i="5" a="1"/>
  <c r="J61" i="5" a="1"/>
  <c r="J19" i="5" a="1"/>
  <c r="J42" i="5" a="1"/>
  <c r="J79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6" i="5" a="1"/>
  <c r="J7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<sst xmlns="http://schemas.openxmlformats.org/spreadsheetml/2006/main" count="1457" uniqueCount="430">
  <si>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</si>
  <si>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</si>
  <si>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</si>
  <si>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</si>
  <si>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</si>
  <si>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</si>
  <si>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</si>
  <si>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</si>
  <si>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</si>
  <si>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</si>
  <si>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</si>
  <si>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</si>
  <si>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</si>
  <si>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</si>
  <si>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</si>
  <si>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</si>
  <si>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</si>
  <si>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</si>
  <si>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</si>
  <si>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</si>
  <si>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</si>
  <si>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</si>
  <si>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</si>
  <si>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</si>
  <si>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</si>
  <si>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</si>
  <si>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</si>
  <si>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</si>
  <si>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</si>
  <si>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</si>
  <si>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</si>
  <si>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</si>
  <si>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</si>
  <si>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</si>
  <si>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</si>
  <si>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</si>
  <si>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</si>
  <si>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</si>
  <si>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</si>
  <si>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</si>
  <si>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</si>
  <si>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</si>
  <si>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</si>
  <si>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</si>
  <si>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</si>
  <si>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</si>
  <si>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</si>
  <si>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</si>
  <si>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</si>
  <si>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</si>
  <si>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</si>
  <si>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</si>
  <si>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</si>
  <si>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</si>
  <si>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</si>
  <si>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</si>
  <si>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</si>
  <si>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</si>
  <si>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</si>
  <si>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</si>
  <si>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</si>
  <si>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</si>
  <si>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</si>
  <si>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</si>
  <si>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</si>
  <si>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</si>
  <si>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</si>
  <si>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</si>
  <si>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</si>
  <si>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</si>
  <si>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</si>
  <si>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</si>
  <si>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</si>
  <si>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</si>
  <si>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</si>
  <si>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</si>
  <si>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</si>
  <si>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</si>
  <si>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</si>
  <si>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</si>
  <si>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</si>
  <si>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</si>
  <si>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</si>
  <si>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</si>
  <si>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</si>
  <si>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</si>
  <si>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</si>
  <si>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</si>
  <si>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</si>
  <si>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</si>
  <si>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</si>
  <si>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</si>
  <si>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</si>
  <si>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</si>
  <si>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</si>
  <si>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</si>
  <si>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</si>
  <si>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</si>
  <si>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</si>
  <si>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</si>
  <si>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</si>
  <si>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</si>
  <si>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</si>
  <si>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</si>
  <si>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</si>
  <si>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</si>
  <si>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</si>
  <si>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</si>
  <si>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</si>
  <si>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</si>
  <si>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</si>
  <si>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</si>
  <si>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</si>
  <si>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</si>
  <si>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</si>
  <si>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</si>
  <si>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</si>
  <si>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</si>
  <si>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</si>
  <si>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</si>
  <si>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</si>
  <si>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</si>
  <si>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</si>
  <si>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</si>
  <si>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</si>
  <si>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</si>
  <si>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</si>
  <si>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</si>
  <si>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</si>
  <si>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</si>
  <si>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</si>
  <si>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</si>
  <si>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</si>
  <si>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</si>
  <si>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</si>
  <si>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</si>
  <si>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</si>
  <si>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</si>
  <si>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</si>
  <si>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</si>
  <si>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</si>
  <si>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</si>
  <si>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</si>
  <si>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</si>
  <si>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</si>
  <si>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</si>
  <si>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</si>
  <si>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</si>
  <si>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</si>
  <si>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</si>
  <si>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</si>
  <si>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</si>
  <si>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</si>
  <si>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</si>
  <si>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</si>
  <si>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</si>
  <si>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</si>
  <si>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</si>
  <si>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</si>
  <si>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</si>
  <si>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</si>
  <si>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</si>
  <si>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</si>
  <si>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</si>
  <si>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</si>
  <si>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</si>
  <si>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</si>
  <si>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</si>
  <si>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</si>
  <si>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</si>
  <si>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</si>
  <si>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</si>
  <si>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</si>
  <si>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</si>
  <si>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</si>
  <si>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</si>
  <si>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</si>
  <si>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</si>
  <si>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</si>
  <si>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</si>
  <si>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</si>
  <si>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</si>
  <si>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</si>
  <si>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</si>
  <si>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</si>
  <si>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</si>
  <si>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</si>
  <si>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</si>
  <si>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</si>
  <si>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</si>
  <si>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</si>
  <si>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</si>
  <si>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</si>
  <si>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</si>
  <si>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</si>
  <si>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</si>
  <si>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</si>
  <si>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</si>
  <si>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</si>
  <si>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</si>
  <si>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</si>
  <si>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</si>
  <si>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</si>
  <si>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</si>
  <si>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</si>
  <si>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</si>
  <si>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</si>
  <si>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</si>
  <si>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</si>
  <si>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</si>
  <si>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</si>
  <si>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</si>
  <si>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</si>
  <si>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</si>
  <si>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</si>
  <si>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</si>
  <si>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</si>
  <si>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</si>
  <si>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</si>
  <si>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</si>
  <si>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</si>
  <si>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</si>
  <si>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</si>
  <si>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</si>
  <si>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</si>
  <si>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</si>
  <si>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</si>
  <si>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</si>
  <si>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</si>
  <si>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</si>
  <si>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</si>
  <si>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</si>
  <si>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</si>
  <si>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</si>
  <si>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</si>
  <si>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</si>
  <si>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</si>
  <si>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</si>
  <si>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</si>
  <si>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</si>
  <si>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</si>
  <si>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</si>
  <si>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</si>
  <si>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</si>
  <si>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</si>
  <si>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</si>
  <si>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</si>
  <si>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</si>
  <si>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</si>
  <si>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</si>
  <si>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</si>
  <si>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</si>
  <si>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</si>
  <si>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</si>
  <si>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</si>
  <si>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</si>
  <si>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</si>
  <si>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</si>
  <si>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</si>
  <si>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</si>
  <si>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</si>
  <si>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</si>
  <si>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</si>
  <si>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</si>
  <si>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</si>
  <si>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</si>
  <si>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</si>
  <si>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</si>
  <si>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</si>
  <si>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</si>
  <si>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</si>
  <si>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</si>
  <si>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</si>
  <si>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</si>
  <si>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</si>
  <si>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</si>
  <si>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</si>
  <si>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</si>
  <si>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</si>
  <si>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</si>
  <si>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</si>
  <si>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</si>
  <si>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</si>
  <si>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</si>
  <si>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</si>
  <si>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</si>
  <si>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</si>
  <si>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</si>
  <si>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</si>
  <si>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</si>
  <si>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</si>
  <si>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</si>
  <si>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</si>
  <si>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</si>
  <si>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</si>
  <si>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</si>
  <si>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</si>
  <si>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</si>
  <si>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</si>
  <si>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</si>
  <si>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</si>
  <si>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</si>
  <si>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</si>
  <si>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</si>
  <si>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</si>
  <si>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</si>
  <si>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</si>
  <si>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</si>
  <si>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</si>
  <si>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</si>
  <si>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</si>
  <si>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</si>
  <si>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</si>
  <si>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</si>
  <si>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</si>
  <si>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</si>
  <si>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</si>
  <si>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</si>
  <si>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</si>
  <si>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</si>
  <si>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</si>
  <si>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</si>
  <si>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</si>
  <si>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</si>
  <si>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</si>
  <si>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</si>
  <si>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</si>
  <si>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</si>
  <si>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</si>
  <si>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</si>
  <si>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</si>
  <si>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</si>
  <si>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</si>
  <si>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</si>
  <si>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</si>
  <si>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</si>
  <si>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</si>
  <si>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</si>
  <si>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</si>
  <si>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</si>
  <si>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</si>
  <si>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</si>
  <si>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</si>
  <si>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</si>
  <si>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</si>
  <si>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</si>
  <si>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</si>
  <si>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</si>
  <si>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</si>
  <si>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</si>
  <si>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</si>
  <si>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</si>
  <si>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</si>
  <si>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</si>
  <si>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</si>
  <si>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</si>
  <si>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</si>
  <si>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</si>
  <si>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</si>
  <si>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</si>
  <si>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</si>
  <si>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</si>
  <si>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</si>
  <si>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</si>
  <si>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</si>
  <si>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</si>
  <si>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</si>
  <si>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</si>
  <si>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</si>
  <si>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</si>
  <si>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</si>
  <si>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</si>
  <si>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</si>
  <si>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</si>
  <si>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</si>
  <si>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</si>
  <si>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</si>
  <si>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</si>
  <si>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</si>
  <si>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</si>
  <si>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</si>
  <si>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</si>
  <si>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</si>
  <si>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</si>
  <si>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</si>
  <si>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</si>
  <si>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</si>
  <si>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</si>
  <si>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</si>
  <si>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</si>
  <si>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</si>
  <si>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</si>
  <si>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</si>
  <si>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</si>
  <si>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</si>
  <si>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</si>
  <si>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</si>
  <si>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</si>
  <si>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</si>
  <si>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</si>
  <si>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</si>
  <si>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</si>
  <si>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</si>
  <si>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</si>
  <si>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</si>
  <si>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</si>
  <si>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</si>
  <si>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</si>
  <si>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</si>
  <si>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</si>
  <si>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</si>
  <si>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</si>
  <si>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</si>
  <si>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</si>
  <si>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</si>
  <si>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</si>
  <si>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</si>
  <si>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</si>
  <si>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</si>
  <si>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</si>
  <si>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</si>
  <si>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</si>
  <si>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</si>
  <si>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FAIL</t>
  </si>
  <si>
    <t>Debug</t>
  </si>
  <si>
    <t>Use Alt</t>
  </si>
  <si>
    <t>140</t>
  </si>
  <si>
    <t>PASS</t>
  </si>
  <si>
    <t>0141</t>
  </si>
  <si>
    <t xml:space="preserve">&gt;Unit_T013: WORLD!!!_x000D_
 USER_x000D_
FAIL_x000D_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&gt;Unit_T025:FAIL_x000D_
&gt;Unit_T026:FAIL_x000D_
&gt;Unit_T027:PASS_x000D_
&gt;Unit_T028:PASS_x000D_
&gt;Unit_T029:PASS_x000D_
&gt;Unit_T030:PASS_x000D_
&gt;Unit_T031:PASS_x000D_
&gt;Unit_T032:PASS_x000D_
&gt;Unit_T033:PASS_x000D_
&gt;Unit_T034:PASS_x000D_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</si>
</sst>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14" borderId="16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15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20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66675</xdr:rowOff>
        </xdr:from>
        <xdr:to>
          <xdr:col>12</xdr:col>
          <xdr:colOff>19050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A16" sqref="AA1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2" t="s">
        <v>373</v>
      </c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4"/>
      <c r="AN1" s="67" t="s">
        <v>422</v>
      </c>
      <c r="AO1" s="67" t="s">
        <v>418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419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420</v>
      </c>
      <c r="AP3" s="6"/>
    </row>
    <row r="4" spans="1:42" ht="15.75" thickBot="1">
      <c r="AA4" s="7" t="s">
        <v>410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411</v>
      </c>
      <c r="AL4" t="s">
        <v>412</v>
      </c>
      <c r="AN4" s="116">
        <v>0</v>
      </c>
      <c r="AO4" s="116" t="s">
        <v>421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409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239</v>
      </c>
      <c r="D6" s="34" t="str">
        <f>IF(AND(E6&gt;=32,E6&lt;=126),CHAR(E6),".")</f>
        <v>.</v>
      </c>
      <c r="E6" s="35">
        <f>HEX2DEC(C6)</f>
        <v>16</v>
      </c>
      <c r="G6" s="21" t="s">
        <v>115</v>
      </c>
      <c r="H6" s="22">
        <v>1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>
        <v>0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>
        <v>0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 t="s">
        <v>239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>
        <v>0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165</v>
      </c>
      <c r="Q9" s="103">
        <v>20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>
        <v>0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/>
      <c r="Q10" s="103"/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>
        <v>0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1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/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>
        <v>0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428</v>
      </c>
      <c r="D13" s="34" t="str">
        <f t="shared" si="2"/>
        <v>.</v>
      </c>
      <c r="E13" s="35">
        <f t="shared" si="3"/>
        <v>321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/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426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 ht="15.75" thickBot="1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G19" s="119" t="s">
        <v>425</v>
      </c>
      <c r="H19" s="118">
        <v>0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20" t="s">
        <v>424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6" priority="26" operator="equal">
      <formula>0</formula>
    </cfRule>
    <cfRule type="cellIs" dxfId="205" priority="27" operator="greaterThan">
      <formula>0</formula>
    </cfRule>
  </conditionalFormatting>
  <conditionalFormatting sqref="F1:V1">
    <cfRule type="containsText" dxfId="204" priority="17" operator="containsText" text="Halted">
      <formula>NOT(ISERROR(SEARCH("Halted",F1)))</formula>
    </cfRule>
    <cfRule type="containsText" dxfId="203" priority="24" operator="containsText" text="Execution Complete">
      <formula>NOT(ISERROR(SEARCH("Execution Complete",F1)))</formula>
    </cfRule>
    <cfRule type="containsText" dxfId="202" priority="25" operator="containsText" text="Error">
      <formula>NOT(ISERROR(SEARCH("Error",F1)))</formula>
    </cfRule>
  </conditionalFormatting>
  <conditionalFormatting sqref="P22:R1070">
    <cfRule type="expression" dxfId="201" priority="49">
      <formula>$N22=$E$13</formula>
    </cfRule>
  </conditionalFormatting>
  <conditionalFormatting sqref="M7:S7 M22:S1070 M8:N21 S8:S21">
    <cfRule type="containsText" dxfId="200" priority="5" operator="containsText" text=" ">
      <formula>NOT(ISERROR(SEARCH(" ",M7)))</formula>
    </cfRule>
  </conditionalFormatting>
  <conditionalFormatting sqref="AC5:AL5">
    <cfRule type="cellIs" dxfId="199" priority="3" operator="equal">
      <formula>0</formula>
    </cfRule>
    <cfRule type="cellIs" dxfId="198" priority="4" operator="equal">
      <formula>1</formula>
    </cfRule>
  </conditionalFormatting>
  <conditionalFormatting sqref="H19:H20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Engine">
                <anchor moveWithCells="1" sizeWithCells="1">
                  <from>
                    <xdr:col>7</xdr:col>
                    <xdr:colOff>257175</xdr:colOff>
                    <xdr:row>1</xdr:row>
                    <xdr:rowOff>66675</xdr:rowOff>
                  </from>
                  <to>
                    <xdr:col>12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10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>
        <f>CPU!C11</f>
        <v>0</v>
      </c>
      <c r="H2" s="56">
        <f>CPU!C12</f>
        <v>0</v>
      </c>
      <c r="I2" s="56" t="str">
        <f>PC</f>
        <v>0141</v>
      </c>
      <c r="J2" s="56" t="str">
        <f>SP</f>
        <v>140</v>
      </c>
      <c r="K2" s="56">
        <f>Carry</f>
        <v>1</v>
      </c>
      <c r="L2" s="56">
        <f>Parity</f>
        <v>1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1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1" t="s">
        <v>427</v>
      </c>
      <c r="L4" s="70" t="s">
        <v>267</v>
      </c>
      <c r="M4" s="20">
        <f>IFERROR(VLOOKUP(A4,$P$6:$R$1048576,3,0),0)</f>
        <v>0</v>
      </c>
      <c r="U4" s="125" t="s">
        <v>341</v>
      </c>
      <c r="V4" s="126"/>
      <c r="W4" s="126"/>
      <c r="X4" s="126"/>
      <c r="Y4" s="126"/>
      <c r="Z4" s="126"/>
      <c r="AA4" s="126"/>
      <c r="AB4" s="127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392</v>
      </c>
      <c r="R5" s="93" t="s">
        <v>243</v>
      </c>
      <c r="U5" s="128" t="s">
        <v>429</v>
      </c>
      <c r="V5" s="128"/>
      <c r="W5" s="128"/>
      <c r="X5" s="128"/>
      <c r="Y5" s="128"/>
      <c r="Z5" s="128"/>
      <c r="AA5" s="128"/>
      <c r="AB5" s="128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9"/>
      <c r="V6" s="129"/>
      <c r="W6" s="129"/>
      <c r="X6" s="129"/>
      <c r="Y6" s="129"/>
      <c r="Z6" s="129"/>
      <c r="AA6" s="129"/>
      <c r="AB6" s="129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9"/>
      <c r="V7" s="129"/>
      <c r="W7" s="129"/>
      <c r="X7" s="129"/>
      <c r="Y7" s="129"/>
      <c r="Z7" s="129"/>
      <c r="AA7" s="129"/>
      <c r="AB7" s="129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9"/>
      <c r="V8" s="129"/>
      <c r="W8" s="129"/>
      <c r="X8" s="129"/>
      <c r="Y8" s="129"/>
      <c r="Z8" s="129"/>
      <c r="AA8" s="129"/>
      <c r="AB8" s="129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9"/>
      <c r="V9" s="129"/>
      <c r="W9" s="129"/>
      <c r="X9" s="129"/>
      <c r="Y9" s="129"/>
      <c r="Z9" s="129"/>
      <c r="AA9" s="129"/>
      <c r="AB9" s="129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9"/>
      <c r="V10" s="129"/>
      <c r="W10" s="129"/>
      <c r="X10" s="129"/>
      <c r="Y10" s="129"/>
      <c r="Z10" s="129"/>
      <c r="AA10" s="129"/>
      <c r="AB10" s="129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1" t="s">
        <v>427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9"/>
      <c r="V11" s="129"/>
      <c r="W11" s="129"/>
      <c r="X11" s="129"/>
      <c r="Y11" s="129"/>
      <c r="Z11" s="129"/>
      <c r="AA11" s="129"/>
      <c r="AB11" s="129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9"/>
      <c r="V12" s="129"/>
      <c r="W12" s="129"/>
      <c r="X12" s="129"/>
      <c r="Y12" s="129"/>
      <c r="Z12" s="129"/>
      <c r="AA12" s="129"/>
      <c r="AB12" s="129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9"/>
      <c r="V13" s="129"/>
      <c r="W13" s="129"/>
      <c r="X13" s="129"/>
      <c r="Y13" s="129"/>
      <c r="Z13" s="129"/>
      <c r="AA13" s="129"/>
      <c r="AB13" s="129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9"/>
      <c r="V14" s="129"/>
      <c r="W14" s="129"/>
      <c r="X14" s="129"/>
      <c r="Y14" s="129"/>
      <c r="Z14" s="129"/>
      <c r="AA14" s="129"/>
      <c r="AB14" s="129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9"/>
      <c r="V15" s="129"/>
      <c r="W15" s="129"/>
      <c r="X15" s="129"/>
      <c r="Y15" s="129"/>
      <c r="Z15" s="129"/>
      <c r="AA15" s="129"/>
      <c r="AB15" s="129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1" t="s">
        <v>427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9"/>
      <c r="V16" s="129"/>
      <c r="W16" s="129"/>
      <c r="X16" s="129"/>
      <c r="Y16" s="129"/>
      <c r="Z16" s="129"/>
      <c r="AA16" s="129"/>
      <c r="AB16" s="129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9"/>
      <c r="V17" s="129"/>
      <c r="W17" s="129"/>
      <c r="X17" s="129"/>
      <c r="Y17" s="129"/>
      <c r="Z17" s="129"/>
      <c r="AA17" s="129"/>
      <c r="AB17" s="129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1</v>
      </c>
      <c r="U18" s="129"/>
      <c r="V18" s="129"/>
      <c r="W18" s="129"/>
      <c r="X18" s="129"/>
      <c r="Y18" s="129"/>
      <c r="Z18" s="129"/>
      <c r="AA18" s="129"/>
      <c r="AB18" s="129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9"/>
      <c r="V19" s="129"/>
      <c r="W19" s="129"/>
      <c r="X19" s="129"/>
      <c r="Y19" s="129"/>
      <c r="Z19" s="129"/>
      <c r="AA19" s="129"/>
      <c r="AB19" s="129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9"/>
      <c r="V20" s="129"/>
      <c r="W20" s="129"/>
      <c r="X20" s="129"/>
      <c r="Y20" s="129"/>
      <c r="Z20" s="129"/>
      <c r="AA20" s="129"/>
      <c r="AB20" s="129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9"/>
      <c r="V21" s="129"/>
      <c r="W21" s="129"/>
      <c r="X21" s="129"/>
      <c r="Y21" s="129"/>
      <c r="Z21" s="129"/>
      <c r="AA21" s="129"/>
      <c r="AB21" s="129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9"/>
      <c r="V22" s="129"/>
      <c r="W22" s="129"/>
      <c r="X22" s="129"/>
      <c r="Y22" s="129"/>
      <c r="Z22" s="129"/>
      <c r="AA22" s="129"/>
      <c r="AB22" s="129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9"/>
      <c r="V23" s="129"/>
      <c r="W23" s="129"/>
      <c r="X23" s="129"/>
      <c r="Y23" s="129"/>
      <c r="Z23" s="129"/>
      <c r="AA23" s="129"/>
      <c r="AB23" s="129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9"/>
      <c r="V24" s="129"/>
      <c r="W24" s="129"/>
      <c r="X24" s="129"/>
      <c r="Y24" s="129"/>
      <c r="Z24" s="129"/>
      <c r="AA24" s="129"/>
      <c r="AB24" s="129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0</v>
      </c>
      <c r="U25" s="129"/>
      <c r="V25" s="129"/>
      <c r="W25" s="129"/>
      <c r="X25" s="129"/>
      <c r="Y25" s="129"/>
      <c r="Z25" s="129"/>
      <c r="AA25" s="129"/>
      <c r="AB25" s="129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29"/>
      <c r="V26" s="129"/>
      <c r="W26" s="129"/>
      <c r="X26" s="129"/>
      <c r="Y26" s="129"/>
      <c r="Z26" s="129"/>
      <c r="AA26" s="129"/>
      <c r="AB26" s="129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29"/>
      <c r="V27" s="129"/>
      <c r="W27" s="129"/>
      <c r="X27" s="129"/>
      <c r="Y27" s="129"/>
      <c r="Z27" s="129"/>
      <c r="AA27" s="129"/>
      <c r="AB27" s="129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29"/>
      <c r="V28" s="129"/>
      <c r="W28" s="129"/>
      <c r="X28" s="129"/>
      <c r="Y28" s="129"/>
      <c r="Z28" s="129"/>
      <c r="AA28" s="129"/>
      <c r="AB28" s="129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1" t="s">
        <v>427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  <c r="U29" s="129"/>
      <c r="V29" s="129"/>
      <c r="W29" s="129"/>
      <c r="X29" s="129"/>
      <c r="Y29" s="129"/>
      <c r="Z29" s="129"/>
      <c r="AA29" s="129"/>
      <c r="AB29" s="129"/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1</v>
      </c>
      <c r="U30" s="129"/>
      <c r="V30" s="129"/>
      <c r="W30" s="129"/>
      <c r="X30" s="129"/>
      <c r="Y30" s="129"/>
      <c r="Z30" s="129"/>
      <c r="AA30" s="129"/>
      <c r="AB30" s="129"/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386</v>
      </c>
      <c r="Q31" s="40" t="str">
        <f t="shared" ref="Q31:Q33" si="7">IFERROR(VLOOKUP(P31,$A$4:$L$1048576,12,0),"")</f>
        <v>ORI Label Test</v>
      </c>
      <c r="R31" s="40">
        <v>1</v>
      </c>
      <c r="U31" s="129"/>
      <c r="V31" s="129"/>
      <c r="W31" s="129"/>
      <c r="X31" s="129"/>
      <c r="Y31" s="129"/>
      <c r="Z31" s="129"/>
      <c r="AA31" s="129"/>
      <c r="AB31" s="129"/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388</v>
      </c>
      <c r="Q32" s="40" t="str">
        <f t="shared" si="7"/>
        <v>ORI Immediate</v>
      </c>
      <c r="R32" s="40">
        <v>0</v>
      </c>
      <c r="U32" s="129"/>
      <c r="V32" s="129"/>
      <c r="W32" s="129"/>
      <c r="X32" s="129"/>
      <c r="Y32" s="129"/>
      <c r="Z32" s="129"/>
      <c r="AA32" s="129"/>
      <c r="AB32" s="129"/>
    </row>
    <row r="33" spans="1:2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389</v>
      </c>
      <c r="Q33" s="40" t="str">
        <f t="shared" si="7"/>
        <v>ORI Zero Result</v>
      </c>
      <c r="R33" s="40">
        <v>0</v>
      </c>
      <c r="U33" s="129"/>
      <c r="V33" s="129"/>
      <c r="W33" s="129"/>
      <c r="X33" s="129"/>
      <c r="Y33" s="129"/>
      <c r="Z33" s="129"/>
      <c r="AA33" s="129"/>
      <c r="AB33" s="129"/>
    </row>
    <row r="34" spans="1:2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394</v>
      </c>
      <c r="Q34" s="40" t="str">
        <f t="shared" ref="Q34:Q43" si="10">IFERROR(VLOOKUP(P34,$A$4:$L$1048576,12,0),"")</f>
        <v>ADD (register) with Aux Carry</v>
      </c>
      <c r="R34" s="40">
        <v>0</v>
      </c>
      <c r="U34" s="129"/>
      <c r="V34" s="129"/>
      <c r="W34" s="129"/>
      <c r="X34" s="129"/>
      <c r="Y34" s="129"/>
      <c r="Z34" s="129"/>
      <c r="AA34" s="129"/>
      <c r="AB34" s="129"/>
    </row>
    <row r="35" spans="1:2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395</v>
      </c>
      <c r="Q35" s="40" t="str">
        <f t="shared" si="10"/>
        <v>ADD (register) with full Carry and Zero</v>
      </c>
      <c r="R35" s="40">
        <v>0</v>
      </c>
    </row>
    <row r="36" spans="1:2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396</v>
      </c>
      <c r="Q36" s="40" t="str">
        <f t="shared" si="10"/>
        <v>ADI (immediate)</v>
      </c>
      <c r="R36" s="40">
        <v>0</v>
      </c>
    </row>
    <row r="37" spans="1:28" ht="15.75" thickBot="1">
      <c r="H37" s="52"/>
      <c r="I37" s="52"/>
      <c r="J37" s="52"/>
      <c r="K37" s="52"/>
      <c r="P37" s="6" t="s">
        <v>397</v>
      </c>
      <c r="Q37" s="40" t="str">
        <f t="shared" si="10"/>
        <v>ANA (register)</v>
      </c>
      <c r="R37" s="40">
        <v>0</v>
      </c>
    </row>
    <row r="38" spans="1:2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1" t="s">
        <v>427</v>
      </c>
      <c r="L38" s="70" t="s">
        <v>240</v>
      </c>
      <c r="M38" s="20">
        <f>IFERROR(VLOOKUP(A38,$P$6:$R$1048576,3,0),0)</f>
        <v>0</v>
      </c>
      <c r="P38" s="6" t="s">
        <v>398</v>
      </c>
      <c r="Q38" s="40" t="str">
        <f t="shared" si="10"/>
        <v>ANI (immediate) → Zero case</v>
      </c>
      <c r="R38" s="40">
        <v>0</v>
      </c>
    </row>
    <row r="39" spans="1:2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399</v>
      </c>
      <c r="Q39" s="40" t="str">
        <f t="shared" si="10"/>
        <v>CPI (immediate) → Borrow (A &lt; data)</v>
      </c>
      <c r="R39" s="40">
        <v>0</v>
      </c>
    </row>
    <row r="40" spans="1:2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400</v>
      </c>
      <c r="Q40" s="40" t="str">
        <f t="shared" si="10"/>
        <v/>
      </c>
      <c r="R40" s="40"/>
    </row>
    <row r="41" spans="1:2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401</v>
      </c>
      <c r="Q41" s="40" t="str">
        <f t="shared" si="10"/>
        <v/>
      </c>
      <c r="R41" s="40"/>
    </row>
    <row r="42" spans="1:2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402</v>
      </c>
      <c r="Q42" s="40" t="str">
        <f t="shared" si="10"/>
        <v/>
      </c>
      <c r="R42" s="40"/>
    </row>
    <row r="43" spans="1:2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403</v>
      </c>
      <c r="Q43" s="40" t="str">
        <f t="shared" si="10"/>
        <v/>
      </c>
      <c r="R43" s="40"/>
    </row>
    <row r="44" spans="1:2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2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2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2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2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1" t="s">
        <v>427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1" t="s">
        <v>427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1" t="s">
        <v>427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0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1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1" t="s">
        <v>427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1" t="s">
        <v>427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1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21" t="s">
        <v>427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1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1" t="s">
        <v>427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0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17" t="s">
        <v>423</v>
      </c>
      <c r="L113" s="70" t="s">
        <v>315</v>
      </c>
      <c r="M113" s="20">
        <f>IFERROR(VLOOKUP(A113,$P$6:$R$1048576,3,0),0)</f>
        <v>1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1" t="s">
        <v>427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1" t="s">
        <v>427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1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0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1" t="s">
        <v>427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1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1" t="s">
        <v>427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0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1" t="s">
        <v>427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1" t="s">
        <v>427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1" t="s">
        <v>427</v>
      </c>
      <c r="L194" s="70" t="s">
        <v>354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1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0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1" t="s">
        <v>427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1" t="s">
        <v>427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1" t="s">
        <v>427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0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0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1" t="s">
        <v>427</v>
      </c>
      <c r="L240" s="70" t="s">
        <v>374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376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377</v>
      </c>
      <c r="F243" s="103" t="s">
        <v>378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378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0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379</v>
      </c>
      <c r="F248" s="103" t="s">
        <v>380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0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380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17" t="s">
        <v>423</v>
      </c>
      <c r="L253" s="70" t="s">
        <v>375</v>
      </c>
      <c r="M253" s="20">
        <f>IFERROR(VLOOKUP(A253,$P$6:$R$1048576,3,0),0)</f>
        <v>1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381</v>
      </c>
      <c r="E254" s="102" t="s">
        <v>166</v>
      </c>
      <c r="F254" s="103" t="s">
        <v>382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381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386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17" t="s">
        <v>423</v>
      </c>
      <c r="L259" s="70" t="s">
        <v>387</v>
      </c>
      <c r="M259" s="20">
        <f>IFERROR(VLOOKUP(A259,$P$6:$R$1048576,3,0),0)</f>
        <v>1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383</v>
      </c>
      <c r="E260" s="102" t="s">
        <v>166</v>
      </c>
      <c r="F260" s="103" t="s">
        <v>384</v>
      </c>
      <c r="G260" s="104"/>
      <c r="H260" s="55" t="s">
        <v>154</v>
      </c>
      <c r="I260" s="86" t="s">
        <v>385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383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0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388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1" t="s">
        <v>427</v>
      </c>
      <c r="L265" s="70" t="s">
        <v>390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1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0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389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1" t="s">
        <v>427</v>
      </c>
      <c r="L273" s="70" t="s">
        <v>391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0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0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394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1" t="s">
        <v>427</v>
      </c>
      <c r="L281" s="70" t="s">
        <v>393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1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404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0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0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395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1" t="s">
        <v>427</v>
      </c>
      <c r="L290" s="70" t="s">
        <v>405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404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0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1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396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1" t="s">
        <v>427</v>
      </c>
      <c r="L299" s="70" t="s">
        <v>413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406</v>
      </c>
      <c r="H300" s="55" t="s">
        <v>154</v>
      </c>
      <c r="I300" s="86" t="s">
        <v>409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407</v>
      </c>
      <c r="F301" s="103" t="s">
        <v>408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0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0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397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21" t="s">
        <v>427</v>
      </c>
      <c r="L308" s="70" t="s">
        <v>415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414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0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0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398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21" t="s">
        <v>427</v>
      </c>
      <c r="L317" s="70" t="s">
        <v>416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0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0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399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0</v>
      </c>
      <c r="K326" s="121" t="s">
        <v>427</v>
      </c>
      <c r="L326" s="70" t="s">
        <v>417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1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1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1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4:AB4"/>
    <mergeCell ref="U5:AB3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67</vt:i4>
      </vt:variant>
    </vt:vector>
  </HeadingPairs>
  <TitlesOfParts>
    <vt:vector size="71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2026-02-16T11:16:33Z</dcterms:modified>
</cp:coreProperties>
</file>