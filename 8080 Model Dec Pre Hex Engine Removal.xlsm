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DBB856DF-405B-4E6C-89D1-1B2C4025CB2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87" i="5" a="1"/>
  <c r="J142" i="5" a="1"/>
  <c r="J44" i="5" a="1"/>
  <c r="J283" i="5" a="1"/>
  <c r="J314" i="5" a="1"/>
  <c r="J296" i="5" a="1"/>
  <c r="J237" i="5" a="1"/>
  <c r="J302" i="5" a="1"/>
  <c r="J297" i="5" a="1"/>
  <c r="J152" i="5" a="1"/>
  <c r="J306" i="5" a="1"/>
  <c r="J303" i="5" a="1"/>
  <c r="J305" i="5" a="1"/>
  <c r="J128" i="5" a="1"/>
  <c r="J137" i="5" a="1"/>
  <c r="J331" i="5" a="1"/>
  <c r="J323" i="5" a="1"/>
  <c r="J242" i="5" a="1"/>
  <c r="J268" i="5" a="1"/>
  <c r="J294" i="5" a="1"/>
  <c r="J255" i="5" a="1"/>
  <c r="J151" i="5" a="1"/>
  <c r="J225" i="5" a="1"/>
  <c r="J198" i="5" a="1"/>
  <c r="J293" i="5" a="1"/>
  <c r="J234" i="5" a="1"/>
  <c r="J158" i="5" a="1"/>
  <c r="J130" i="5" a="1"/>
  <c r="J274" i="5" a="1"/>
  <c r="J185" i="5" a="1"/>
  <c r="J136" i="5" a="1"/>
  <c r="J187" i="5" a="1"/>
  <c r="J291" i="5" a="1"/>
  <c r="J312" i="5" a="1"/>
  <c r="J246" i="5" a="1"/>
  <c r="J275" i="5" a="1"/>
  <c r="J168" i="5" a="1"/>
  <c r="J177" i="5" a="1"/>
  <c r="J127" i="5" a="1"/>
  <c r="J288" i="5" a="1"/>
  <c r="J126" i="5" a="1"/>
  <c r="J309" i="5" a="1"/>
  <c r="J132" i="5" a="1"/>
  <c r="J256" i="5" a="1"/>
  <c r="J327" i="5" a="1"/>
  <c r="J226" i="5" a="1"/>
  <c r="J279" i="5" a="1"/>
  <c r="J131" i="5" a="1"/>
  <c r="J196" i="5" a="1"/>
  <c r="J241" i="5" a="1"/>
  <c r="J178" i="5" a="1"/>
  <c r="J153" i="5" a="1"/>
  <c r="J133" i="5" a="1"/>
  <c r="J166" i="5" a="1"/>
  <c r="J249" i="5" a="1"/>
  <c r="J262" i="5" a="1"/>
  <c r="J315" i="5" a="1"/>
  <c r="J156" i="5" a="1"/>
  <c r="J143" i="5" a="1"/>
  <c r="J138" i="5" a="1"/>
  <c r="J236" i="5" a="1"/>
  <c r="J333" i="5" a="1"/>
  <c r="J304" i="5" a="1"/>
  <c r="J228" i="5" a="1"/>
  <c r="J282" i="5" a="1"/>
  <c r="J175" i="5" a="1"/>
  <c r="J330" i="5" a="1"/>
  <c r="J243" i="5" a="1"/>
  <c r="J322" i="5" a="1"/>
  <c r="J129" i="5" a="1"/>
  <c r="J150" i="5" a="1"/>
  <c r="J295" i="5" a="1"/>
  <c r="J215" i="5" a="1"/>
  <c r="J189" i="5" a="1"/>
  <c r="J145" i="5" a="1"/>
  <c r="J269" i="5" a="1"/>
  <c r="J218" i="5" a="1"/>
  <c r="J199" i="5" a="1"/>
  <c r="J179" i="5" a="1"/>
  <c r="J292" i="5" a="1"/>
  <c r="J245" i="5" a="1"/>
  <c r="J181" i="5" a="1"/>
  <c r="J171" i="5" a="1"/>
  <c r="J248" i="5" a="1"/>
  <c r="J191" i="5" a="1"/>
  <c r="J284" i="5" a="1"/>
  <c r="J188" i="5" a="1"/>
  <c r="J266" i="5" a="1"/>
  <c r="J324" i="5" a="1"/>
  <c r="J270" i="5" a="1"/>
  <c r="J155" i="5" a="1"/>
  <c r="J170" i="5" a="1"/>
  <c r="J197" i="5" a="1"/>
  <c r="J263" i="5" a="1"/>
  <c r="J267" i="5" a="1"/>
  <c r="J320" i="5" a="1"/>
  <c r="J286" i="5" a="1"/>
  <c r="J165" i="5" a="1"/>
  <c r="J200" i="5" a="1"/>
  <c r="J276" i="5" a="1"/>
  <c r="J227" i="5" a="1"/>
  <c r="J300" i="5" a="1"/>
  <c r="J235" i="5" a="1"/>
  <c r="J195" i="5" a="1"/>
  <c r="J144" i="5" a="1"/>
  <c r="J311" i="5" a="1"/>
  <c r="J329" i="5" a="1"/>
  <c r="J313" i="5" a="1"/>
  <c r="J310" i="5" a="1"/>
  <c r="J201" i="5" a="1"/>
  <c r="J285" i="5" a="1"/>
  <c r="J332" i="5" a="1"/>
  <c r="J321" i="5" a="1"/>
  <c r="J167" i="5" a="1"/>
  <c r="J219" i="5" a="1"/>
  <c r="J318" i="5" a="1"/>
  <c r="J46" i="5" a="1"/>
  <c r="J261" i="5" a="1"/>
  <c r="J271" i="5" a="1"/>
  <c r="J206" i="5" a="1"/>
  <c r="J141" i="5" a="1"/>
  <c r="J186" i="5" a="1"/>
  <c r="J260" i="5" a="1"/>
  <c r="J278" i="5" a="1"/>
  <c r="J277" i="5" a="1"/>
  <c r="J176" i="5" a="1"/>
  <c r="J247" i="5" a="1"/>
  <c r="J212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8" i="5" a="1"/>
  <c r="J90" i="5" a="1"/>
  <c r="J100" i="5" a="1"/>
  <c r="J107" i="5" a="1"/>
  <c r="J109" i="5" a="1"/>
  <c r="J84" i="5" a="1"/>
  <c r="J85" i="5" a="1"/>
  <c r="J80" i="5" a="1"/>
  <c r="J87" i="5" a="1"/>
  <c r="J89" i="5" a="1"/>
  <c r="J91" i="5" a="1"/>
  <c r="J86" i="5" a="1"/>
  <c r="J101" i="5" a="1"/>
  <c r="J102" i="5" a="1"/>
  <c r="J99" i="5" a="1"/>
  <c r="J108" i="5" a="1"/>
  <c r="J11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59" i="5" a="1"/>
  <c r="J33" i="5" a="1"/>
  <c r="J12" i="5" a="1"/>
  <c r="J61" i="5" a="1"/>
  <c r="J31" i="5" a="1"/>
  <c r="J19" i="5" a="1"/>
  <c r="J69" i="5" a="1"/>
  <c r="J60" i="5" a="1"/>
  <c r="J51" i="5" a="1"/>
  <c r="J42" i="5" a="1"/>
  <c r="J22" i="5" a="1"/>
  <c r="J63" i="5" a="1"/>
  <c r="J77" i="5" a="1"/>
  <c r="J35" i="5" a="1"/>
  <c r="J78" i="5" a="1"/>
  <c r="J52" i="5" a="1"/>
  <c r="J26" i="5" a="1"/>
  <c r="J70" i="5" a="1"/>
  <c r="J72" i="5" a="1"/>
  <c r="J40" i="5" a="1"/>
  <c r="J71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<sst xmlns="http://schemas.openxmlformats.org/spreadsheetml/2006/main" count="1501" uniqueCount="444">
  <si>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</si>
  <si>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</si>
  <si>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</si>
  <si>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</si>
  <si>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</si>
  <si>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</si>
  <si>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</si>
  <si>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</si>
  <si>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</si>
  <si>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</si>
  <si>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</si>
  <si>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</si>
  <si>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</si>
  <si>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</si>
  <si>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</si>
  <si>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</si>
  <si>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</si>
  <si>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</si>
  <si>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</si>
  <si>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</si>
  <si>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</si>
  <si>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</si>
  <si>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</si>
  <si>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</si>
  <si>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</si>
  <si>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</si>
  <si>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</si>
  <si>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</si>
  <si>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</si>
  <si>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</si>
  <si>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</si>
  <si>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</si>
  <si>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</si>
  <si>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</si>
  <si>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</si>
  <si>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</si>
  <si>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</si>
  <si>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</si>
  <si>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</si>
  <si>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</si>
  <si>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</si>
  <si>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</si>
  <si>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</si>
  <si>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</si>
  <si>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</si>
  <si>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</si>
  <si>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</si>
  <si>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</si>
  <si>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</si>
  <si>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</si>
  <si>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</si>
  <si>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</si>
  <si>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</si>
  <si>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</si>
  <si>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</si>
  <si>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</si>
  <si>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</si>
  <si>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</si>
  <si>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</si>
  <si>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</si>
  <si>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</si>
  <si>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</si>
  <si>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</si>
  <si>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</si>
  <si>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</si>
  <si>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</si>
  <si>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</si>
  <si>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</si>
  <si>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</si>
  <si>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</si>
  <si>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</si>
  <si>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</si>
  <si>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</si>
  <si>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</si>
  <si>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</si>
  <si>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</si>
  <si>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</si>
  <si>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</si>
  <si>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</si>
  <si>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</si>
  <si>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</si>
  <si>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</si>
  <si>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</si>
  <si>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</si>
  <si>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</si>
  <si>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</si>
  <si>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</si>
  <si>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</si>
  <si>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</si>
  <si>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</si>
  <si>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</si>
  <si>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</si>
  <si>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</si>
  <si>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</si>
  <si>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</si>
  <si>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</si>
  <si>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</si>
  <si>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</si>
  <si>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</si>
  <si>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</si>
  <si>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</si>
  <si>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</si>
  <si>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</si>
  <si>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</si>
  <si>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</si>
  <si>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</si>
  <si>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</si>
  <si>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</si>
  <si>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</si>
  <si>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</si>
  <si>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</si>
  <si>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</si>
  <si>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</si>
  <si>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</si>
  <si>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</si>
  <si>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</si>
  <si>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</si>
  <si>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</si>
  <si>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</si>
  <si>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</si>
  <si>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</si>
  <si>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</si>
  <si>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</si>
  <si>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</si>
  <si>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</si>
  <si>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</si>
  <si>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</si>
  <si>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</si>
  <si>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</si>
  <si>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</si>
  <si>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</si>
  <si>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</si>
  <si>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</si>
  <si>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</si>
  <si>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</si>
  <si>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</si>
  <si>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</si>
  <si>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</si>
  <si>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</si>
  <si>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</si>
  <si>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</si>
  <si>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</si>
  <si>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</si>
  <si>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</si>
  <si>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</si>
  <si>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</si>
  <si>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</si>
  <si>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</si>
  <si>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</si>
  <si>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</si>
  <si>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</si>
  <si>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</si>
  <si>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</si>
  <si>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</si>
  <si>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</si>
  <si>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</si>
  <si>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</si>
  <si>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</si>
  <si>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</si>
  <si>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</si>
  <si>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</si>
  <si>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</si>
  <si>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</si>
  <si>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</si>
  <si>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</si>
  <si>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</si>
  <si>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</si>
  <si>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</si>
  <si>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</si>
  <si>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</si>
  <si>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</si>
  <si>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</si>
  <si>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</si>
  <si>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</si>
  <si>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</si>
  <si>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</si>
  <si>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</si>
  <si>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</si>
  <si>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</si>
  <si>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</si>
  <si>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</si>
  <si>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</si>
  <si>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</si>
  <si>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</si>
  <si>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</si>
  <si>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</si>
  <si>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</si>
  <si>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</si>
  <si>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</si>
  <si>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</si>
  <si>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</si>
  <si>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</si>
  <si>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</si>
  <si>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</si>
  <si>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</si>
  <si>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</si>
  <si>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</si>
  <si>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</si>
  <si>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</si>
  <si>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</si>
  <si>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</si>
  <si>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</si>
  <si>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</si>
  <si>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</si>
  <si>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</si>
  <si>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</si>
  <si>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</si>
  <si>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</si>
  <si>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</si>
  <si>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</si>
  <si>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</si>
  <si>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</si>
  <si>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</si>
  <si>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</si>
  <si>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</si>
  <si>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</si>
  <si>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</si>
  <si>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</si>
  <si>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</si>
  <si>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</si>
  <si>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</si>
  <si>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</si>
  <si>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</si>
  <si>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</si>
  <si>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</si>
  <si>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</si>
  <si>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</si>
  <si>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</si>
  <si>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</si>
  <si>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</si>
  <si>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</si>
  <si>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</si>
  <si>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</si>
  <si>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</si>
  <si>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</si>
  <si>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</si>
  <si>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</si>
  <si>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</si>
  <si>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</si>
  <si>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</si>
  <si>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</si>
  <si>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</si>
  <si>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</si>
  <si>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</si>
  <si>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</si>
  <si>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</si>
  <si>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</si>
  <si>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</si>
  <si>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</si>
  <si>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</si>
  <si>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</si>
  <si>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</si>
  <si>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</si>
  <si>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</si>
  <si>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</si>
  <si>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</si>
  <si>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</si>
  <si>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</si>
  <si>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</si>
  <si>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</si>
  <si>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</si>
  <si>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</si>
  <si>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</si>
  <si>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</si>
  <si>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</si>
  <si>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</si>
  <si>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</si>
  <si>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</si>
  <si>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</si>
  <si>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</si>
  <si>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</si>
  <si>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</si>
  <si>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</si>
  <si>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</si>
  <si>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</si>
  <si>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</si>
  <si>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</si>
  <si>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</si>
  <si>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</si>
  <si>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</si>
  <si>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</si>
  <si>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</si>
  <si>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</si>
  <si>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</si>
  <si>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</si>
  <si>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</si>
  <si>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</si>
  <si>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</si>
  <si>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</si>
  <si>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</si>
  <si>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</si>
  <si>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</si>
  <si>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</si>
  <si>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</si>
  <si>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</si>
  <si>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</si>
  <si>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</si>
  <si>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</si>
  <si>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</si>
  <si>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</si>
  <si>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</si>
  <si>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</si>
  <si>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</si>
  <si>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</si>
  <si>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</si>
  <si>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</si>
  <si>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</si>
  <si>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</si>
  <si>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</si>
  <si>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</si>
  <si>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</si>
  <si>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</si>
  <si>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</si>
  <si>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</si>
  <si>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</si>
  <si>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</si>
  <si>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</si>
  <si>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</si>
  <si>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</si>
  <si>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</si>
  <si>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</si>
  <si>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</si>
  <si>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</si>
  <si>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</si>
  <si>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</si>
  <si>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</si>
  <si>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</si>
  <si>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</si>
  <si>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</si>
  <si>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</si>
  <si>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</si>
  <si>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</si>
  <si>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</si>
  <si>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</si>
  <si>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</si>
  <si>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</si>
  <si>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</si>
  <si>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</si>
  <si>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</si>
  <si>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</si>
  <si>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</si>
  <si>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</si>
  <si>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</si>
  <si>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</si>
  <si>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</si>
  <si>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</si>
  <si>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</si>
  <si>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</si>
  <si>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</si>
  <si>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</si>
  <si>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</si>
  <si>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</si>
  <si>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</si>
  <si>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</si>
  <si>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</si>
  <si>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</si>
  <si>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</si>
  <si>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</si>
  <si>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</si>
  <si>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</si>
  <si>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</si>
  <si>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</si>
  <si>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</si>
  <si>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</si>
  <si>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</si>
  <si>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</si>
  <si>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</si>
  <si>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</si>
  <si>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</si>
  <si>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</si>
  <si>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</si>
  <si>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</si>
  <si>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</si>
  <si>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</si>
  <si>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</si>
  <si>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</si>
  <si>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</si>
  <si>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</si>
  <si>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</si>
  <si>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</si>
  <si>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</si>
  <si>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</si>
  <si>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</si>
  <si>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</si>
  <si>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</si>
  <si>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</si>
  <si>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</si>
  <si>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</si>
  <si>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</si>
  <si>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</si>
  <si>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</si>
  <si>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</si>
  <si>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</si>
  <si>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</si>
  <si>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</si>
  <si>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</si>
  <si>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</si>
  <si>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</si>
  <si>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</si>
  <si>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</si>
  <si>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</si>
  <si>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</si>
  <si>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</si>
  <si>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</si>
  <si>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</si>
  <si>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</si>
  <si>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</si>
  <si>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</si>
  <si>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</si>
  <si>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</si>
  <si>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</si>
  <si>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</si>
  <si>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</si>
  <si>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</si>
  <si>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</si>
  <si>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</si>
  <si>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</si>
  <si>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</si>
  <si>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</si>
  <si>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</si>
  <si>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</si>
  <si>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</si>
  <si>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</si>
  <si>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</si>
  <si>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Use Alt</t>
  </si>
  <si>
    <t>0104</t>
  </si>
  <si>
    <t>0140</t>
  </si>
  <si>
    <t>SKIPPED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</si>
  <si>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</si>
  <si>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</si>
  <si>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</si>
  <si>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</si>
  <si>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</si>
  <si>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</si>
  <si>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</si>
  <si>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</si>
  <si>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</si>
  <si>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</si>
  <si>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</si>
  <si>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</si>
  <si>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</si>
  <si>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</si>
  <si>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</si>
  <si>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&gt;Unit_T025:FAIL_x000D_
&gt;Unit_T026:FAIL_x000D_
_x000D_
&gt;Unit_T025:PASS_x000D_
&gt;Unit_T026:PASS_x000D_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</si>
</sst>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4" borderId="16" xfId="0" applyFill="1" applyBorder="1" applyAlignment="1">
      <alignment horizontal="center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7" sqref="G2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4" t="s">
        <v>373</v>
      </c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6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385</v>
      </c>
      <c r="D6" s="34" t="str">
        <f>IF(AND(E6&gt;=32,E6&lt;=126),CHAR(E6),".")</f>
        <v>:</v>
      </c>
      <c r="E6" s="35">
        <f>HEX2DEC(C6)</f>
        <v>58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383</v>
      </c>
      <c r="P8" s="102" t="s">
        <v>166</v>
      </c>
      <c r="Q8" s="103" t="s">
        <v>384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157</v>
      </c>
      <c r="Q10" s="103" t="s">
        <v>383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8" t="s">
        <v>424</v>
      </c>
      <c r="H19" s="117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9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23" sqref="L2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3A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0104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427</v>
      </c>
      <c r="L4" s="70" t="s">
        <v>267</v>
      </c>
      <c r="M4" s="20">
        <f>IFERROR(VLOOKUP(A4,$P$6:$R$1048576,3,0),0)</f>
        <v>0</v>
      </c>
      <c r="U4" s="127" t="s">
        <v>341</v>
      </c>
      <c r="V4" s="128"/>
      <c r="W4" s="128"/>
      <c r="X4" s="128"/>
      <c r="Y4" s="128"/>
      <c r="Z4" s="128"/>
      <c r="AA4" s="128"/>
      <c r="AB4" s="129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30" t="s">
        <v>443</v>
      </c>
      <c r="V5" s="130"/>
      <c r="W5" s="130"/>
      <c r="X5" s="130"/>
      <c r="Y5" s="130"/>
      <c r="Z5" s="130"/>
      <c r="AA5" s="130"/>
      <c r="AB5" s="130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31"/>
      <c r="V6" s="131"/>
      <c r="W6" s="131"/>
      <c r="X6" s="131"/>
      <c r="Y6" s="131"/>
      <c r="Z6" s="131"/>
      <c r="AA6" s="131"/>
      <c r="AB6" s="131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31"/>
      <c r="V7" s="131"/>
      <c r="W7" s="131"/>
      <c r="X7" s="131"/>
      <c r="Y7" s="131"/>
      <c r="Z7" s="131"/>
      <c r="AA7" s="131"/>
      <c r="AB7" s="131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31"/>
      <c r="V8" s="131"/>
      <c r="W8" s="131"/>
      <c r="X8" s="131"/>
      <c r="Y8" s="131"/>
      <c r="Z8" s="131"/>
      <c r="AA8" s="131"/>
      <c r="AB8" s="131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31"/>
      <c r="V9" s="131"/>
      <c r="W9" s="131"/>
      <c r="X9" s="131"/>
      <c r="Y9" s="131"/>
      <c r="Z9" s="131"/>
      <c r="AA9" s="131"/>
      <c r="AB9" s="131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31"/>
      <c r="V10" s="131"/>
      <c r="W10" s="131"/>
      <c r="X10" s="131"/>
      <c r="Y10" s="131"/>
      <c r="Z10" s="131"/>
      <c r="AA10" s="131"/>
      <c r="AB10" s="131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427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31"/>
      <c r="V11" s="131"/>
      <c r="W11" s="131"/>
      <c r="X11" s="131"/>
      <c r="Y11" s="131"/>
      <c r="Z11" s="131"/>
      <c r="AA11" s="131"/>
      <c r="AB11" s="131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31"/>
      <c r="V12" s="131"/>
      <c r="W12" s="131"/>
      <c r="X12" s="131"/>
      <c r="Y12" s="131"/>
      <c r="Z12" s="131"/>
      <c r="AA12" s="131"/>
      <c r="AB12" s="131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31"/>
      <c r="V13" s="131"/>
      <c r="W13" s="131"/>
      <c r="X13" s="131"/>
      <c r="Y13" s="131"/>
      <c r="Z13" s="131"/>
      <c r="AA13" s="131"/>
      <c r="AB13" s="131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31"/>
      <c r="V14" s="131"/>
      <c r="W14" s="131"/>
      <c r="X14" s="131"/>
      <c r="Y14" s="131"/>
      <c r="Z14" s="131"/>
      <c r="AA14" s="131"/>
      <c r="AB14" s="131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31"/>
      <c r="V15" s="131"/>
      <c r="W15" s="131"/>
      <c r="X15" s="131"/>
      <c r="Y15" s="131"/>
      <c r="Z15" s="131"/>
      <c r="AA15" s="131"/>
      <c r="AB15" s="131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427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31"/>
      <c r="V16" s="131"/>
      <c r="W16" s="131"/>
      <c r="X16" s="131"/>
      <c r="Y16" s="131"/>
      <c r="Z16" s="131"/>
      <c r="AA16" s="131"/>
      <c r="AB16" s="131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31"/>
      <c r="V17" s="131"/>
      <c r="W17" s="131"/>
      <c r="X17" s="131"/>
      <c r="Y17" s="131"/>
      <c r="Z17" s="131"/>
      <c r="AA17" s="131"/>
      <c r="AB17" s="131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31"/>
      <c r="V18" s="131"/>
      <c r="W18" s="131"/>
      <c r="X18" s="131"/>
      <c r="Y18" s="131"/>
      <c r="Z18" s="131"/>
      <c r="AA18" s="131"/>
      <c r="AB18" s="131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31"/>
      <c r="V19" s="131"/>
      <c r="W19" s="131"/>
      <c r="X19" s="131"/>
      <c r="Y19" s="131"/>
      <c r="Z19" s="131"/>
      <c r="AA19" s="131"/>
      <c r="AB19" s="131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31"/>
      <c r="V20" s="131"/>
      <c r="W20" s="131"/>
      <c r="X20" s="131"/>
      <c r="Y20" s="131"/>
      <c r="Z20" s="131"/>
      <c r="AA20" s="131"/>
      <c r="AB20" s="131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31"/>
      <c r="V21" s="131"/>
      <c r="W21" s="131"/>
      <c r="X21" s="131"/>
      <c r="Y21" s="131"/>
      <c r="Z21" s="131"/>
      <c r="AA21" s="131"/>
      <c r="AB21" s="131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31"/>
      <c r="V22" s="131"/>
      <c r="W22" s="131"/>
      <c r="X22" s="131"/>
      <c r="Y22" s="131"/>
      <c r="Z22" s="131"/>
      <c r="AA22" s="131"/>
      <c r="AB22" s="131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31"/>
      <c r="V23" s="131"/>
      <c r="W23" s="131"/>
      <c r="X23" s="131"/>
      <c r="Y23" s="131"/>
      <c r="Z23" s="131"/>
      <c r="AA23" s="131"/>
      <c r="AB23" s="131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31"/>
      <c r="V24" s="131"/>
      <c r="W24" s="131"/>
      <c r="X24" s="131"/>
      <c r="Y24" s="131"/>
      <c r="Z24" s="131"/>
      <c r="AA24" s="131"/>
      <c r="AB24" s="131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31"/>
      <c r="V25" s="131"/>
      <c r="W25" s="131"/>
      <c r="X25" s="131"/>
      <c r="Y25" s="131"/>
      <c r="Z25" s="131"/>
      <c r="AA25" s="131"/>
      <c r="AB25" s="131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31"/>
      <c r="V26" s="131"/>
      <c r="W26" s="131"/>
      <c r="X26" s="131"/>
      <c r="Y26" s="131"/>
      <c r="Z26" s="131"/>
      <c r="AA26" s="131"/>
      <c r="AB26" s="131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31"/>
      <c r="V27" s="131"/>
      <c r="W27" s="131"/>
      <c r="X27" s="131"/>
      <c r="Y27" s="131"/>
      <c r="Z27" s="131"/>
      <c r="AA27" s="131"/>
      <c r="AB27" s="131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31"/>
      <c r="V28" s="131"/>
      <c r="W28" s="131"/>
      <c r="X28" s="131"/>
      <c r="Y28" s="131"/>
      <c r="Z28" s="131"/>
      <c r="AA28" s="131"/>
      <c r="AB28" s="131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427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31"/>
      <c r="V29" s="131"/>
      <c r="W29" s="131"/>
      <c r="X29" s="131"/>
      <c r="Y29" s="131"/>
      <c r="Z29" s="131"/>
      <c r="AA29" s="131"/>
      <c r="AB29" s="131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31"/>
      <c r="V30" s="131"/>
      <c r="W30" s="131"/>
      <c r="X30" s="131"/>
      <c r="Y30" s="131"/>
      <c r="Z30" s="131"/>
      <c r="AA30" s="131"/>
      <c r="AB30" s="131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  <c r="U31" s="131"/>
      <c r="V31" s="131"/>
      <c r="W31" s="131"/>
      <c r="X31" s="131"/>
      <c r="Y31" s="131"/>
      <c r="Z31" s="131"/>
      <c r="AA31" s="131"/>
      <c r="AB31" s="131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31"/>
      <c r="V32" s="131"/>
      <c r="W32" s="131"/>
      <c r="X32" s="131"/>
      <c r="Y32" s="131"/>
      <c r="Z32" s="131"/>
      <c r="AA32" s="131"/>
      <c r="AB32" s="131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31"/>
      <c r="V33" s="131"/>
      <c r="W33" s="131"/>
      <c r="X33" s="131"/>
      <c r="Y33" s="131"/>
      <c r="Z33" s="131"/>
      <c r="AA33" s="131"/>
      <c r="AB33" s="131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31"/>
      <c r="V34" s="131"/>
      <c r="W34" s="131"/>
      <c r="X34" s="131"/>
      <c r="Y34" s="131"/>
      <c r="Z34" s="131"/>
      <c r="AA34" s="131"/>
      <c r="AB34" s="131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427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427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427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427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427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427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427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427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0" t="s">
        <v>427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427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427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427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427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427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427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427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427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427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427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427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3" t="s">
        <v>442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0</v>
      </c>
      <c r="K259" s="123" t="s">
        <v>442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1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427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427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427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427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427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427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427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427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441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21" t="s">
        <v>118</v>
      </c>
      <c r="O3" s="121" t="s">
        <v>428</v>
      </c>
      <c r="P3" s="121" t="s">
        <v>225</v>
      </c>
      <c r="Q3" s="121" t="s">
        <v>3</v>
      </c>
      <c r="S3" t="str">
        <f>R4&amp;R5&amp;R6&amp;R7&amp;R8&amp;R9&amp;R10&amp;R11</f>
        <v>00000110</v>
      </c>
      <c r="T3" t="str">
        <f>BIN2HEX(S3)</f>
        <v>6</v>
      </c>
      <c r="U3">
        <f>SUM(U4:U11)</f>
        <v>6</v>
      </c>
      <c r="V3" t="str">
        <f>DEC2HEX(U3)</f>
        <v>6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21">
        <v>7</v>
      </c>
      <c r="O4" s="121" t="s">
        <v>230</v>
      </c>
      <c r="P4" s="122" t="s">
        <v>429</v>
      </c>
      <c r="Q4" s="122" t="s">
        <v>430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21">
        <v>6</v>
      </c>
      <c r="O5" s="121" t="s">
        <v>227</v>
      </c>
      <c r="P5" s="122" t="s">
        <v>431</v>
      </c>
      <c r="Q5" s="122" t="s">
        <v>432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21">
        <v>5</v>
      </c>
      <c r="O6" s="121">
        <v>0</v>
      </c>
      <c r="P6" s="122" t="s">
        <v>433</v>
      </c>
      <c r="Q6" s="122" t="s">
        <v>434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21">
        <v>4</v>
      </c>
      <c r="O7" s="121" t="s">
        <v>128</v>
      </c>
      <c r="P7" s="122" t="s">
        <v>234</v>
      </c>
      <c r="Q7" s="122" t="s">
        <v>435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21">
        <v>3</v>
      </c>
      <c r="O8" s="121">
        <v>0</v>
      </c>
      <c r="P8" s="122" t="s">
        <v>433</v>
      </c>
      <c r="Q8" s="122" t="s">
        <v>434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21">
        <v>2</v>
      </c>
      <c r="O9" s="121" t="s">
        <v>232</v>
      </c>
      <c r="P9" s="122" t="s">
        <v>436</v>
      </c>
      <c r="Q9" s="122" t="s">
        <v>437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21">
        <v>1</v>
      </c>
      <c r="O10" s="121">
        <v>1</v>
      </c>
      <c r="P10" s="122" t="s">
        <v>433</v>
      </c>
      <c r="Q10" s="122" t="s">
        <v>438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21">
        <v>0</v>
      </c>
      <c r="O11" s="121" t="s">
        <v>236</v>
      </c>
      <c r="P11" s="122" t="s">
        <v>439</v>
      </c>
      <c r="Q11" s="122" t="s">
        <v>440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2026-02-16T17:13:20Z</dcterms:modified>
</cp:coreProperties>
</file>