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95A03747-5F94-474B-8756-3ED434A20DD3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5" l="1"/>
  <c r="J14" i="5"/>
  <c r="J22" i="5"/>
  <c r="J29" i="5"/>
  <c r="M115" i="5"/>
  <c r="C117" i="5"/>
  <c r="C118" i="5" s="1"/>
  <c r="B116" i="5"/>
  <c r="P2" i="5"/>
  <c r="O2" i="5"/>
  <c r="N2" i="5"/>
  <c r="M2" i="5"/>
  <c r="L2" i="5"/>
  <c r="K2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93" i="5" a="1"/>
  <c r="J103" i="5" a="1"/>
  <c r="J87" i="5" a="1"/>
  <c r="J110" i="5" a="1"/>
  <c r="J104" i="5" a="1"/>
  <c r="J90" i="5" a="1"/>
  <c r="J82" i="5" a="1"/>
  <c r="J88" i="5" a="1"/>
  <c r="J92" i="5" a="1"/>
  <c r="J109" i="5" a="1"/>
  <c r="J111" i="5" a="1"/>
  <c r="J101" i="5" a="1"/>
  <c r="J86" i="5" a="1"/>
  <c r="J91" i="5" a="1"/>
  <c r="J112" i="5" a="1"/>
  <c r="J102" i="5" a="1"/>
  <c r="J89" i="5" a="1"/>
  <c r="C119" i="5" l="1"/>
  <c r="B118" i="5"/>
  <c r="B117" i="5"/>
  <c r="C120" i="5"/>
  <c r="B119" i="5"/>
  <c r="J112" i="5"/>
  <c r="J111" i="5"/>
  <c r="J110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4" i="5" a="1"/>
  <c r="J71" i="5" a="1"/>
  <c r="J80" i="5" a="1"/>
  <c r="J62" i="5" a="1"/>
  <c r="J33" i="5" a="1"/>
  <c r="J53" i="5" a="1"/>
  <c r="J73" i="5" a="1"/>
  <c r="J65" i="5" a="1"/>
  <c r="J44" i="5" a="1"/>
  <c r="J37" i="5" a="1"/>
  <c r="J48" i="5" a="1"/>
  <c r="J35" i="5" a="1"/>
  <c r="J72" i="5" a="1"/>
  <c r="J42" i="5" a="1"/>
  <c r="J61" i="5" a="1"/>
  <c r="J46" i="5" a="1"/>
  <c r="J21" i="5" a="1"/>
  <c r="J63" i="5" a="1"/>
  <c r="J79" i="5" a="1"/>
  <c r="J13" i="5" a="1"/>
  <c r="J74" i="5" a="1"/>
  <c r="J81" i="5" a="1"/>
  <c r="J54" i="5" a="1"/>
  <c r="J28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<sst xmlns="http://schemas.openxmlformats.org/spreadsheetml/2006/main" count="795" uniqueCount="341">
  <si>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</si>
  <si>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</si>
  <si>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</si>
  <si>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</si>
  <si>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</si>
  <si>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</si>
  <si>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</si>
  <si>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</si>
  <si>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</si>
  <si>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</si>
  <si>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</si>
  <si>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</si>
  <si>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</si>
  <si>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</si>
  <si>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</si>
  <si>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</si>
  <si>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</si>
  <si>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</si>
  <si>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</si>
  <si>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</si>
  <si>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</si>
  <si>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</si>
  <si>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</si>
  <si>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</si>
  <si>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</si>
  <si>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</si>
  <si>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</si>
  <si>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</si>
  <si>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</si>
  <si>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</si>
  <si>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</si>
  <si>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</si>
  <si>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</si>
  <si>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</si>
  <si>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</si>
  <si>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</si>
  <si>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</si>
  <si>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</si>
  <si>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</si>
  <si>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</si>
  <si>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</si>
  <si>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</si>
  <si>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</si>
  <si>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</si>
  <si>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</si>
  <si>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</si>
  <si>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</si>
  <si>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</si>
  <si>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</si>
  <si>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</si>
  <si>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</si>
  <si>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</si>
  <si>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</si>
  <si>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</si>
  <si>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</si>
  <si>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</si>
  <si>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</si>
  <si>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</si>
  <si>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</si>
  <si>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</si>
  <si>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</si>
  <si>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</si>
  <si>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</si>
  <si>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</si>
  <si>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</si>
  <si>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</si>
  <si>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</si>
  <si>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</si>
  <si>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</si>
  <si>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</si>
  <si>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</si>
  <si>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</si>
  <si>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</si>
  <si>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</si>
  <si>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</si>
  <si>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</si>
  <si>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</si>
  <si>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</si>
  <si>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</si>
  <si>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</si>
  <si>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</si>
  <si>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</si>
  <si>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</si>
  <si>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</si>
  <si>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</si>
  <si>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</si>
  <si>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</si>
  <si>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</si>
  <si>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</si>
  <si>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</si>
  <si>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</si>
  <si>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</si>
  <si>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</si>
  <si>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</si>
  <si>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</si>
  <si>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</si>
  <si>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</si>
  <si>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</si>
  <si>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</si>
  <si>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</si>
  <si>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</si>
  <si>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</si>
  <si>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</si>
  <si>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</si>
  <si>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</si>
  <si>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</si>
  <si>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</si>
  <si>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</si>
  <si>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</si>
  <si>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</si>
  <si>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</si>
  <si>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</si>
  <si>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</si>
  <si>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</si>
  <si>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</si>
  <si>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</si>
  <si>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</si>
  <si>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</si>
  <si>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</si>
  <si>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</si>
  <si>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</si>
  <si>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</si>
  <si>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</si>
  <si>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</si>
  <si>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</si>
  <si>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</si>
  <si>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</si>
  <si>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</si>
  <si>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</si>
  <si>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</si>
  <si>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</si>
  <si>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</si>
  <si>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</si>
  <si>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</si>
  <si>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</si>
  <si>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</si>
  <si>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</si>
  <si>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</si>
  <si>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</si>
  <si>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</si>
  <si>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</si>
  <si>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</si>
  <si>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</si>
  <si>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</si>
  <si>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</si>
  <si>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</si>
  <si>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</si>
  <si>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</si>
  <si>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</si>
  <si>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</si>
  <si>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</si>
  <si>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</si>
  <si>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</si>
  <si>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</si>
  <si>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</si>
  <si>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</si>
  <si>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</si>
  <si>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</si>
  <si>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</si>
  <si>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</si>
  <si>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</si>
  <si>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</si>
  <si>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</si>
  <si>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</si>
  <si>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</si>
  <si>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</si>
  <si>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</si>
  <si>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</si>
  <si>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</si>
  <si>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</si>
  <si>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</si>
  <si>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</si>
  <si>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</si>
  <si>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</si>
  <si>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</si>
  <si>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</si>
  <si>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</si>
  <si>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</si>
  <si>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</si>
  <si>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</si>
  <si>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</si>
  <si>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</si>
  <si>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</si>
  <si>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</si>
  <si>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</si>
  <si>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</si>
  <si>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</si>
  <si>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</si>
  <si>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</si>
  <si>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</si>
  <si>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</si>
  <si>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</si>
  <si>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</si>
  <si>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</si>
  <si>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</si>
  <si>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</si>
  <si>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</si>
  <si>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</si>
  <si>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</si>
  <si>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</si>
  <si>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</si>
  <si>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</si>
  <si>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</si>
  <si>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</si>
  <si>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</si>
  <si>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</si>
  <si>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</si>
  <si>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</si>
  <si>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</si>
  <si>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</si>
  <si>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</si>
  <si>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</si>
  <si>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</si>
  <si>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</si>
  <si>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</si>
  <si>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</si>
  <si>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</si>
  <si>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</si>
  <si>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</si>
  <si>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</si>
  <si>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</si>
  <si>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</si>
  <si>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</si>
  <si>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</si>
  <si>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</si>
  <si>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</si>
  <si>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</si>
  <si>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</si>
  <si>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</si>
  <si>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</si>
  <si>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</si>
  <si>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</si>
  <si>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</si>
  <si>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</si>
  <si>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</si>
  <si>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</si>
  <si>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</si>
  <si>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</si>
  <si>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</si>
  <si>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</si>
  <si>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</si>
  <si>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</si>
  <si>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</si>
  <si>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</si>
  <si>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</si>
  <si>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F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</si>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</sst>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A8" sqref="AA8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249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314</v>
      </c>
      <c r="Q8" s="55" t="s">
        <v>330</v>
      </c>
      <c r="R8" s="82" t="s">
        <v>315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252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256</v>
      </c>
      <c r="R10" s="73" t="s">
        <v>325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320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251</v>
      </c>
      <c r="R11" s="82" t="s">
        <v>326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328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314</v>
      </c>
      <c r="Q12" s="55" t="s">
        <v>330</v>
      </c>
      <c r="R12" s="82" t="s">
        <v>318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252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313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255</v>
      </c>
      <c r="R14" s="73" t="s">
        <v>327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315</v>
      </c>
      <c r="P16" s="6" t="s">
        <v>317</v>
      </c>
      <c r="Q16" s="68" t="s">
        <v>316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318</v>
      </c>
      <c r="P17" s="6" t="s">
        <v>317</v>
      </c>
      <c r="Q17" s="56" t="s">
        <v>319</v>
      </c>
      <c r="R17" s="73"/>
      <c r="S17" s="93"/>
      <c r="U17" s="49"/>
      <c r="V17" s="16"/>
      <c r="W17" s="34"/>
      <c r="X17" s="35"/>
    </row>
    <row r="18" spans="1:24">
      <c r="A18" s="67" t="s">
        <v>250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251</v>
      </c>
      <c r="B19" s="6" t="s">
        <v>321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252</v>
      </c>
      <c r="B20" s="6" t="s">
        <v>322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255</v>
      </c>
      <c r="B21" s="6" t="s">
        <v>323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256</v>
      </c>
      <c r="B22" s="6" t="s">
        <v>324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253</v>
      </c>
      <c r="B23" s="6" t="s">
        <v>254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3" activePane="bottomLeft" state="frozen"/>
      <selection pane="bottomLeft" activeCell="D5" sqref="D5:G9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 t="shared" ref="K2:P2" si="0">Carry</f>
        <v>0</v>
      </c>
      <c r="L2" s="56">
        <f t="shared" si="0"/>
        <v>0</v>
      </c>
      <c r="M2" s="56">
        <f t="shared" si="0"/>
        <v>0</v>
      </c>
      <c r="N2" s="56">
        <f t="shared" si="0"/>
        <v>0</v>
      </c>
      <c r="O2" s="56">
        <f t="shared" si="0"/>
        <v>0</v>
      </c>
      <c r="P2" s="56">
        <f t="shared" si="0"/>
        <v>0</v>
      </c>
    </row>
    <row r="3" spans="1:18" ht="15.75" thickBot="1">
      <c r="J3" s="87" t="s">
        <v>214</v>
      </c>
      <c r="K3" s="101" t="s">
        <v>215</v>
      </c>
      <c r="M3" s="101" t="s">
        <v>246</v>
      </c>
      <c r="P3" s="102" t="s">
        <v>280</v>
      </c>
      <c r="Q3" s="42" t="str">
        <f t="shared" ref="Q3:Q21" si="1">IFERROR(VLOOKUP(P3,$A$4:$L$1048576,12,0),"")</f>
        <v/>
      </c>
      <c r="R3" s="96" t="s">
        <v>246</v>
      </c>
    </row>
    <row r="4" spans="1:18" ht="15.75" thickBot="1">
      <c r="A4" s="20" t="s">
        <v>332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270</v>
      </c>
      <c r="M4" s="20">
        <f>VLOOKUP(A4,$P$4:$R$1048576,3,0)</f>
        <v>1</v>
      </c>
      <c r="P4" s="40" t="s">
        <v>332</v>
      </c>
      <c r="Q4" s="40" t="str">
        <f t="shared" si="1"/>
        <v xml:space="preserve">MVI and MOV </v>
      </c>
      <c r="R4" s="40">
        <v>1</v>
      </c>
    </row>
    <row r="5" spans="1:18">
      <c r="B5" s="40" t="str">
        <f t="shared" ref="B5:B9" si="2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271</v>
      </c>
      <c r="P5" s="6" t="s">
        <v>333</v>
      </c>
      <c r="Q5" s="6" t="str">
        <f t="shared" si="1"/>
        <v>PUSH PSW</v>
      </c>
      <c r="R5" s="40">
        <v>1</v>
      </c>
    </row>
    <row r="6" spans="1:18">
      <c r="B6" s="6" t="str">
        <f t="shared" si="2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334</v>
      </c>
      <c r="Q6" s="6" t="str">
        <f t="shared" si="1"/>
        <v>CALL &amp; RET</v>
      </c>
      <c r="R6" s="40">
        <v>1</v>
      </c>
    </row>
    <row r="7" spans="1:18">
      <c r="B7" s="6" t="str">
        <f t="shared" si="2"/>
        <v>2</v>
      </c>
      <c r="C7" s="6">
        <f t="shared" ref="C7:C9" si="3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335</v>
      </c>
      <c r="Q7" s="6" t="str">
        <f t="shared" si="1"/>
        <v>INR</v>
      </c>
      <c r="R7" s="40">
        <v>1</v>
      </c>
    </row>
    <row r="8" spans="1:18">
      <c r="B8" s="6" t="str">
        <f t="shared" si="2"/>
        <v>3</v>
      </c>
      <c r="C8" s="6">
        <f t="shared" si="3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336</v>
      </c>
      <c r="Q8" s="6" t="str">
        <f t="shared" si="1"/>
        <v>DCR</v>
      </c>
      <c r="R8" s="40">
        <v>1</v>
      </c>
    </row>
    <row r="9" spans="1:18">
      <c r="B9" s="6" t="str">
        <f t="shared" si="2"/>
        <v>4</v>
      </c>
      <c r="C9" s="6">
        <f t="shared" si="3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337</v>
      </c>
      <c r="Q9" s="6" t="str">
        <f t="shared" si="1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338</v>
      </c>
      <c r="Q10" s="6" t="str">
        <f t="shared" si="1"/>
        <v>Zero Flag Test - Negative</v>
      </c>
      <c r="R10" s="40">
        <v>1</v>
      </c>
    </row>
    <row r="11" spans="1:18" ht="15.75" thickBot="1">
      <c r="P11" s="6" t="s">
        <v>339</v>
      </c>
      <c r="Q11" s="6" t="str">
        <f t="shared" si="1"/>
        <v>ORA Test One</v>
      </c>
      <c r="R11" s="40">
        <v>1</v>
      </c>
    </row>
    <row r="12" spans="1:18" ht="15.75" thickBot="1">
      <c r="A12" s="20" t="s">
        <v>333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272</v>
      </c>
      <c r="M12" s="20">
        <f>VLOOKUP(A12,$P$4:$R$1048576,3,0)</f>
        <v>1</v>
      </c>
      <c r="P12" s="6" t="s">
        <v>279</v>
      </c>
      <c r="Q12" s="6" t="str">
        <f t="shared" si="1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281</v>
      </c>
      <c r="Q13" s="6" t="str">
        <f t="shared" si="1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282</v>
      </c>
      <c r="Q14" s="6" t="str">
        <f t="shared" si="1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283</v>
      </c>
      <c r="Q15" s="6" t="str">
        <f t="shared" si="1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284</v>
      </c>
      <c r="Q16" s="6" t="str">
        <f t="shared" si="1"/>
        <v>Console Print</v>
      </c>
      <c r="R16" s="40">
        <v>1</v>
      </c>
    </row>
    <row r="17" spans="1:18" ht="15.75" thickBot="1">
      <c r="P17" s="6" t="s">
        <v>285</v>
      </c>
      <c r="Q17" s="6" t="str">
        <f t="shared" si="1"/>
        <v/>
      </c>
      <c r="R17" s="40">
        <v>0</v>
      </c>
    </row>
    <row r="18" spans="1:18" ht="15.75" thickBot="1">
      <c r="A18" s="20" t="s">
        <v>334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273</v>
      </c>
      <c r="M18" s="20">
        <f>VLOOKUP(A18,$P$4:$R$1048576,3,0)</f>
        <v>1</v>
      </c>
      <c r="P18" s="6" t="s">
        <v>286</v>
      </c>
      <c r="Q18" s="6" t="str">
        <f t="shared" si="1"/>
        <v/>
      </c>
      <c r="R18" s="40">
        <v>0</v>
      </c>
    </row>
    <row r="19" spans="1:18">
      <c r="B19" s="40" t="str">
        <f t="shared" ref="B19:B23" si="4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287</v>
      </c>
      <c r="Q19" s="6" t="str">
        <f t="shared" si="1"/>
        <v/>
      </c>
      <c r="R19" s="40">
        <v>0</v>
      </c>
    </row>
    <row r="20" spans="1:18">
      <c r="B20" s="6" t="str">
        <f t="shared" si="4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288</v>
      </c>
      <c r="Q20" s="6" t="str">
        <f t="shared" si="1"/>
        <v/>
      </c>
      <c r="R20" s="40">
        <v>0</v>
      </c>
    </row>
    <row r="21" spans="1:18">
      <c r="B21" s="6" t="str">
        <f t="shared" si="4"/>
        <v>2</v>
      </c>
      <c r="C21" s="6">
        <f t="shared" ref="C21:C29" si="5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289</v>
      </c>
      <c r="Q21" s="6" t="str">
        <f t="shared" si="1"/>
        <v/>
      </c>
      <c r="R21" s="40">
        <v>0</v>
      </c>
    </row>
    <row r="22" spans="1:18">
      <c r="B22" s="6" t="str">
        <f t="shared" si="4"/>
        <v>3</v>
      </c>
      <c r="C22" s="6">
        <f t="shared" si="5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4"/>
        <v>4</v>
      </c>
      <c r="C23" s="6">
        <f t="shared" si="5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6">DEC2HEX(C24)</f>
        <v>5</v>
      </c>
      <c r="C24" s="6">
        <f t="shared" si="5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6"/>
        <v>6</v>
      </c>
      <c r="C25" s="6">
        <f t="shared" si="5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6"/>
        <v>7</v>
      </c>
      <c r="C26" s="6">
        <f t="shared" si="5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6"/>
        <v>8</v>
      </c>
      <c r="C27" s="6">
        <f t="shared" si="5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6"/>
        <v>9</v>
      </c>
      <c r="C28" s="6">
        <f t="shared" si="5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6"/>
        <v>A</v>
      </c>
      <c r="C29" s="6">
        <f t="shared" si="5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335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7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7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8">DEC2HEX(C34)</f>
        <v>2</v>
      </c>
      <c r="C34" s="6">
        <f t="shared" ref="C34:C38" si="9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8"/>
        <v>3</v>
      </c>
      <c r="C35" s="6">
        <f t="shared" si="9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8"/>
        <v>4</v>
      </c>
      <c r="C36" s="6">
        <f t="shared" si="9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8"/>
        <v>5</v>
      </c>
      <c r="C37" s="6">
        <f t="shared" si="9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8"/>
        <v>6</v>
      </c>
      <c r="C38" s="6">
        <f t="shared" si="9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336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10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10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10"/>
        <v>2</v>
      </c>
      <c r="C43" s="6">
        <f t="shared" ref="C43:C45" si="11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10"/>
        <v>3</v>
      </c>
      <c r="C44" s="6">
        <f t="shared" si="11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10"/>
        <v>4</v>
      </c>
      <c r="C45" s="6">
        <f t="shared" si="11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2">DEC2HEX(C46)</f>
        <v>5</v>
      </c>
      <c r="C46" s="6">
        <f t="shared" ref="C46:C49" si="13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245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2"/>
        <v>6</v>
      </c>
      <c r="C47" s="6">
        <f t="shared" si="13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2"/>
        <v>7</v>
      </c>
      <c r="C48" s="6">
        <f t="shared" si="13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2"/>
        <v>8</v>
      </c>
      <c r="C49" s="6">
        <f t="shared" si="13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337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266</v>
      </c>
      <c r="M51" s="20">
        <f>VLOOKUP(A51,$P$4:$R$1048576,3,0)</f>
        <v>1</v>
      </c>
    </row>
    <row r="52" spans="1:13">
      <c r="B52" s="40" t="str">
        <f t="shared" ref="B52:B53" si="14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258</v>
      </c>
    </row>
    <row r="53" spans="1:13">
      <c r="B53" s="6" t="str">
        <f t="shared" si="14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259</v>
      </c>
    </row>
    <row r="54" spans="1:13">
      <c r="B54" s="6" t="str">
        <f t="shared" ref="B54:B57" si="15">DEC2HEX(C54)</f>
        <v>2</v>
      </c>
      <c r="C54" s="6">
        <f t="shared" ref="C54:C57" si="16">C53+1</f>
        <v>2</v>
      </c>
      <c r="D54" s="40"/>
      <c r="E54" s="40" t="s">
        <v>260</v>
      </c>
      <c r="F54" s="55" t="s">
        <v>261</v>
      </c>
      <c r="G54" s="82"/>
      <c r="H54" s="55" t="s">
        <v>278</v>
      </c>
      <c r="I54" s="55">
        <v>1</v>
      </c>
      <c r="J54" s="99" t="b" cm="1">
        <f t="array" aca="1" ref="J54" ca="1">INDIRECT(H54)=I54</f>
        <v>0</v>
      </c>
      <c r="K54" s="55"/>
      <c r="L54" s="40" t="s">
        <v>262</v>
      </c>
    </row>
    <row r="55" spans="1:13">
      <c r="B55" s="6" t="str">
        <f t="shared" si="15"/>
        <v>3</v>
      </c>
      <c r="C55" s="6">
        <f t="shared" si="16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5"/>
        <v>4</v>
      </c>
      <c r="C56" s="6">
        <f t="shared" si="16"/>
        <v>4</v>
      </c>
      <c r="D56" s="40" t="s">
        <v>261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265</v>
      </c>
      <c r="J56" s="56"/>
      <c r="K56" s="55"/>
      <c r="L56" s="40" t="s">
        <v>263</v>
      </c>
    </row>
    <row r="57" spans="1:13">
      <c r="B57" s="6" t="str">
        <f t="shared" si="15"/>
        <v>5</v>
      </c>
      <c r="C57" s="6">
        <f t="shared" si="16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264</v>
      </c>
    </row>
    <row r="58" spans="1:13" ht="15.75" thickBot="1">
      <c r="H58"/>
      <c r="I58"/>
      <c r="J58"/>
      <c r="K58"/>
    </row>
    <row r="59" spans="1:13" ht="15.75" thickBot="1">
      <c r="A59" s="20" t="s">
        <v>338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267</v>
      </c>
      <c r="M59" s="20">
        <f>VLOOKUP(A59,$P$4:$R$1048576,3,0)</f>
        <v>1</v>
      </c>
    </row>
    <row r="60" spans="1:13">
      <c r="B60" s="40" t="str">
        <f t="shared" ref="B60:B62" si="17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258</v>
      </c>
    </row>
    <row r="61" spans="1:13">
      <c r="B61" s="6" t="str">
        <f t="shared" si="17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7"/>
        <v>2</v>
      </c>
      <c r="C62" s="6">
        <f t="shared" ref="C62" si="18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268</v>
      </c>
    </row>
    <row r="63" spans="1:13">
      <c r="B63" s="6" t="str">
        <f t="shared" ref="B63:B66" si="19">DEC2HEX(C63)</f>
        <v>3</v>
      </c>
      <c r="C63" s="6">
        <f t="shared" ref="C63:C66" si="20">C62+1</f>
        <v>3</v>
      </c>
      <c r="D63" s="40"/>
      <c r="E63" s="40" t="s">
        <v>260</v>
      </c>
      <c r="F63" s="55" t="s">
        <v>261</v>
      </c>
      <c r="G63" s="82"/>
      <c r="H63" s="55" t="s">
        <v>278</v>
      </c>
      <c r="I63" s="55">
        <v>0</v>
      </c>
      <c r="J63" s="99" t="b" cm="1">
        <f t="array" aca="1" ref="J63" ca="1">INDIRECT(H63)=I63</f>
        <v>1</v>
      </c>
      <c r="K63" s="55"/>
      <c r="L63" s="40" t="s">
        <v>262</v>
      </c>
    </row>
    <row r="64" spans="1:13">
      <c r="B64" s="6" t="str">
        <f t="shared" si="19"/>
        <v>4</v>
      </c>
      <c r="C64" s="6">
        <f t="shared" si="20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9"/>
        <v>5</v>
      </c>
      <c r="C65" s="6">
        <f t="shared" si="20"/>
        <v>5</v>
      </c>
      <c r="D65" s="40" t="s">
        <v>261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263</v>
      </c>
    </row>
    <row r="66" spans="1:13">
      <c r="B66" s="6" t="str">
        <f t="shared" si="19"/>
        <v>6</v>
      </c>
      <c r="C66" s="6">
        <f t="shared" si="20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269</v>
      </c>
    </row>
    <row r="67" spans="1:13" ht="15.75" thickBot="1"/>
    <row r="68" spans="1:13" ht="15.75" thickBot="1">
      <c r="A68" s="20" t="s">
        <v>339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257</v>
      </c>
      <c r="I68" s="81" t="s">
        <v>213</v>
      </c>
      <c r="J68" s="53">
        <f ca="1">IF(AND(J69:J74),0,1)</f>
        <v>1</v>
      </c>
      <c r="K68" s="88" t="s">
        <v>216</v>
      </c>
      <c r="L68" s="70" t="s">
        <v>290</v>
      </c>
      <c r="M68" s="20">
        <f>VLOOKUP(A68,$P$4:$R$1048576,3,0)</f>
        <v>1</v>
      </c>
    </row>
    <row r="69" spans="1:13">
      <c r="B69" s="40" t="str">
        <f t="shared" ref="B69:B71" si="21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275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1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276</v>
      </c>
      <c r="H70" s="55"/>
      <c r="I70" s="89"/>
      <c r="J70" s="56"/>
      <c r="K70" s="55"/>
      <c r="L70" s="40"/>
    </row>
    <row r="71" spans="1:13">
      <c r="B71" s="6" t="str">
        <f t="shared" si="21"/>
        <v>2</v>
      </c>
      <c r="C71" s="6">
        <f t="shared" ref="C71" si="22">C70+1</f>
        <v>2</v>
      </c>
      <c r="D71" s="40"/>
      <c r="E71" s="40" t="s">
        <v>274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3">DEC2HEX(C72)</f>
        <v>3</v>
      </c>
      <c r="C72" s="6">
        <f t="shared" ref="C72:C74" si="24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3"/>
        <v>4</v>
      </c>
      <c r="C73" s="6">
        <f t="shared" si="24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3"/>
        <v>5</v>
      </c>
      <c r="C74" s="6">
        <f t="shared" si="24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279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257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291</v>
      </c>
      <c r="M76" s="20">
        <f>VLOOKUP(A76,$P$4:$R$1048576,3,0)</f>
        <v>1</v>
      </c>
    </row>
    <row r="77" spans="1:13">
      <c r="B77" s="40" t="str">
        <f t="shared" ref="B77:B79" si="25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292</v>
      </c>
    </row>
    <row r="78" spans="1:13">
      <c r="B78" s="6" t="str">
        <f t="shared" si="25"/>
        <v>1</v>
      </c>
      <c r="C78" s="6">
        <f>C77+1</f>
        <v>1</v>
      </c>
      <c r="D78" s="40"/>
      <c r="E78" s="40" t="s">
        <v>274</v>
      </c>
      <c r="F78" s="55" t="s">
        <v>154</v>
      </c>
      <c r="G78" s="82"/>
      <c r="H78" s="55"/>
      <c r="I78" s="55"/>
      <c r="J78" s="56"/>
      <c r="K78" s="55"/>
      <c r="L78" s="40" t="s">
        <v>293</v>
      </c>
    </row>
    <row r="79" spans="1:13">
      <c r="B79" s="6" t="str">
        <f t="shared" si="25"/>
        <v>2</v>
      </c>
      <c r="C79" s="6">
        <f t="shared" ref="C79" si="26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294</v>
      </c>
    </row>
    <row r="80" spans="1:13">
      <c r="B80" s="6" t="str">
        <f t="shared" ref="B80:B83" si="27">DEC2HEX(C80)</f>
        <v>3</v>
      </c>
      <c r="C80" s="6">
        <f t="shared" ref="C80:C83" si="28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7"/>
        <v>4</v>
      </c>
      <c r="C81" s="6">
        <f t="shared" si="28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7"/>
        <v>5</v>
      </c>
      <c r="C82" s="6">
        <f t="shared" si="28"/>
        <v>5</v>
      </c>
      <c r="D82" s="40"/>
      <c r="E82" s="40" t="s">
        <v>274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295</v>
      </c>
    </row>
    <row r="83" spans="1:13">
      <c r="B83" s="6" t="str">
        <f t="shared" si="27"/>
        <v>6</v>
      </c>
      <c r="C83" s="6">
        <f t="shared" si="28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281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257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296</v>
      </c>
      <c r="M85" s="20">
        <f>VLOOKUP(A85,$P$4:$R$1048576,3,0)</f>
        <v>1</v>
      </c>
    </row>
    <row r="86" spans="1:13">
      <c r="B86" s="40" t="str">
        <f t="shared" ref="B86:B88" si="29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275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9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9"/>
        <v>2</v>
      </c>
      <c r="C88" s="6">
        <f t="shared" ref="C88" si="30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1">DEC2HEX(C89)</f>
        <v>3</v>
      </c>
      <c r="C89" s="6">
        <f t="shared" ref="C89:C97" si="32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4</v>
      </c>
      <c r="C90" s="6">
        <f t="shared" si="32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5</v>
      </c>
      <c r="C91" s="6">
        <f t="shared" si="32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1"/>
        <v>6</v>
      </c>
      <c r="C92" s="6">
        <f t="shared" si="32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1"/>
        <v>7</v>
      </c>
      <c r="C93" s="6">
        <f t="shared" si="32"/>
        <v>7</v>
      </c>
      <c r="D93" s="40"/>
      <c r="E93" s="40" t="s">
        <v>274</v>
      </c>
      <c r="F93" s="55" t="s">
        <v>154</v>
      </c>
      <c r="G93" s="82"/>
      <c r="H93" s="55" t="s">
        <v>277</v>
      </c>
      <c r="I93" s="89" t="s">
        <v>298</v>
      </c>
      <c r="J93" s="97" t="b" cm="1">
        <f t="array" aca="1" ref="J93" ca="1">RIGHT("00"&amp;INDIRECT("R_"&amp;H93),2)=RIGHT("00"&amp;I93,2)</f>
        <v>0</v>
      </c>
      <c r="K93" s="55"/>
      <c r="L93" s="40" t="s">
        <v>300</v>
      </c>
    </row>
    <row r="94" spans="1:13">
      <c r="B94" s="6" t="str">
        <f t="shared" si="31"/>
        <v>8</v>
      </c>
      <c r="C94" s="6">
        <f t="shared" si="32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1"/>
        <v>9</v>
      </c>
      <c r="C95" s="6">
        <f t="shared" si="32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299</v>
      </c>
    </row>
    <row r="96" spans="1:13">
      <c r="B96" s="6" t="str">
        <f t="shared" si="31"/>
        <v>A</v>
      </c>
      <c r="C96" s="6">
        <f t="shared" si="32"/>
        <v>10</v>
      </c>
      <c r="D96" s="40"/>
      <c r="E96" s="40" t="s">
        <v>297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1"/>
        <v>B</v>
      </c>
      <c r="C97" s="6">
        <f t="shared" si="32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282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257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301</v>
      </c>
      <c r="M99" s="20">
        <f>VLOOKUP(A99,$P$4:$R$1048576,3,0)</f>
        <v>1</v>
      </c>
    </row>
    <row r="100" spans="1:13">
      <c r="B100" s="40" t="str">
        <f t="shared" ref="B100:B105" si="33">DEC2HEX(C100)</f>
        <v>0</v>
      </c>
      <c r="C100" s="40">
        <v>0</v>
      </c>
      <c r="D100" s="40"/>
      <c r="E100" s="40" t="s">
        <v>305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3"/>
        <v>1</v>
      </c>
      <c r="C101" s="6">
        <f>C100+1</f>
        <v>1</v>
      </c>
      <c r="D101" s="40"/>
      <c r="E101" s="40" t="s">
        <v>306</v>
      </c>
      <c r="F101" s="55" t="s">
        <v>154</v>
      </c>
      <c r="G101" s="82" t="s">
        <v>302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3"/>
        <v>2</v>
      </c>
      <c r="C102" s="6">
        <f t="shared" ref="C102:C113" si="34">C101+1</f>
        <v>2</v>
      </c>
      <c r="D102" s="40"/>
      <c r="E102" s="40"/>
      <c r="F102" s="55" t="s">
        <v>302</v>
      </c>
      <c r="G102" s="82" t="s">
        <v>302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3"/>
        <v>3</v>
      </c>
      <c r="C103" s="6">
        <f t="shared" si="34"/>
        <v>3</v>
      </c>
      <c r="D103" s="40"/>
      <c r="E103" s="40"/>
      <c r="F103" s="55" t="s">
        <v>302</v>
      </c>
      <c r="G103" s="82" t="s">
        <v>302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303</v>
      </c>
    </row>
    <row r="104" spans="1:13">
      <c r="B104" s="6" t="str">
        <f t="shared" si="33"/>
        <v>4</v>
      </c>
      <c r="C104" s="6">
        <f t="shared" si="34"/>
        <v>4</v>
      </c>
      <c r="D104" s="40"/>
      <c r="E104" s="40"/>
      <c r="F104" s="55" t="s">
        <v>302</v>
      </c>
      <c r="G104" s="82" t="s">
        <v>302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304</v>
      </c>
    </row>
    <row r="105" spans="1:13">
      <c r="B105" s="6" t="str">
        <f t="shared" si="33"/>
        <v>5</v>
      </c>
      <c r="C105" s="6">
        <f t="shared" si="34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283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257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307</v>
      </c>
      <c r="M107" s="20">
        <f>VLOOKUP(A107,$P$4:$R$1048576,3,0)</f>
        <v>1</v>
      </c>
    </row>
    <row r="108" spans="1:13">
      <c r="B108" s="40" t="str">
        <f t="shared" ref="B108:B113" si="35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308</v>
      </c>
    </row>
    <row r="109" spans="1:13">
      <c r="B109" s="6" t="str">
        <f t="shared" si="35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275</v>
      </c>
      <c r="J109" s="97" t="b" cm="1">
        <f t="array" aca="1" ref="J109" ca="1">RIGHT("00"&amp;INDIRECT("R_"&amp;H109),2)=RIGHT("00"&amp;I109,2)</f>
        <v>0</v>
      </c>
      <c r="K109" s="55"/>
      <c r="L109" s="40" t="s">
        <v>309</v>
      </c>
    </row>
    <row r="110" spans="1:13">
      <c r="B110" s="6" t="str">
        <f t="shared" si="35"/>
        <v>2</v>
      </c>
      <c r="C110" s="6">
        <f t="shared" si="34"/>
        <v>2</v>
      </c>
      <c r="D110" s="40"/>
      <c r="E110" s="40"/>
      <c r="F110" s="55"/>
      <c r="G110" s="82"/>
      <c r="H110" s="55" t="s">
        <v>128</v>
      </c>
      <c r="I110" s="89" t="s">
        <v>220</v>
      </c>
      <c r="J110" s="99" t="b" cm="1">
        <f t="array" aca="1" ref="J110" ca="1">INDIRECT(H110)=I110</f>
        <v>0</v>
      </c>
      <c r="K110" s="55"/>
      <c r="L110" s="40" t="s">
        <v>310</v>
      </c>
    </row>
    <row r="111" spans="1:13">
      <c r="B111" s="6" t="str">
        <f t="shared" si="35"/>
        <v>3</v>
      </c>
      <c r="C111" s="6">
        <f t="shared" si="34"/>
        <v>3</v>
      </c>
      <c r="D111" s="40"/>
      <c r="E111" s="40"/>
      <c r="F111" s="55"/>
      <c r="G111" s="82"/>
      <c r="H111" s="55" t="s">
        <v>120</v>
      </c>
      <c r="I111" s="89" t="s">
        <v>219</v>
      </c>
      <c r="J111" s="99" t="b" cm="1">
        <f t="array" aca="1" ref="J111" ca="1">INDIRECT(H111)=I111</f>
        <v>0</v>
      </c>
      <c r="K111" s="55"/>
      <c r="L111" s="40" t="s">
        <v>311</v>
      </c>
    </row>
    <row r="112" spans="1:13">
      <c r="B112" s="6" t="str">
        <f t="shared" si="35"/>
        <v>4</v>
      </c>
      <c r="C112" s="6">
        <f t="shared" si="34"/>
        <v>4</v>
      </c>
      <c r="D112" s="40"/>
      <c r="E112" s="40"/>
      <c r="F112" s="55"/>
      <c r="G112" s="82"/>
      <c r="H112" s="55" t="s">
        <v>116</v>
      </c>
      <c r="I112" s="89" t="s">
        <v>220</v>
      </c>
      <c r="J112" s="99" t="b" cm="1">
        <f t="array" aca="1" ref="J112" ca="1">INDIRECT(H112)=I112</f>
        <v>0</v>
      </c>
      <c r="K112" s="55"/>
      <c r="L112" s="40" t="s">
        <v>312</v>
      </c>
    </row>
    <row r="113" spans="1:13">
      <c r="B113" s="6" t="str">
        <f t="shared" si="35"/>
        <v>5</v>
      </c>
      <c r="C113" s="6">
        <f t="shared" si="34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284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257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331</v>
      </c>
      <c r="M115" s="20">
        <f>VLOOKUP(A115,$P$4:$R$1048576,3,0)</f>
        <v>1</v>
      </c>
    </row>
    <row r="116" spans="1:13">
      <c r="B116" s="40" t="str">
        <f t="shared" ref="B116:B121" si="36">DEC2HEX(C116)</f>
        <v>0</v>
      </c>
      <c r="C116" s="40">
        <v>0</v>
      </c>
      <c r="D116" s="40"/>
      <c r="E116" s="40" t="s">
        <v>314</v>
      </c>
      <c r="F116" s="55" t="s">
        <v>330</v>
      </c>
      <c r="G116" s="82" t="s">
        <v>315</v>
      </c>
      <c r="H116" s="55"/>
      <c r="I116" s="89"/>
      <c r="J116" s="56"/>
      <c r="K116" s="55"/>
      <c r="L116" s="40"/>
    </row>
    <row r="117" spans="1:13">
      <c r="B117" s="40" t="str">
        <f t="shared" si="36"/>
        <v>1</v>
      </c>
      <c r="C117" s="40">
        <f>C116+1</f>
        <v>1</v>
      </c>
      <c r="D117" s="40"/>
      <c r="E117" s="40" t="s">
        <v>198</v>
      </c>
      <c r="F117" s="55" t="s">
        <v>252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6"/>
        <v>2</v>
      </c>
      <c r="C118" s="40">
        <f t="shared" ref="C118:C125" si="37">C117+1</f>
        <v>2</v>
      </c>
      <c r="D118" s="40"/>
      <c r="E118" s="40" t="s">
        <v>198</v>
      </c>
      <c r="F118" s="55" t="s">
        <v>256</v>
      </c>
      <c r="G118" s="82" t="s">
        <v>325</v>
      </c>
      <c r="H118" s="55" t="s">
        <v>340</v>
      </c>
      <c r="I118" s="89" t="s">
        <v>325</v>
      </c>
      <c r="J118" s="56"/>
      <c r="K118" s="55"/>
      <c r="L118" s="40"/>
    </row>
    <row r="119" spans="1:13">
      <c r="B119" s="40" t="str">
        <f t="shared" si="36"/>
        <v>3</v>
      </c>
      <c r="C119" s="40">
        <f t="shared" si="37"/>
        <v>3</v>
      </c>
      <c r="D119" s="40"/>
      <c r="E119" s="40" t="s">
        <v>198</v>
      </c>
      <c r="F119" s="55" t="s">
        <v>251</v>
      </c>
      <c r="G119" s="82" t="s">
        <v>326</v>
      </c>
      <c r="H119" s="55"/>
      <c r="I119" s="89"/>
      <c r="J119" s="56"/>
      <c r="K119" s="55"/>
      <c r="L119" s="40"/>
    </row>
    <row r="120" spans="1:13">
      <c r="B120" s="40" t="str">
        <f t="shared" si="36"/>
        <v>4</v>
      </c>
      <c r="C120" s="40">
        <f t="shared" si="37"/>
        <v>4</v>
      </c>
      <c r="D120" s="40"/>
      <c r="E120" s="40" t="s">
        <v>314</v>
      </c>
      <c r="F120" s="55" t="s">
        <v>330</v>
      </c>
      <c r="G120" s="82" t="s">
        <v>318</v>
      </c>
      <c r="H120" s="55"/>
      <c r="I120" s="89"/>
      <c r="J120" s="56"/>
      <c r="K120" s="55"/>
      <c r="L120" s="40"/>
    </row>
    <row r="121" spans="1:13">
      <c r="B121" s="40" t="str">
        <f t="shared" si="36"/>
        <v>5</v>
      </c>
      <c r="C121" s="40">
        <f t="shared" si="37"/>
        <v>5</v>
      </c>
      <c r="D121" s="40"/>
      <c r="E121" s="40" t="s">
        <v>198</v>
      </c>
      <c r="F121" s="55" t="s">
        <v>252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8">DEC2HEX(C122)</f>
        <v>6</v>
      </c>
      <c r="C122" s="40">
        <f t="shared" si="37"/>
        <v>6</v>
      </c>
      <c r="D122" s="40"/>
      <c r="E122" s="40" t="s">
        <v>198</v>
      </c>
      <c r="F122" s="55" t="s">
        <v>255</v>
      </c>
      <c r="G122" s="82" t="s">
        <v>327</v>
      </c>
      <c r="H122" s="55"/>
      <c r="I122" s="89"/>
      <c r="J122" s="56"/>
      <c r="K122" s="55"/>
      <c r="L122" s="40"/>
    </row>
    <row r="123" spans="1:13">
      <c r="B123" s="40" t="str">
        <f t="shared" si="38"/>
        <v>7</v>
      </c>
      <c r="C123" s="40">
        <f t="shared" si="37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8"/>
        <v>8</v>
      </c>
      <c r="C124" s="40">
        <f t="shared" si="37"/>
        <v>8</v>
      </c>
      <c r="D124" s="40" t="s">
        <v>315</v>
      </c>
      <c r="E124" s="40" t="s">
        <v>317</v>
      </c>
      <c r="F124" s="55" t="s">
        <v>316</v>
      </c>
      <c r="G124" s="82"/>
      <c r="H124" s="55" t="s">
        <v>340</v>
      </c>
      <c r="I124" s="89" t="s">
        <v>316</v>
      </c>
      <c r="J124" s="56"/>
      <c r="K124" s="55"/>
      <c r="L124" s="40"/>
    </row>
    <row r="125" spans="1:13">
      <c r="B125" s="40" t="str">
        <f t="shared" si="38"/>
        <v>9</v>
      </c>
      <c r="C125" s="40">
        <f t="shared" si="37"/>
        <v>9</v>
      </c>
      <c r="D125" s="40" t="s">
        <v>318</v>
      </c>
      <c r="E125" s="40" t="s">
        <v>317</v>
      </c>
      <c r="F125" s="55" t="s">
        <v>319</v>
      </c>
      <c r="G125" s="82"/>
      <c r="H125" s="55" t="s">
        <v>340</v>
      </c>
      <c r="I125" s="89" t="s">
        <v>319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247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248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60</vt:i4>
      </vt:variant>
    </vt:vector>
  </HeadingPairs>
  <TitlesOfParts>
    <vt:vector size="64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2026-02-12T22:06:55Z</dcterms:modified>
</cp:coreProperties>
</file>