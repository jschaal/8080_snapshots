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C3547D33-DD3F-4936-A35C-FF1E5F3D7BED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2" i="5" l="1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369" i="5" a="1"/>
  <c r="J365" i="5" a="1"/>
  <c r="J368" i="5" a="1"/>
  <c r="J363" i="5" a="1"/>
  <c r="J367" i="5" a="1"/>
  <c r="J366" i="5" a="1"/>
  <c r="J357" i="5" a="1"/>
  <c r="J360" i="5" a="1"/>
  <c r="J356" i="5" a="1"/>
  <c r="J359" i="5" a="1"/>
  <c r="J354" i="5" a="1"/>
  <c r="J358" i="5" a="1"/>
  <c r="J351" i="5" a="1"/>
  <c r="J347" i="5" a="1"/>
  <c r="J348" i="5" a="1"/>
  <c r="J350" i="5" a="1"/>
  <c r="J345" i="5" a="1"/>
  <c r="J349" i="5" a="1"/>
  <c r="J342" i="5" a="1"/>
  <c r="J338" i="5" a="1"/>
  <c r="J341" i="5" a="1"/>
  <c r="J336" i="5" a="1"/>
  <c r="J340" i="5" a="1"/>
  <c r="J339" i="5" a="1"/>
  <c r="J179" i="5" a="1"/>
  <c r="J155" i="5" a="1"/>
  <c r="J235" i="5" a="1"/>
  <c r="J219" i="5" a="1"/>
  <c r="J255" i="5" a="1"/>
  <c r="J152" i="5" a="1"/>
  <c r="J279" i="5" a="1"/>
  <c r="J309" i="5" a="1"/>
  <c r="J206" i="5" a="1"/>
  <c r="J296" i="5" a="1"/>
  <c r="J141" i="5" a="1"/>
  <c r="J242" i="5" a="1"/>
  <c r="J200" i="5" a="1"/>
  <c r="J291" i="5" a="1"/>
  <c r="J151" i="5" a="1"/>
  <c r="J143" i="5" a="1"/>
  <c r="J300" i="5" a="1"/>
  <c r="J284" i="5" a="1"/>
  <c r="J175" i="5" a="1"/>
  <c r="J189" i="5" a="1"/>
  <c r="J199" i="5" a="1"/>
  <c r="J331" i="5" a="1"/>
  <c r="J131" i="5" a="1"/>
  <c r="J321" i="5" a="1"/>
  <c r="J314" i="5" a="1"/>
  <c r="J176" i="5" a="1"/>
  <c r="J320" i="5" a="1"/>
  <c r="J126" i="5" a="1"/>
  <c r="J212" i="5" a="1"/>
  <c r="J145" i="5" a="1"/>
  <c r="J247" i="5" a="1"/>
  <c r="J294" i="5" a="1"/>
  <c r="J327" i="5" a="1"/>
  <c r="J312" i="5" a="1"/>
  <c r="J150" i="5" a="1"/>
  <c r="J306" i="5" a="1"/>
  <c r="J201" i="5" a="1"/>
  <c r="J287" i="5" a="1"/>
  <c r="J186" i="5" a="1"/>
  <c r="J167" i="5" a="1"/>
  <c r="J288" i="5" a="1"/>
  <c r="J187" i="5" a="1"/>
  <c r="J315" i="5" a="1"/>
  <c r="J226" i="5" a="1"/>
  <c r="J171" i="5" a="1"/>
  <c r="J303" i="5" a="1"/>
  <c r="J44" i="5" a="1"/>
  <c r="J305" i="5" a="1"/>
  <c r="J137" i="5" a="1"/>
  <c r="J142" i="5" a="1"/>
  <c r="J266" i="5" a="1"/>
  <c r="J197" i="5" a="1"/>
  <c r="J196" i="5" a="1"/>
  <c r="J177" i="5" a="1"/>
  <c r="J269" i="5" a="1"/>
  <c r="J278" i="5" a="1"/>
  <c r="J318" i="5" a="1"/>
  <c r="J323" i="5" a="1"/>
  <c r="J286" i="5" a="1"/>
  <c r="J166" i="5" a="1"/>
  <c r="J297" i="5" a="1"/>
  <c r="J313" i="5" a="1"/>
  <c r="J277" i="5" a="1"/>
  <c r="J237" i="5" a="1"/>
  <c r="J268" i="5" a="1"/>
  <c r="J256" i="5" a="1"/>
  <c r="J322" i="5" a="1"/>
  <c r="J156" i="5" a="1"/>
  <c r="J267" i="5" a="1"/>
  <c r="J198" i="5" a="1"/>
  <c r="J178" i="5" a="1"/>
  <c r="J293" i="5" a="1"/>
  <c r="J127" i="5" a="1"/>
  <c r="J128" i="5" a="1"/>
  <c r="J274" i="5" a="1"/>
  <c r="J262" i="5" a="1"/>
  <c r="J245" i="5" a="1"/>
  <c r="J129" i="5" a="1"/>
  <c r="J329" i="5" a="1"/>
  <c r="J275" i="5" a="1"/>
  <c r="J285" i="5" a="1"/>
  <c r="J168" i="5" a="1"/>
  <c r="J188" i="5" a="1"/>
  <c r="J234" i="5" a="1"/>
  <c r="J282" i="5" a="1"/>
  <c r="J243" i="5" a="1"/>
  <c r="J181" i="5" a="1"/>
  <c r="J271" i="5" a="1"/>
  <c r="J130" i="5" a="1"/>
  <c r="J283" i="5" a="1"/>
  <c r="J261" i="5" a="1"/>
  <c r="J248" i="5" a="1"/>
  <c r="J191" i="5" a="1"/>
  <c r="J165" i="5" a="1"/>
  <c r="J302" i="5" a="1"/>
  <c r="J225" i="5" a="1"/>
  <c r="J324" i="5" a="1"/>
  <c r="J158" i="5" a="1"/>
  <c r="J246" i="5" a="1"/>
  <c r="J218" i="5" a="1"/>
  <c r="J227" i="5" a="1"/>
  <c r="J136" i="5" a="1"/>
  <c r="J132" i="5" a="1"/>
  <c r="J249" i="5" a="1"/>
  <c r="J292" i="5" a="1"/>
  <c r="J144" i="5" a="1"/>
  <c r="J263" i="5" a="1"/>
  <c r="J304" i="5" a="1"/>
  <c r="J138" i="5" a="1"/>
  <c r="J228" i="5" a="1"/>
  <c r="J236" i="5" a="1"/>
  <c r="J153" i="5" a="1"/>
  <c r="J241" i="5" a="1"/>
  <c r="J185" i="5" a="1"/>
  <c r="J170" i="5" a="1"/>
  <c r="J46" i="5" a="1"/>
  <c r="J311" i="5" a="1"/>
  <c r="J260" i="5" a="1"/>
  <c r="J295" i="5" a="1"/>
  <c r="J332" i="5" a="1"/>
  <c r="J215" i="5" a="1"/>
  <c r="J276" i="5" a="1"/>
  <c r="J333" i="5" a="1"/>
  <c r="J270" i="5" a="1"/>
  <c r="J195" i="5" a="1"/>
  <c r="J133" i="5" a="1"/>
  <c r="J310" i="5" a="1"/>
  <c r="J330" i="5" a="1"/>
  <c r="J366" i="5" l="1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1" i="5" a="1"/>
  <c r="J109" i="5" a="1"/>
  <c r="J100" i="5" a="1"/>
  <c r="J90" i="5" a="1"/>
  <c r="J110" i="5" a="1"/>
  <c r="J87" i="5" a="1"/>
  <c r="J86" i="5" a="1"/>
  <c r="J107" i="5" a="1"/>
  <c r="J102" i="5" a="1"/>
  <c r="J99" i="5" a="1"/>
  <c r="J84" i="5" a="1"/>
  <c r="J80" i="5" a="1"/>
  <c r="J91" i="5" a="1"/>
  <c r="J108" i="5" a="1"/>
  <c r="J85" i="5" a="1"/>
  <c r="J89" i="5" a="1"/>
  <c r="J88" i="5" a="1"/>
  <c r="J362" i="5" l="1"/>
  <c r="J353" i="5"/>
  <c r="J344" i="5"/>
  <c r="J335" i="5"/>
  <c r="J326" i="5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33" i="5" a="1"/>
  <c r="J63" i="5" a="1"/>
  <c r="J35" i="5" a="1"/>
  <c r="J78" i="5" a="1"/>
  <c r="J31" i="5" a="1"/>
  <c r="J60" i="5" a="1"/>
  <c r="J26" i="5" a="1"/>
  <c r="J72" i="5" a="1"/>
  <c r="J40" i="5" a="1"/>
  <c r="J12" i="5" a="1"/>
  <c r="J59" i="5" a="1"/>
  <c r="J77" i="5" a="1"/>
  <c r="J51" i="5" a="1"/>
  <c r="J61" i="5" a="1"/>
  <c r="J79" i="5" a="1"/>
  <c r="J19" i="5" a="1"/>
  <c r="J71" i="5" a="1"/>
  <c r="J52" i="5" a="1"/>
  <c r="J70" i="5" a="1"/>
  <c r="J42" i="5" a="1"/>
  <c r="J69" i="5" a="1"/>
  <c r="J2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8" i="5" a="1"/>
  <c r="J6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<sst xmlns="http://schemas.openxmlformats.org/spreadsheetml/2006/main" count="1625" uniqueCount="460">
  <si>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</si>
  <si>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</si>
  <si>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</si>
  <si>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</si>
  <si>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</si>
  <si>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</si>
  <si>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</si>
  <si>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</si>
  <si>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</si>
  <si>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</si>
  <si>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</si>
  <si>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</si>
  <si>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</si>
  <si>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</si>
  <si>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</si>
  <si>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</si>
  <si>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</si>
  <si>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</si>
  <si>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</si>
  <si>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</si>
  <si>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</si>
  <si>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</si>
  <si>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</si>
  <si>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</si>
  <si>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</si>
  <si>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</si>
  <si>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</si>
  <si>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</si>
  <si>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</si>
  <si>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</si>
  <si>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</si>
  <si>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</si>
  <si>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</si>
  <si>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</si>
  <si>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</si>
  <si>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</si>
  <si>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</si>
  <si>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</si>
  <si>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</si>
  <si>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</si>
  <si>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</si>
  <si>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</si>
  <si>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</si>
  <si>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</si>
  <si>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</si>
  <si>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</si>
  <si>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</si>
  <si>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</si>
  <si>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</si>
  <si>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</si>
  <si>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</si>
  <si>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</si>
  <si>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</si>
  <si>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</si>
  <si>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</si>
  <si>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</si>
  <si>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</si>
  <si>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</si>
  <si>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</si>
  <si>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</si>
  <si>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</si>
  <si>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</si>
  <si>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</si>
  <si>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</si>
  <si>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</si>
  <si>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</si>
  <si>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</si>
  <si>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</si>
  <si>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</si>
  <si>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</si>
  <si>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</si>
  <si>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</si>
  <si>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</si>
  <si>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</si>
  <si>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</si>
  <si>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</si>
  <si>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</si>
  <si>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</si>
  <si>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</si>
  <si>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</si>
  <si>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</si>
  <si>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</si>
  <si>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</si>
  <si>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</si>
  <si>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</si>
  <si>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</si>
  <si>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</si>
  <si>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</si>
  <si>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</si>
  <si>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</si>
  <si>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</si>
  <si>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</si>
  <si>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</si>
  <si>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</si>
  <si>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</si>
  <si>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</si>
  <si>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</si>
  <si>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</si>
  <si>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</si>
  <si>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</si>
  <si>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</si>
  <si>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</si>
  <si>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</si>
  <si>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</si>
  <si>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</si>
  <si>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</si>
  <si>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</si>
  <si>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</si>
  <si>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</si>
  <si>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</si>
  <si>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</si>
  <si>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</si>
  <si>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</si>
  <si>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</si>
  <si>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</si>
  <si>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</si>
  <si>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</si>
  <si>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</si>
  <si>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</si>
  <si>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</si>
  <si>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</si>
  <si>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</si>
  <si>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</si>
  <si>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</si>
  <si>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</si>
  <si>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</si>
  <si>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</si>
  <si>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</si>
  <si>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</si>
  <si>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</si>
  <si>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</si>
  <si>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</si>
  <si>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</si>
  <si>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</si>
  <si>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</si>
  <si>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</si>
  <si>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</si>
  <si>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</si>
  <si>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</si>
  <si>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</si>
  <si>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</si>
  <si>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</si>
  <si>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</si>
  <si>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</si>
  <si>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</si>
  <si>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</si>
  <si>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</si>
  <si>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</si>
  <si>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</si>
  <si>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</si>
  <si>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</si>
  <si>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</si>
  <si>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</si>
  <si>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</si>
  <si>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</si>
  <si>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</si>
  <si>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</si>
  <si>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</si>
  <si>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</si>
  <si>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</si>
  <si>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</si>
  <si>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</si>
  <si>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</si>
  <si>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</si>
  <si>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</si>
  <si>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</si>
  <si>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</si>
  <si>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</si>
  <si>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</si>
  <si>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</si>
  <si>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</si>
  <si>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</si>
  <si>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</si>
  <si>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</si>
  <si>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</si>
  <si>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</si>
  <si>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</si>
  <si>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</si>
  <si>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</si>
  <si>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</si>
  <si>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</si>
  <si>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</si>
  <si>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</si>
  <si>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</si>
  <si>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</si>
  <si>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</si>
  <si>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</si>
  <si>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</si>
  <si>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</si>
  <si>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</si>
  <si>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</si>
  <si>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</si>
  <si>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</si>
  <si>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</si>
  <si>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</si>
  <si>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</si>
  <si>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</si>
  <si>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</si>
  <si>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</si>
  <si>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</si>
  <si>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</si>
  <si>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</si>
  <si>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</si>
  <si>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</si>
  <si>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</si>
  <si>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</si>
  <si>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</si>
  <si>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</si>
  <si>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</si>
  <si>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</si>
  <si>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</si>
  <si>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</si>
  <si>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</si>
  <si>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</si>
  <si>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</si>
  <si>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</si>
  <si>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</si>
  <si>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</si>
  <si>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</si>
  <si>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</si>
  <si>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</si>
  <si>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</si>
  <si>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</si>
  <si>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</si>
  <si>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</si>
  <si>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</si>
  <si>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</si>
  <si>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</si>
  <si>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</si>
  <si>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</si>
  <si>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</si>
  <si>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</si>
  <si>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</si>
  <si>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</si>
  <si>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</si>
  <si>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</si>
  <si>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</si>
  <si>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</si>
  <si>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</si>
  <si>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</si>
  <si>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</si>
  <si>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</si>
  <si>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</si>
  <si>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</si>
  <si>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</si>
  <si>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</si>
  <si>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</si>
  <si>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</si>
  <si>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</si>
  <si>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</si>
  <si>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</si>
  <si>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</si>
  <si>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</si>
  <si>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</si>
  <si>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</si>
  <si>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</si>
  <si>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</si>
  <si>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</si>
  <si>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</si>
  <si>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</si>
  <si>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</si>
  <si>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</si>
  <si>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</si>
  <si>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</si>
  <si>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</si>
  <si>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</si>
  <si>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</si>
  <si>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</si>
  <si>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</si>
  <si>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</si>
  <si>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</si>
  <si>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</si>
  <si>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</si>
  <si>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</si>
  <si>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</si>
  <si>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</si>
  <si>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</si>
  <si>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</si>
  <si>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</si>
  <si>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</si>
  <si>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</si>
  <si>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</si>
  <si>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</si>
  <si>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</si>
  <si>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</si>
  <si>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</si>
  <si>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</si>
  <si>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</si>
  <si>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</si>
  <si>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</si>
  <si>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</si>
  <si>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</si>
  <si>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</si>
  <si>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</si>
  <si>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</si>
  <si>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</si>
  <si>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</si>
  <si>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</si>
  <si>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</si>
  <si>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</si>
  <si>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</si>
  <si>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</si>
  <si>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</si>
  <si>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</si>
  <si>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</si>
  <si>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</si>
  <si>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</si>
  <si>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</si>
  <si>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</si>
  <si>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</si>
  <si>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</si>
  <si>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</si>
  <si>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</si>
  <si>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</si>
  <si>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</si>
  <si>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</si>
  <si>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</si>
  <si>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</si>
  <si>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</si>
  <si>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</si>
  <si>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</si>
  <si>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</si>
  <si>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</si>
  <si>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</si>
  <si>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</si>
  <si>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</si>
  <si>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</si>
  <si>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</si>
  <si>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</si>
  <si>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</si>
  <si>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</si>
  <si>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</si>
  <si>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</si>
  <si>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</si>
  <si>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</si>
  <si>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</si>
  <si>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</si>
  <si>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</si>
  <si>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</si>
  <si>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</si>
  <si>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</si>
  <si>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</si>
  <si>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</si>
  <si>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</si>
  <si>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</si>
  <si>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</si>
  <si>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</si>
  <si>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</si>
  <si>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</si>
  <si>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</si>
  <si>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</si>
  <si>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</si>
  <si>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</si>
  <si>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</si>
  <si>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</si>
  <si>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</si>
  <si>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</si>
  <si>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</si>
  <si>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</si>
  <si>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</si>
  <si>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</si>
  <si>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</si>
  <si>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</si>
  <si>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</si>
  <si>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</si>
  <si>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</si>
  <si>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</si>
  <si>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</si>
  <si>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</si>
  <si>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</si>
  <si>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</si>
  <si>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</si>
  <si>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</si>
  <si>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</si>
  <si>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</si>
  <si>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</si>
  <si>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</si>
  <si>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</si>
  <si>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</si>
  <si>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</si>
  <si>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</si>
  <si>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</si>
  <si>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</si>
  <si>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</si>
  <si>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</si>
  <si>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</si>
  <si>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</si>
  <si>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</si>
  <si>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</si>
  <si>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</si>
  <si>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</si>
  <si>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</si>
  <si>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</si>
  <si>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</si>
  <si>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</si>
  <si>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</si>
  <si>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</si>
  <si>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</si>
  <si>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</si>
  <si>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</si>
  <si>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</si>
  <si>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</si>
  <si>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</si>
  <si>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</si>
  <si>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</si>
  <si>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</si>
  <si>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</si>
  <si>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</si>
  <si>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</si>
  <si>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</si>
  <si>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</si>
  <si>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</si>
  <si>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</si>
  <si>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</si>
  <si>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</si>
  <si>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</si>
  <si>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</si>
  <si>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</si>
  <si>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</si>
  <si>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</si>
  <si>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</si>
  <si>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</si>
  <si>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</si>
  <si>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</si>
  <si>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</si>
  <si>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</si>
  <si>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</si>
  <si>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</si>
  <si>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</si>
  <si>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</si>
  <si>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</si>
  <si>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</si>
  <si>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</si>
  <si>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</si>
  <si>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</si>
  <si>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</si>
  <si>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</si>
  <si>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</si>
  <si>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</si>
  <si>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</si>
  <si>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</si>
  <si>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</si>
  <si>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Execution Complete</t>
  </si>
  <si>
    <t>0103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</si>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</sst>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12" borderId="43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4" borderId="16" xfId="0" applyFill="1" applyBorder="1" applyAlignment="1">
      <alignment horizontal="center"/>
    </xf>
  </cellXfs>
  <cellStyles count="1">
    <cellStyle name="Normal" xfId="0" builtinId="0"/>
  </cellStyles>
  <dxfs count="23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18" sqref="P18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1</v>
      </c>
      <c r="D1" s="30" t="s">
        <v>142</v>
      </c>
      <c r="E1" s="10">
        <v>0</v>
      </c>
      <c r="F1" s="120" t="s">
        <v>442</v>
      </c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2"/>
      <c r="AN1" s="67" t="s">
        <v>421</v>
      </c>
      <c r="AO1" s="67" t="s">
        <v>417</v>
      </c>
      <c r="AP1" s="6"/>
    </row>
    <row r="2" spans="1:42">
      <c r="A2" s="14" t="s">
        <v>135</v>
      </c>
      <c r="B2" s="15">
        <v>0</v>
      </c>
      <c r="AN2" s="116">
        <v>1</v>
      </c>
      <c r="AO2" s="116" t="s">
        <v>418</v>
      </c>
      <c r="AP2" s="6"/>
    </row>
    <row r="3" spans="1:42" ht="15.75" thickBot="1">
      <c r="A3" s="8" t="s">
        <v>134</v>
      </c>
      <c r="B3" s="13">
        <f>Line0</f>
        <v>256</v>
      </c>
      <c r="AN3" s="116">
        <v>1</v>
      </c>
      <c r="AO3" s="116" t="s">
        <v>419</v>
      </c>
      <c r="AP3" s="6"/>
    </row>
    <row r="4" spans="1:42" ht="15.75" thickBot="1">
      <c r="AA4" s="7" t="s">
        <v>409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410</v>
      </c>
      <c r="AL4" t="s">
        <v>411</v>
      </c>
      <c r="AN4" s="116">
        <v>0</v>
      </c>
      <c r="AO4" s="116" t="s">
        <v>420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408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210</v>
      </c>
      <c r="D7" s="34" t="str">
        <f t="shared" ref="D7:D14" si="2">IF(AND(E7&gt;=32,E7&lt;=126),CHAR(E7),".")</f>
        <v>"</v>
      </c>
      <c r="E7" s="35">
        <f t="shared" ref="E7:E14" si="3">HEX2DEC(C7)</f>
        <v>34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188</v>
      </c>
      <c r="D8" s="34" t="str">
        <f t="shared" si="2"/>
        <v>.</v>
      </c>
      <c r="E8" s="35">
        <f t="shared" si="3"/>
        <v>170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152</v>
      </c>
      <c r="R8" s="104" t="s">
        <v>209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208</v>
      </c>
      <c r="D9" s="34" t="str">
        <f t="shared" si="2"/>
        <v>.</v>
      </c>
      <c r="E9" s="35">
        <f t="shared" si="3"/>
        <v>238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198</v>
      </c>
      <c r="Q9" s="103" t="s">
        <v>199</v>
      </c>
      <c r="R9" s="104"/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149</v>
      </c>
      <c r="Q10" s="103" t="s">
        <v>152</v>
      </c>
      <c r="R10" s="104" t="s">
        <v>210</v>
      </c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443</v>
      </c>
      <c r="D13" s="34" t="str">
        <f t="shared" si="2"/>
        <v>.</v>
      </c>
      <c r="E13" s="35">
        <f t="shared" si="3"/>
        <v>259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>L</v>
      </c>
      <c r="M13" s="38" t="str">
        <f t="shared" si="4"/>
        <v>0105</v>
      </c>
      <c r="N13" s="66">
        <f t="shared" si="6"/>
        <v>261</v>
      </c>
      <c r="O13" s="101" t="s">
        <v>199</v>
      </c>
      <c r="P13" s="102" t="s">
        <v>149</v>
      </c>
      <c r="Q13" s="103" t="s">
        <v>190</v>
      </c>
      <c r="R13" s="104" t="s">
        <v>188</v>
      </c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423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 t="s">
        <v>198</v>
      </c>
      <c r="Q14" s="103" t="s">
        <v>204</v>
      </c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84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>L</v>
      </c>
      <c r="M17" s="38" t="str">
        <f t="shared" si="4"/>
        <v>0109</v>
      </c>
      <c r="N17" s="66">
        <f t="shared" si="6"/>
        <v>265</v>
      </c>
      <c r="O17" s="101" t="s">
        <v>204</v>
      </c>
      <c r="P17" s="102" t="s">
        <v>149</v>
      </c>
      <c r="Q17" s="103" t="s">
        <v>191</v>
      </c>
      <c r="R17" s="104" t="s">
        <v>208</v>
      </c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 t="s">
        <v>84</v>
      </c>
      <c r="Q18" s="103"/>
      <c r="R18" s="104"/>
      <c r="S18" s="90"/>
      <c r="U18" s="49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17" t="s">
        <v>422</v>
      </c>
      <c r="H20" s="60">
        <v>0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30" priority="26" operator="equal">
      <formula>0</formula>
    </cfRule>
    <cfRule type="cellIs" dxfId="229" priority="27" operator="greaterThan">
      <formula>0</formula>
    </cfRule>
  </conditionalFormatting>
  <conditionalFormatting sqref="F1:V1">
    <cfRule type="containsText" dxfId="228" priority="17" operator="containsText" text="Halted">
      <formula>NOT(ISERROR(SEARCH("Halted",F1)))</formula>
    </cfRule>
    <cfRule type="containsText" dxfId="227" priority="24" operator="containsText" text="Execution Complete">
      <formula>NOT(ISERROR(SEARCH("Execution Complete",F1)))</formula>
    </cfRule>
    <cfRule type="containsText" dxfId="226" priority="25" operator="containsText" text="Error">
      <formula>NOT(ISERROR(SEARCH("Error",F1)))</formula>
    </cfRule>
  </conditionalFormatting>
  <conditionalFormatting sqref="P22:R1070">
    <cfRule type="expression" dxfId="225" priority="49">
      <formula>$N22=$E$13</formula>
    </cfRule>
  </conditionalFormatting>
  <conditionalFormatting sqref="M7:S7 M22:S1070 M8:N21 S8:S21">
    <cfRule type="containsText" dxfId="224" priority="5" operator="containsText" text=" ">
      <formula>NOT(ISERROR(SEARCH(" ",M7)))</formula>
    </cfRule>
  </conditionalFormatting>
  <conditionalFormatting sqref="AC5:AL5">
    <cfRule type="cellIs" dxfId="223" priority="3" operator="equal">
      <formula>0</formula>
    </cfRule>
    <cfRule type="cellIs" dxfId="222" priority="4" operator="equal">
      <formula>1</formula>
    </cfRule>
  </conditionalFormatting>
  <conditionalFormatting sqref="H20">
    <cfRule type="cellIs" dxfId="221" priority="2" operator="equal">
      <formula>1</formula>
    </cfRule>
    <cfRule type="cellIs" dxfId="22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Step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69"/>
  <sheetViews>
    <sheetView zoomScaleNormal="100" workbookViewId="0">
      <pane xSplit="1" ySplit="4" topLeftCell="B13" activePane="bottomRight" state="frozen"/>
      <selection pane="topRight" activeCell="B1" sqref="B1"/>
      <selection pane="bottomLeft" activeCell="A5" sqref="A5"/>
      <selection pane="bottomRight" activeCell="I20" sqref="I20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">
        <v>154</v>
      </c>
      <c r="C1" s="97" t="s">
        <v>152</v>
      </c>
      <c r="D1" s="97" t="s">
        <v>190</v>
      </c>
      <c r="E1" s="97" t="s">
        <v>240</v>
      </c>
      <c r="F1" s="97" t="s">
        <v>274</v>
      </c>
      <c r="G1" s="97" t="s">
        <v>314</v>
      </c>
      <c r="H1" s="97" t="s">
        <v>338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00</v>
      </c>
      <c r="C2" s="56" t="str">
        <f>CPU!C7</f>
        <v>22</v>
      </c>
      <c r="D2" s="56" t="str">
        <f>CPU!C8</f>
        <v>AA</v>
      </c>
      <c r="E2" s="56" t="str">
        <f>CPU!C9</f>
        <v>EE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0103</v>
      </c>
      <c r="J2" s="56" t="str">
        <f>SP</f>
        <v>0140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28" t="s">
        <v>444</v>
      </c>
      <c r="L4" s="70" t="s">
        <v>267</v>
      </c>
      <c r="M4" s="20">
        <f>IFERROR(VLOOKUP(A4,$P$6:$R$1048576,3,0),0)</f>
        <v>0</v>
      </c>
      <c r="U4" s="123" t="s">
        <v>341</v>
      </c>
      <c r="V4" s="124"/>
      <c r="W4" s="124"/>
      <c r="X4" s="124"/>
      <c r="Y4" s="124"/>
      <c r="Z4" s="124"/>
      <c r="AA4" s="124"/>
      <c r="AB4" s="125"/>
    </row>
    <row r="5" spans="1:28" ht="15.75" customHeight="1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391</v>
      </c>
      <c r="R5" s="93" t="s">
        <v>243</v>
      </c>
      <c r="U5" s="126"/>
      <c r="V5" s="126"/>
      <c r="W5" s="126"/>
      <c r="X5" s="126"/>
      <c r="Y5" s="126"/>
      <c r="Z5" s="126"/>
      <c r="AA5" s="126"/>
      <c r="AB5" s="126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7"/>
      <c r="V6" s="127"/>
      <c r="W6" s="127"/>
      <c r="X6" s="127"/>
      <c r="Y6" s="127"/>
      <c r="Z6" s="127"/>
      <c r="AA6" s="127"/>
      <c r="AB6" s="127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7"/>
      <c r="V7" s="127"/>
      <c r="W7" s="127"/>
      <c r="X7" s="127"/>
      <c r="Y7" s="127"/>
      <c r="Z7" s="127"/>
      <c r="AA7" s="127"/>
      <c r="AB7" s="127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7"/>
      <c r="V8" s="127"/>
      <c r="W8" s="127"/>
      <c r="X8" s="127"/>
      <c r="Y8" s="127"/>
      <c r="Z8" s="127"/>
      <c r="AA8" s="127"/>
      <c r="AB8" s="127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7"/>
      <c r="V9" s="127"/>
      <c r="W9" s="127"/>
      <c r="X9" s="127"/>
      <c r="Y9" s="127"/>
      <c r="Z9" s="127"/>
      <c r="AA9" s="127"/>
      <c r="AB9" s="127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7"/>
      <c r="V10" s="127"/>
      <c r="W10" s="127"/>
      <c r="X10" s="127"/>
      <c r="Y10" s="127"/>
      <c r="Z10" s="127"/>
      <c r="AA10" s="127"/>
      <c r="AB10" s="127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28" t="s">
        <v>444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7"/>
      <c r="V11" s="127"/>
      <c r="W11" s="127"/>
      <c r="X11" s="127"/>
      <c r="Y11" s="127"/>
      <c r="Z11" s="127"/>
      <c r="AA11" s="127"/>
      <c r="AB11" s="12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7"/>
      <c r="V12" s="127"/>
      <c r="W12" s="127"/>
      <c r="X12" s="127"/>
      <c r="Y12" s="127"/>
      <c r="Z12" s="127"/>
      <c r="AA12" s="127"/>
      <c r="AB12" s="12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7"/>
      <c r="V13" s="127"/>
      <c r="W13" s="127"/>
      <c r="X13" s="127"/>
      <c r="Y13" s="127"/>
      <c r="Z13" s="127"/>
      <c r="AA13" s="127"/>
      <c r="AB13" s="12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7"/>
      <c r="V14" s="127"/>
      <c r="W14" s="127"/>
      <c r="X14" s="127"/>
      <c r="Y14" s="127"/>
      <c r="Z14" s="127"/>
      <c r="AA14" s="127"/>
      <c r="AB14" s="127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7"/>
      <c r="V15" s="127"/>
      <c r="W15" s="127"/>
      <c r="X15" s="127"/>
      <c r="Y15" s="127"/>
      <c r="Z15" s="127"/>
      <c r="AA15" s="127"/>
      <c r="AB15" s="127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0</v>
      </c>
      <c r="K16" s="128" t="s">
        <v>444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7"/>
      <c r="V16" s="127"/>
      <c r="W16" s="127"/>
      <c r="X16" s="127"/>
      <c r="Y16" s="127"/>
      <c r="Z16" s="127"/>
      <c r="AA16" s="127"/>
      <c r="AB16" s="127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7"/>
      <c r="V17" s="127"/>
      <c r="W17" s="127"/>
      <c r="X17" s="127"/>
      <c r="Y17" s="127"/>
      <c r="Z17" s="127"/>
      <c r="AA17" s="127"/>
      <c r="AB17" s="127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7"/>
      <c r="V18" s="127"/>
      <c r="W18" s="127"/>
      <c r="X18" s="127"/>
      <c r="Y18" s="127"/>
      <c r="Z18" s="127"/>
      <c r="AA18" s="127"/>
      <c r="AB18" s="127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1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7"/>
      <c r="V19" s="127"/>
      <c r="W19" s="127"/>
      <c r="X19" s="127"/>
      <c r="Y19" s="127"/>
      <c r="Z19" s="127"/>
      <c r="AA19" s="127"/>
      <c r="AB19" s="127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56"/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7"/>
      <c r="V20" s="127"/>
      <c r="W20" s="127"/>
      <c r="X20" s="127"/>
      <c r="Y20" s="127"/>
      <c r="Z20" s="127"/>
      <c r="AA20" s="127"/>
      <c r="AB20" s="127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7"/>
      <c r="V21" s="127"/>
      <c r="W21" s="127"/>
      <c r="X21" s="127"/>
      <c r="Y21" s="127"/>
      <c r="Z21" s="127"/>
      <c r="AA21" s="127"/>
      <c r="AB21" s="127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1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7"/>
      <c r="V22" s="127"/>
      <c r="W22" s="127"/>
      <c r="X22" s="127"/>
      <c r="Y22" s="127"/>
      <c r="Z22" s="127"/>
      <c r="AA22" s="127"/>
      <c r="AB22" s="127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7"/>
      <c r="V23" s="127"/>
      <c r="W23" s="127"/>
      <c r="X23" s="127"/>
      <c r="Y23" s="127"/>
      <c r="Z23" s="127"/>
      <c r="AA23" s="127"/>
      <c r="AB23" s="127"/>
    </row>
    <row r="24" spans="1:28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7"/>
      <c r="V24" s="127"/>
      <c r="W24" s="127"/>
      <c r="X24" s="127"/>
      <c r="Y24" s="127"/>
      <c r="Z24" s="127"/>
      <c r="AA24" s="127"/>
      <c r="AB24" s="127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0</v>
      </c>
      <c r="U25" s="127"/>
      <c r="V25" s="127"/>
      <c r="W25" s="127"/>
      <c r="X25" s="127"/>
      <c r="Y25" s="127"/>
      <c r="Z25" s="127"/>
      <c r="AA25" s="127"/>
      <c r="AB25" s="127"/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1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  <c r="U26" s="127"/>
      <c r="V26" s="127"/>
      <c r="W26" s="127"/>
      <c r="X26" s="127"/>
      <c r="Y26" s="127"/>
      <c r="Z26" s="127"/>
      <c r="AA26" s="127"/>
      <c r="AB26" s="127"/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  <c r="U27" s="127"/>
      <c r="V27" s="127"/>
      <c r="W27" s="127"/>
      <c r="X27" s="127"/>
      <c r="Y27" s="127"/>
      <c r="Z27" s="127"/>
      <c r="AA27" s="127"/>
      <c r="AB27" s="127"/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  <c r="U28" s="127"/>
      <c r="V28" s="127"/>
      <c r="W28" s="127"/>
      <c r="X28" s="127"/>
      <c r="Y28" s="127"/>
      <c r="Z28" s="127"/>
      <c r="AA28" s="127"/>
      <c r="AB28" s="127"/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28" t="s">
        <v>444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  <c r="U29" s="127"/>
      <c r="V29" s="127"/>
      <c r="W29" s="127"/>
      <c r="X29" s="127"/>
      <c r="Y29" s="127"/>
      <c r="Z29" s="127"/>
      <c r="AA29" s="127"/>
      <c r="AB29" s="127"/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  <c r="U30" s="127"/>
      <c r="V30" s="127"/>
      <c r="W30" s="127"/>
      <c r="X30" s="127"/>
      <c r="Y30" s="127"/>
      <c r="Z30" s="127"/>
      <c r="AA30" s="127"/>
      <c r="AB30" s="127"/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 t="s">
        <v>385</v>
      </c>
      <c r="Q31" s="40" t="str">
        <f t="shared" ref="Q31:Q33" si="7">IFERROR(VLOOKUP(P31,$A$4:$L$1048576,12,0),"")</f>
        <v>ORI Label Test</v>
      </c>
      <c r="R31" s="40">
        <v>0</v>
      </c>
      <c r="U31" s="127"/>
      <c r="V31" s="127"/>
      <c r="W31" s="127"/>
      <c r="X31" s="127"/>
      <c r="Y31" s="127"/>
      <c r="Z31" s="127"/>
      <c r="AA31" s="127"/>
      <c r="AB31" s="127"/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387</v>
      </c>
      <c r="Q32" s="40" t="str">
        <f t="shared" si="7"/>
        <v>ORI Immediate</v>
      </c>
      <c r="R32" s="40">
        <v>0</v>
      </c>
      <c r="U32" s="127"/>
      <c r="V32" s="127"/>
      <c r="W32" s="127"/>
      <c r="X32" s="127"/>
      <c r="Y32" s="127"/>
      <c r="Z32" s="127"/>
      <c r="AA32" s="127"/>
      <c r="AB32" s="127"/>
    </row>
    <row r="33" spans="1:2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388</v>
      </c>
      <c r="Q33" s="40" t="str">
        <f t="shared" si="7"/>
        <v>ORI Zero Result</v>
      </c>
      <c r="R33" s="40">
        <v>0</v>
      </c>
      <c r="U33" s="127"/>
      <c r="V33" s="127"/>
      <c r="W33" s="127"/>
      <c r="X33" s="127"/>
      <c r="Y33" s="127"/>
      <c r="Z33" s="127"/>
      <c r="AA33" s="127"/>
      <c r="AB33" s="127"/>
    </row>
    <row r="34" spans="1:2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393</v>
      </c>
      <c r="Q34" s="40" t="str">
        <f t="shared" ref="Q34:Q40" si="10">IFERROR(VLOOKUP(P34,$A$4:$L$1048576,12,0),"")</f>
        <v>ADD (register) with Aux Carry</v>
      </c>
      <c r="R34" s="40">
        <v>0</v>
      </c>
      <c r="U34" s="127"/>
      <c r="V34" s="127"/>
      <c r="W34" s="127"/>
      <c r="X34" s="127"/>
      <c r="Y34" s="127"/>
      <c r="Z34" s="127"/>
      <c r="AA34" s="127"/>
      <c r="AB34" s="127"/>
    </row>
    <row r="35" spans="1:2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394</v>
      </c>
      <c r="Q35" s="40" t="str">
        <f t="shared" si="10"/>
        <v>ADD (register) with full Carry and Zero</v>
      </c>
      <c r="R35" s="40">
        <v>0</v>
      </c>
    </row>
    <row r="36" spans="1:2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395</v>
      </c>
      <c r="Q36" s="40" t="str">
        <f t="shared" si="10"/>
        <v>ADI (immediate)</v>
      </c>
      <c r="R36" s="40">
        <v>0</v>
      </c>
    </row>
    <row r="37" spans="1:28" ht="15.75" thickBot="1">
      <c r="H37" s="52"/>
      <c r="I37" s="52"/>
      <c r="J37" s="52"/>
      <c r="K37" s="52"/>
      <c r="P37" s="6" t="s">
        <v>396</v>
      </c>
      <c r="Q37" s="40" t="str">
        <f t="shared" si="10"/>
        <v>ANA (register)</v>
      </c>
      <c r="R37" s="40">
        <v>0</v>
      </c>
    </row>
    <row r="38" spans="1:2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28" t="s">
        <v>444</v>
      </c>
      <c r="L38" s="70" t="s">
        <v>240</v>
      </c>
      <c r="M38" s="20">
        <f>IFERROR(VLOOKUP(A38,$P$6:$R$1048576,3,0),0)</f>
        <v>0</v>
      </c>
      <c r="P38" s="6" t="s">
        <v>397</v>
      </c>
      <c r="Q38" s="40" t="str">
        <f t="shared" si="10"/>
        <v>ANI (immediate) → Zero case</v>
      </c>
      <c r="R38" s="40">
        <v>0</v>
      </c>
    </row>
    <row r="39" spans="1:2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398</v>
      </c>
      <c r="Q39" s="40" t="str">
        <f t="shared" si="10"/>
        <v>CPI (immediate) → Borrow (A &lt; data)</v>
      </c>
      <c r="R39" s="40">
        <v>0</v>
      </c>
    </row>
    <row r="40" spans="1:2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  <c r="P40" s="6" t="s">
        <v>399</v>
      </c>
      <c r="Q40" s="40" t="str">
        <f t="shared" si="10"/>
        <v>ADC r (with carry-in)</v>
      </c>
      <c r="R40" s="40">
        <v>0</v>
      </c>
    </row>
    <row r="41" spans="1:2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400</v>
      </c>
      <c r="Q41" s="40" t="str">
        <f t="shared" ref="Q41" si="13">IFERROR(VLOOKUP(P41,$A$4:$L$1048576,12,0),"")</f>
        <v>ACI imm (with carry-in)</v>
      </c>
      <c r="R41" s="40">
        <v>0</v>
      </c>
    </row>
    <row r="42" spans="1:2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401</v>
      </c>
      <c r="Q42" s="40" t="str">
        <f t="shared" ref="Q42" si="14">IFERROR(VLOOKUP(P42,$A$4:$L$1048576,12,0),"")</f>
        <v>SUB r (AC borrow)</v>
      </c>
      <c r="R42" s="40">
        <v>0</v>
      </c>
    </row>
    <row r="43" spans="1:2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402</v>
      </c>
      <c r="Q43" s="40" t="str">
        <f t="shared" ref="Q43" si="15">IFERROR(VLOOKUP(P43,$A$4:$L$1048576,12,0),"")</f>
        <v>SUI imm (borrow -&gt; CY=1)</v>
      </c>
      <c r="R43" s="40">
        <v>0</v>
      </c>
    </row>
    <row r="44" spans="1:28">
      <c r="B44" s="6" t="str">
        <f t="shared" ref="B44:B47" si="16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  <c r="P44" s="6" t="s">
        <v>451</v>
      </c>
      <c r="Q44" s="40" t="str">
        <f t="shared" ref="Q44:Q52" si="17">IFERROR(VLOOKUP(P44,$A$4:$L$1048576,12,0),"")</f>
        <v/>
      </c>
      <c r="R44" s="40">
        <v>0</v>
      </c>
    </row>
    <row r="45" spans="1:28">
      <c r="B45" s="6" t="str">
        <f t="shared" si="16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  <c r="P45" s="6" t="s">
        <v>452</v>
      </c>
      <c r="Q45" s="40" t="str">
        <f t="shared" si="17"/>
        <v/>
      </c>
      <c r="R45" s="40">
        <v>0</v>
      </c>
    </row>
    <row r="46" spans="1:28">
      <c r="B46" s="6" t="str">
        <f t="shared" si="16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  <c r="P46" s="6" t="s">
        <v>453</v>
      </c>
      <c r="Q46" s="40" t="str">
        <f t="shared" si="17"/>
        <v/>
      </c>
      <c r="R46" s="40">
        <v>0</v>
      </c>
    </row>
    <row r="47" spans="1:28">
      <c r="B47" s="6" t="str">
        <f t="shared" si="16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  <c r="P47" s="6" t="s">
        <v>454</v>
      </c>
      <c r="Q47" s="40" t="str">
        <f t="shared" si="17"/>
        <v/>
      </c>
      <c r="R47" s="40">
        <v>0</v>
      </c>
    </row>
    <row r="48" spans="1:28" ht="15.75" thickBot="1">
      <c r="H48" s="52"/>
      <c r="I48" s="52"/>
      <c r="J48" s="52"/>
      <c r="K48" s="52"/>
      <c r="P48" s="6" t="s">
        <v>455</v>
      </c>
      <c r="Q48" s="40" t="str">
        <f t="shared" si="17"/>
        <v/>
      </c>
      <c r="R48" s="40">
        <v>0</v>
      </c>
    </row>
    <row r="49" spans="1:18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28" t="s">
        <v>444</v>
      </c>
      <c r="L49" s="70" t="s">
        <v>263</v>
      </c>
      <c r="M49" s="20">
        <f>IFERROR(VLOOKUP(A49,$P$6:$R$1048576,3,0),0)</f>
        <v>0</v>
      </c>
      <c r="P49" s="6" t="s">
        <v>456</v>
      </c>
      <c r="Q49" s="40" t="str">
        <f t="shared" si="17"/>
        <v/>
      </c>
      <c r="R49" s="40">
        <v>0</v>
      </c>
    </row>
    <row r="50" spans="1:18">
      <c r="B50" s="40" t="str">
        <f t="shared" ref="B50:B51" si="18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  <c r="P50" s="6" t="s">
        <v>457</v>
      </c>
      <c r="Q50" s="40" t="str">
        <f t="shared" si="17"/>
        <v/>
      </c>
      <c r="R50" s="40">
        <v>0</v>
      </c>
    </row>
    <row r="51" spans="1:18">
      <c r="B51" s="6" t="str">
        <f t="shared" si="18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  <c r="P51" s="6" t="s">
        <v>458</v>
      </c>
      <c r="Q51" s="40" t="str">
        <f t="shared" si="17"/>
        <v/>
      </c>
      <c r="R51" s="40">
        <v>0</v>
      </c>
    </row>
    <row r="52" spans="1:18">
      <c r="B52" s="6" t="str">
        <f t="shared" ref="B52:B55" si="19">DEC2HEX(C52)</f>
        <v>2</v>
      </c>
      <c r="C52" s="6">
        <f t="shared" ref="C52:C55" si="20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  <c r="P52" s="6" t="s">
        <v>459</v>
      </c>
      <c r="Q52" s="40" t="str">
        <f t="shared" si="17"/>
        <v/>
      </c>
      <c r="R52" s="40">
        <v>0</v>
      </c>
    </row>
    <row r="53" spans="1:18">
      <c r="B53" s="6" t="str">
        <f t="shared" si="19"/>
        <v>3</v>
      </c>
      <c r="C53" s="6">
        <f t="shared" si="20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8">
      <c r="B54" s="6" t="str">
        <f t="shared" si="19"/>
        <v>4</v>
      </c>
      <c r="C54" s="6">
        <f t="shared" si="20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8">
      <c r="B55" s="6" t="str">
        <f t="shared" si="19"/>
        <v>5</v>
      </c>
      <c r="C55" s="6">
        <f t="shared" si="20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8" ht="15.75" thickBot="1"/>
    <row r="57" spans="1:18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28" t="s">
        <v>444</v>
      </c>
      <c r="L57" s="70" t="s">
        <v>264</v>
      </c>
      <c r="M57" s="20">
        <f>IFERROR(VLOOKUP(A57,$P$6:$R$1048576,3,0),0)</f>
        <v>0</v>
      </c>
    </row>
    <row r="58" spans="1:18">
      <c r="B58" s="40" t="str">
        <f t="shared" ref="B58:B60" si="21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8">
      <c r="B59" s="6" t="str">
        <f t="shared" si="21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0</v>
      </c>
      <c r="K59" s="55"/>
      <c r="L59" s="40"/>
    </row>
    <row r="60" spans="1:18">
      <c r="B60" s="6" t="str">
        <f t="shared" si="21"/>
        <v>2</v>
      </c>
      <c r="C60" s="6">
        <f t="shared" ref="C60" si="22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8">
      <c r="B61" s="6" t="str">
        <f t="shared" ref="B61:B64" si="23">DEC2HEX(C61)</f>
        <v>3</v>
      </c>
      <c r="C61" s="6">
        <f t="shared" ref="C61:C64" si="24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8">
      <c r="B62" s="6" t="str">
        <f t="shared" si="23"/>
        <v>4</v>
      </c>
      <c r="C62" s="6">
        <f t="shared" si="24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8">
      <c r="B63" s="6" t="str">
        <f t="shared" si="23"/>
        <v>5</v>
      </c>
      <c r="C63" s="6">
        <f t="shared" si="24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0</v>
      </c>
      <c r="K63" s="55"/>
      <c r="L63" s="40" t="s">
        <v>260</v>
      </c>
    </row>
    <row r="64" spans="1:18">
      <c r="B64" s="6" t="str">
        <f t="shared" si="23"/>
        <v>6</v>
      </c>
      <c r="C64" s="6">
        <f t="shared" si="24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28" t="s">
        <v>444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5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5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5"/>
        <v>2</v>
      </c>
      <c r="C69" s="6">
        <f t="shared" ref="C69" si="26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7">DEC2HEX(C70)</f>
        <v>3</v>
      </c>
      <c r="C70" s="6">
        <f t="shared" ref="C70:C72" si="28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7"/>
        <v>4</v>
      </c>
      <c r="C71" s="6">
        <f t="shared" si="28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7"/>
        <v>5</v>
      </c>
      <c r="C72" s="6">
        <f t="shared" si="28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28" t="s">
        <v>444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9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9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9"/>
        <v>2</v>
      </c>
      <c r="C77" s="6">
        <f t="shared" ref="C77" si="30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31">DEC2HEX(C78)</f>
        <v>3</v>
      </c>
      <c r="C78" s="6">
        <f t="shared" ref="C78:C81" si="32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31"/>
        <v>4</v>
      </c>
      <c r="C79" s="6">
        <f t="shared" si="32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0</v>
      </c>
      <c r="K79" s="55"/>
      <c r="L79" s="40"/>
    </row>
    <row r="80" spans="1:13">
      <c r="B80" s="6" t="str">
        <f t="shared" si="31"/>
        <v>5</v>
      </c>
      <c r="C80" s="6">
        <f t="shared" si="32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31"/>
        <v>6</v>
      </c>
      <c r="C81" s="6">
        <f t="shared" si="32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28" t="s">
        <v>444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33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33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0</v>
      </c>
      <c r="K85" s="55"/>
      <c r="L85" s="40"/>
    </row>
    <row r="86" spans="1:13">
      <c r="B86" s="6" t="str">
        <f t="shared" si="33"/>
        <v>2</v>
      </c>
      <c r="C86" s="6">
        <f t="shared" ref="C86" si="34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5">DEC2HEX(C87)</f>
        <v>3</v>
      </c>
      <c r="C87" s="6">
        <f t="shared" ref="C87:C95" si="36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5"/>
        <v>4</v>
      </c>
      <c r="C88" s="6">
        <f t="shared" si="36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5"/>
        <v>5</v>
      </c>
      <c r="C89" s="6">
        <f t="shared" si="36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35"/>
        <v>6</v>
      </c>
      <c r="C90" s="6">
        <f t="shared" si="36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5"/>
        <v>7</v>
      </c>
      <c r="C91" s="6">
        <f t="shared" si="36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5"/>
        <v>8</v>
      </c>
      <c r="C92" s="6">
        <f t="shared" si="36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5"/>
        <v>9</v>
      </c>
      <c r="C93" s="6">
        <f t="shared" si="36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5"/>
        <v>A</v>
      </c>
      <c r="C94" s="6">
        <f t="shared" si="36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5"/>
        <v>B</v>
      </c>
      <c r="C95" s="6">
        <f t="shared" si="36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28" t="s">
        <v>444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7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7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7"/>
        <v>2</v>
      </c>
      <c r="C100" s="6">
        <f t="shared" ref="C100:C111" si="38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7"/>
        <v>3</v>
      </c>
      <c r="C101" s="6">
        <f t="shared" si="38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7"/>
        <v>4</v>
      </c>
      <c r="C102" s="6">
        <f t="shared" si="38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7"/>
        <v>5</v>
      </c>
      <c r="C103" s="6">
        <f t="shared" si="38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28" t="s">
        <v>444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9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9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9"/>
        <v>2</v>
      </c>
      <c r="C108" s="6">
        <f t="shared" si="38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9"/>
        <v>3</v>
      </c>
      <c r="C109" s="6">
        <f t="shared" si="38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9"/>
        <v>4</v>
      </c>
      <c r="C110" s="6">
        <f t="shared" si="38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9"/>
        <v>5</v>
      </c>
      <c r="C111" s="6">
        <f t="shared" si="38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8" t="s">
        <v>444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40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40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40"/>
        <v>2</v>
      </c>
      <c r="C116" s="40">
        <f t="shared" ref="C116:C123" si="41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40"/>
        <v>3</v>
      </c>
      <c r="C117" s="40">
        <f t="shared" si="41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40"/>
        <v>4</v>
      </c>
      <c r="C118" s="40">
        <f t="shared" si="41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40"/>
        <v>5</v>
      </c>
      <c r="C119" s="40">
        <f t="shared" si="41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42">DEC2HEX(C120)</f>
        <v>6</v>
      </c>
      <c r="C120" s="40">
        <f t="shared" si="41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42"/>
        <v>7</v>
      </c>
      <c r="C121" s="40">
        <f t="shared" si="41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42"/>
        <v>8</v>
      </c>
      <c r="C122" s="40">
        <f t="shared" si="41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42"/>
        <v>9</v>
      </c>
      <c r="C123" s="40">
        <f t="shared" si="41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28" t="s">
        <v>444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43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43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43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43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43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43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4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43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28" t="s">
        <v>444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5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5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5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5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5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5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5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5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5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5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45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28" t="s">
        <v>444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6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6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46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6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6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6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6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6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46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6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6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6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6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28" t="s">
        <v>444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7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7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7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7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7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7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7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7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7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28" t="s">
        <v>444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8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8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8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8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8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8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8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8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28" t="s">
        <v>444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9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9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9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9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9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9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9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9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28" t="s">
        <v>444</v>
      </c>
      <c r="L194" s="70" t="s">
        <v>354</v>
      </c>
      <c r="M194" s="20">
        <f>IFERROR(VLOOKUP(A194,$P$6:$R$1048576,3,0),0)</f>
        <v>0</v>
      </c>
    </row>
    <row r="195" spans="1:13">
      <c r="B195" s="40" t="str">
        <f t="shared" ref="B195:B202" si="50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50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0</v>
      </c>
      <c r="K196" s="55"/>
      <c r="L196" s="40"/>
      <c r="M196" s="40"/>
    </row>
    <row r="197" spans="1:13">
      <c r="B197" s="40" t="str">
        <f t="shared" si="50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50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50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50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50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50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28" t="s">
        <v>444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51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51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51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51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51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28" t="s">
        <v>444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52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52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52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52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52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52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52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52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52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52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52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28" t="s">
        <v>444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53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53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53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53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53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53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53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53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28" t="s">
        <v>444</v>
      </c>
      <c r="L240" s="70" t="s">
        <v>373</v>
      </c>
      <c r="M240" s="20">
        <f>IFERROR(VLOOKUP(A240,$P$6:$R$1048576,3,0),0)</f>
        <v>0</v>
      </c>
    </row>
    <row r="241" spans="1:13">
      <c r="B241" s="40" t="str">
        <f t="shared" ref="B241:B251" si="54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375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4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4"/>
        <v>2</v>
      </c>
      <c r="C243" s="40">
        <v>2</v>
      </c>
      <c r="D243" s="101"/>
      <c r="E243" s="102" t="s">
        <v>376</v>
      </c>
      <c r="F243" s="103" t="s">
        <v>377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4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4"/>
        <v>4</v>
      </c>
      <c r="C245" s="40">
        <v>4</v>
      </c>
      <c r="D245" s="101" t="s">
        <v>377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54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4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4"/>
        <v>7</v>
      </c>
      <c r="C248" s="40">
        <v>7</v>
      </c>
      <c r="D248" s="101"/>
      <c r="E248" s="102" t="s">
        <v>378</v>
      </c>
      <c r="F248" s="103" t="s">
        <v>379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4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4"/>
        <v>9</v>
      </c>
      <c r="C250" s="40">
        <v>9</v>
      </c>
      <c r="D250" s="101" t="s">
        <v>379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4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28" t="s">
        <v>444</v>
      </c>
      <c r="L253" s="70" t="s">
        <v>374</v>
      </c>
      <c r="M253" s="20">
        <f>IFERROR(VLOOKUP(A253,$P$6:$R$1048576,3,0),0)</f>
        <v>0</v>
      </c>
    </row>
    <row r="254" spans="1:13">
      <c r="B254" s="40" t="str">
        <f t="shared" ref="B254:B257" si="55">DEC2HEX(C254)</f>
        <v>0</v>
      </c>
      <c r="C254" s="40">
        <v>0</v>
      </c>
      <c r="D254" s="101" t="s">
        <v>380</v>
      </c>
      <c r="E254" s="102" t="s">
        <v>166</v>
      </c>
      <c r="F254" s="103" t="s">
        <v>381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5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380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5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5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385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28" t="s">
        <v>444</v>
      </c>
      <c r="L259" s="70" t="s">
        <v>386</v>
      </c>
      <c r="M259" s="20">
        <f>IFERROR(VLOOKUP(A259,$P$6:$R$1048576,3,0),0)</f>
        <v>0</v>
      </c>
    </row>
    <row r="260" spans="1:13">
      <c r="B260" s="40" t="str">
        <f t="shared" ref="B260:B263" si="56">DEC2HEX(C260)</f>
        <v>0</v>
      </c>
      <c r="C260" s="40">
        <v>0</v>
      </c>
      <c r="D260" s="101" t="s">
        <v>382</v>
      </c>
      <c r="E260" s="102" t="s">
        <v>166</v>
      </c>
      <c r="F260" s="103" t="s">
        <v>383</v>
      </c>
      <c r="G260" s="104"/>
      <c r="H260" s="55" t="s">
        <v>154</v>
      </c>
      <c r="I260" s="86" t="s">
        <v>384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6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6"/>
        <v>2</v>
      </c>
      <c r="C262" s="40">
        <v>2</v>
      </c>
      <c r="D262" s="101"/>
      <c r="E262" s="102" t="s">
        <v>157</v>
      </c>
      <c r="F262" s="103" t="s">
        <v>382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6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387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28" t="s">
        <v>444</v>
      </c>
      <c r="L265" s="70" t="s">
        <v>389</v>
      </c>
      <c r="M265" s="20">
        <f>IFERROR(VLOOKUP(A265,$P$6:$R$1048576,3,0),0)</f>
        <v>0</v>
      </c>
    </row>
    <row r="266" spans="1:13">
      <c r="B266" s="40" t="str">
        <f t="shared" ref="B266:B269" si="57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7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0</v>
      </c>
      <c r="K267" s="55"/>
      <c r="L267" s="40"/>
      <c r="M267" s="40"/>
    </row>
    <row r="268" spans="1:13">
      <c r="B268" s="40" t="str">
        <f t="shared" si="57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7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388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28" t="s">
        <v>444</v>
      </c>
      <c r="L273" s="70" t="s">
        <v>390</v>
      </c>
      <c r="M273" s="20">
        <f>IFERROR(VLOOKUP(A273,$P$6:$R$1048576,3,0),0)</f>
        <v>0</v>
      </c>
    </row>
    <row r="274" spans="1:13">
      <c r="B274" s="40" t="str">
        <f t="shared" ref="B274:B277" si="58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1</v>
      </c>
      <c r="K274" s="55"/>
      <c r="L274" s="40"/>
      <c r="M274" s="40"/>
    </row>
    <row r="275" spans="1:13">
      <c r="B275" s="40" t="str">
        <f t="shared" si="58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0</v>
      </c>
      <c r="K275" s="55"/>
      <c r="L275" s="40"/>
      <c r="M275" s="40"/>
    </row>
    <row r="276" spans="1:13">
      <c r="B276" s="40" t="str">
        <f t="shared" si="58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8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393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28" t="s">
        <v>444</v>
      </c>
      <c r="L281" s="70" t="s">
        <v>392</v>
      </c>
      <c r="M281" s="20">
        <f>IFERROR(VLOOKUP(A281,$P$6:$R$1048576,3,0),0)</f>
        <v>0</v>
      </c>
    </row>
    <row r="282" spans="1:13">
      <c r="B282" s="40" t="str">
        <f t="shared" ref="B282:B288" si="59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9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9"/>
        <v>2</v>
      </c>
      <c r="C284" s="40">
        <v>2</v>
      </c>
      <c r="D284" s="101"/>
      <c r="E284" s="102" t="s">
        <v>403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1</v>
      </c>
      <c r="K284" s="55"/>
      <c r="L284" s="40"/>
      <c r="M284" s="40"/>
    </row>
    <row r="285" spans="1:13">
      <c r="B285" s="40" t="str">
        <f t="shared" si="59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9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9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9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394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28" t="s">
        <v>444</v>
      </c>
      <c r="L290" s="70" t="s">
        <v>404</v>
      </c>
      <c r="M290" s="20">
        <f>IFERROR(VLOOKUP(A290,$P$6:$R$1048576,3,0),0)</f>
        <v>0</v>
      </c>
    </row>
    <row r="291" spans="1:13">
      <c r="B291" s="40" t="str">
        <f t="shared" ref="B291:B297" si="60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1</v>
      </c>
      <c r="K291" s="55"/>
      <c r="L291" s="40"/>
      <c r="M291" s="40"/>
    </row>
    <row r="292" spans="1:13">
      <c r="B292" s="40" t="str">
        <f t="shared" si="60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60"/>
        <v>2</v>
      </c>
      <c r="C293" s="40">
        <v>2</v>
      </c>
      <c r="D293" s="101"/>
      <c r="E293" s="102" t="s">
        <v>403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0</v>
      </c>
      <c r="K293" s="55"/>
      <c r="L293" s="40"/>
      <c r="M293" s="40"/>
    </row>
    <row r="294" spans="1:13">
      <c r="B294" s="40" t="str">
        <f t="shared" si="60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60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60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60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395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28" t="s">
        <v>444</v>
      </c>
      <c r="L299" s="70" t="s">
        <v>412</v>
      </c>
      <c r="M299" s="20">
        <f>IFERROR(VLOOKUP(A299,$P$6:$R$1048576,3,0),0)</f>
        <v>0</v>
      </c>
    </row>
    <row r="300" spans="1:13">
      <c r="B300" s="40" t="str">
        <f t="shared" ref="B300:B306" si="61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405</v>
      </c>
      <c r="H300" s="55" t="s">
        <v>154</v>
      </c>
      <c r="I300" s="86" t="s">
        <v>408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61"/>
        <v>1</v>
      </c>
      <c r="C301" s="40">
        <v>1</v>
      </c>
      <c r="D301" s="101"/>
      <c r="E301" s="102" t="s">
        <v>406</v>
      </c>
      <c r="F301" s="103" t="s">
        <v>407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61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0</v>
      </c>
      <c r="K302" s="55"/>
      <c r="L302" s="40"/>
      <c r="M302" s="40"/>
    </row>
    <row r="303" spans="1:13">
      <c r="B303" s="40" t="str">
        <f t="shared" si="61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61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61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61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396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28" t="s">
        <v>444</v>
      </c>
      <c r="L308" s="70" t="s">
        <v>414</v>
      </c>
      <c r="M308" s="20">
        <f>IFERROR(VLOOKUP(A308,$P$6:$R$1048576,3,0),0)</f>
        <v>0</v>
      </c>
    </row>
    <row r="309" spans="1:13">
      <c r="B309" s="40" t="str">
        <f t="shared" ref="B309:B315" si="62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62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62"/>
        <v>2</v>
      </c>
      <c r="C311" s="40">
        <v>2</v>
      </c>
      <c r="D311" s="101"/>
      <c r="E311" s="102" t="s">
        <v>413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0</v>
      </c>
      <c r="K311" s="55"/>
      <c r="L311" s="40"/>
      <c r="M311" s="40"/>
    </row>
    <row r="312" spans="1:13">
      <c r="B312" s="40" t="str">
        <f t="shared" si="62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62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62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62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397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28" t="s">
        <v>444</v>
      </c>
      <c r="L317" s="70" t="s">
        <v>415</v>
      </c>
      <c r="M317" s="20">
        <f>IFERROR(VLOOKUP(A317,$P$6:$R$1048576,3,0),0)</f>
        <v>0</v>
      </c>
    </row>
    <row r="318" spans="1:13">
      <c r="B318" s="40" t="str">
        <f t="shared" ref="B318:B324" si="63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1</v>
      </c>
      <c r="K318" s="55"/>
      <c r="L318" s="40"/>
      <c r="M318" s="40"/>
    </row>
    <row r="319" spans="1:13">
      <c r="B319" s="40" t="str">
        <f t="shared" si="63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63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0</v>
      </c>
      <c r="K320" s="55"/>
      <c r="L320" s="40"/>
      <c r="M320" s="40"/>
    </row>
    <row r="321" spans="1:18">
      <c r="B321" s="40" t="str">
        <f t="shared" si="63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63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63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63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398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28" t="s">
        <v>444</v>
      </c>
      <c r="L326" s="70" t="s">
        <v>416</v>
      </c>
      <c r="M326" s="20">
        <f>IFERROR(VLOOKUP(A326,$P$6:$R$1048576,3,0),0)</f>
        <v>0</v>
      </c>
    </row>
    <row r="327" spans="1:18">
      <c r="B327" s="40" t="str">
        <f t="shared" ref="B327:B333" si="64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4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4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0</v>
      </c>
      <c r="K329" s="55"/>
      <c r="L329" s="40"/>
      <c r="M329" s="40"/>
    </row>
    <row r="330" spans="1:18">
      <c r="B330" s="40" t="str">
        <f t="shared" si="64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4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4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4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  <row r="334" spans="1:18" ht="15.75" thickBot="1"/>
    <row r="335" spans="1:18" ht="15.75" thickBot="1">
      <c r="A335" s="20" t="s">
        <v>399</v>
      </c>
      <c r="B335" s="41" t="s">
        <v>143</v>
      </c>
      <c r="C335" s="41" t="s">
        <v>144</v>
      </c>
      <c r="D335" s="54" t="s">
        <v>131</v>
      </c>
      <c r="E335" s="42" t="s">
        <v>150</v>
      </c>
      <c r="F335" s="54" t="s">
        <v>129</v>
      </c>
      <c r="G335" s="54" t="s">
        <v>130</v>
      </c>
      <c r="H335" s="54" t="s">
        <v>254</v>
      </c>
      <c r="I335" s="80" t="s">
        <v>213</v>
      </c>
      <c r="J335" s="53">
        <f ca="1">IFERROR(IF(AND(J336:J341),0,1),0)</f>
        <v>1</v>
      </c>
      <c r="K335" s="128" t="s">
        <v>444</v>
      </c>
      <c r="L335" s="70" t="s">
        <v>439</v>
      </c>
      <c r="M335" s="20">
        <f>IFERROR(VLOOKUP(A335,$P$6:$R$1048576,3,0),0)</f>
        <v>0</v>
      </c>
    </row>
    <row r="336" spans="1:18">
      <c r="B336" s="40" t="str">
        <f t="shared" ref="B336:B342" si="65">DEC2HEX(C336)</f>
        <v>0</v>
      </c>
      <c r="C336" s="40">
        <v>0</v>
      </c>
      <c r="D336" s="101"/>
      <c r="E336" s="102" t="s">
        <v>149</v>
      </c>
      <c r="F336" s="103" t="s">
        <v>154</v>
      </c>
      <c r="G336" s="104" t="s">
        <v>440</v>
      </c>
      <c r="H336" s="55" t="s">
        <v>154</v>
      </c>
      <c r="I336" s="86" t="s">
        <v>223</v>
      </c>
      <c r="J336" s="94" t="b" cm="1">
        <f t="array" aca="1" ref="J336" ca="1">RIGHT("00"&amp;INDIRECT("R_"&amp;H336),2)=RIGHT("00"&amp;I336,2)</f>
        <v>1</v>
      </c>
      <c r="K336" s="55"/>
      <c r="L336" s="40"/>
      <c r="M336" s="40"/>
    </row>
    <row r="337" spans="1:13">
      <c r="B337" s="40" t="str">
        <f t="shared" si="65"/>
        <v>1</v>
      </c>
      <c r="C337" s="40">
        <v>1</v>
      </c>
      <c r="D337" s="101"/>
      <c r="E337" s="102" t="s">
        <v>149</v>
      </c>
      <c r="F337" s="103" t="s">
        <v>152</v>
      </c>
      <c r="G337" s="104" t="s">
        <v>306</v>
      </c>
      <c r="H337" s="55"/>
      <c r="I337" s="55"/>
      <c r="J337" s="55"/>
      <c r="K337" s="55"/>
      <c r="L337" s="40"/>
      <c r="M337" s="40"/>
    </row>
    <row r="338" spans="1:13">
      <c r="B338" s="40" t="str">
        <f t="shared" si="65"/>
        <v>2</v>
      </c>
      <c r="C338" s="40">
        <v>2</v>
      </c>
      <c r="D338" s="101"/>
      <c r="E338" s="102" t="s">
        <v>72</v>
      </c>
      <c r="F338" s="103"/>
      <c r="G338" s="104"/>
      <c r="H338" s="55" t="s">
        <v>116</v>
      </c>
      <c r="I338" s="86">
        <v>1</v>
      </c>
      <c r="J338" s="96" t="b" cm="1">
        <f t="array" aca="1" ref="J338" ca="1">INDIRECT(H338)=I338</f>
        <v>0</v>
      </c>
      <c r="K338" s="55"/>
      <c r="L338" s="40"/>
      <c r="M338" s="40"/>
    </row>
    <row r="339" spans="1:13">
      <c r="B339" s="40" t="str">
        <f t="shared" si="65"/>
        <v>3</v>
      </c>
      <c r="C339" s="40">
        <v>3</v>
      </c>
      <c r="D339" s="101"/>
      <c r="E339" s="102" t="s">
        <v>441</v>
      </c>
      <c r="F339" s="103" t="s">
        <v>152</v>
      </c>
      <c r="G339" s="104"/>
      <c r="H339" s="86" t="s">
        <v>120</v>
      </c>
      <c r="I339" s="86">
        <v>0</v>
      </c>
      <c r="J339" s="96" t="b" cm="1">
        <f t="array" aca="1" ref="J339" ca="1">INDIRECT(H339)=I339</f>
        <v>1</v>
      </c>
      <c r="K339" s="55"/>
      <c r="L339" s="40"/>
      <c r="M339" s="40"/>
    </row>
    <row r="340" spans="1:13">
      <c r="B340" s="40" t="str">
        <f t="shared" si="65"/>
        <v>4</v>
      </c>
      <c r="C340" s="40">
        <v>4</v>
      </c>
      <c r="D340" s="101"/>
      <c r="E340" s="102"/>
      <c r="F340" s="103"/>
      <c r="G340" s="104"/>
      <c r="H340" s="86" t="s">
        <v>119</v>
      </c>
      <c r="I340" s="86">
        <v>1</v>
      </c>
      <c r="J340" s="96" t="b" cm="1">
        <f t="array" aca="1" ref="J340" ca="1">INDIRECT(H340)=I340</f>
        <v>0</v>
      </c>
      <c r="K340" s="55"/>
      <c r="L340" s="40"/>
      <c r="M340" s="40"/>
    </row>
    <row r="341" spans="1:13">
      <c r="B341" s="40" t="str">
        <f t="shared" si="65"/>
        <v>5</v>
      </c>
      <c r="C341" s="40">
        <v>5</v>
      </c>
      <c r="D341" s="101"/>
      <c r="E341" s="102"/>
      <c r="F341" s="103"/>
      <c r="G341" s="104"/>
      <c r="H341" s="86" t="s">
        <v>115</v>
      </c>
      <c r="I341" s="86">
        <v>1</v>
      </c>
      <c r="J341" s="96" t="b" cm="1">
        <f t="array" aca="1" ref="J341" ca="1">INDIRECT(H341)=I341</f>
        <v>0</v>
      </c>
      <c r="K341" s="55"/>
      <c r="L341" s="40"/>
      <c r="M341" s="40"/>
    </row>
    <row r="342" spans="1:13">
      <c r="B342" s="40" t="str">
        <f t="shared" si="65"/>
        <v>6</v>
      </c>
      <c r="C342" s="40">
        <v>6</v>
      </c>
      <c r="D342" s="101"/>
      <c r="E342" s="102" t="s">
        <v>192</v>
      </c>
      <c r="F342" s="103"/>
      <c r="G342" s="104"/>
      <c r="H342" s="86" t="s">
        <v>128</v>
      </c>
      <c r="I342" s="86">
        <v>1</v>
      </c>
      <c r="J342" s="96" t="b" cm="1">
        <f t="array" aca="1" ref="J342" ca="1">INDIRECT(H342)=I342</f>
        <v>0</v>
      </c>
      <c r="K342" s="55"/>
      <c r="L342" s="40"/>
      <c r="M342" s="40"/>
    </row>
    <row r="343" spans="1:13" ht="15.75" thickBot="1"/>
    <row r="344" spans="1:13" ht="15.75" thickBot="1">
      <c r="A344" s="20" t="s">
        <v>400</v>
      </c>
      <c r="B344" s="41" t="s">
        <v>143</v>
      </c>
      <c r="C344" s="41" t="s">
        <v>144</v>
      </c>
      <c r="D344" s="54" t="s">
        <v>131</v>
      </c>
      <c r="E344" s="42" t="s">
        <v>150</v>
      </c>
      <c r="F344" s="54" t="s">
        <v>129</v>
      </c>
      <c r="G344" s="54" t="s">
        <v>130</v>
      </c>
      <c r="H344" s="54" t="s">
        <v>254</v>
      </c>
      <c r="I344" s="80" t="s">
        <v>213</v>
      </c>
      <c r="J344" s="53">
        <f ca="1">IFERROR(IF(AND(J345:J350),0,1),0)</f>
        <v>1</v>
      </c>
      <c r="K344" s="128" t="s">
        <v>444</v>
      </c>
      <c r="L344" s="70" t="s">
        <v>445</v>
      </c>
      <c r="M344" s="20">
        <f>IFERROR(VLOOKUP(A344,$P$6:$R$1048576,3,0),0)</f>
        <v>0</v>
      </c>
    </row>
    <row r="345" spans="1:13">
      <c r="B345" s="40" t="str">
        <f t="shared" ref="B345:B351" si="66">DEC2HEX(C345)</f>
        <v>0</v>
      </c>
      <c r="C345" s="40">
        <v>0</v>
      </c>
      <c r="D345" s="101"/>
      <c r="E345" s="102" t="s">
        <v>149</v>
      </c>
      <c r="F345" s="103" t="s">
        <v>154</v>
      </c>
      <c r="G345" s="104" t="s">
        <v>272</v>
      </c>
      <c r="H345" s="55" t="s">
        <v>154</v>
      </c>
      <c r="I345" s="86" t="s">
        <v>209</v>
      </c>
      <c r="J345" s="94" t="b" cm="1">
        <f t="array" aca="1" ref="J345" ca="1">RIGHT("00"&amp;INDIRECT("R_"&amp;H345),2)=RIGHT("00"&amp;I345,2)</f>
        <v>0</v>
      </c>
      <c r="K345" s="55"/>
      <c r="L345" s="40"/>
      <c r="M345" s="40"/>
    </row>
    <row r="346" spans="1:13">
      <c r="B346" s="40" t="str">
        <f t="shared" si="66"/>
        <v>1</v>
      </c>
      <c r="C346" s="40">
        <v>1</v>
      </c>
      <c r="D346" s="101"/>
      <c r="E346" s="102" t="s">
        <v>72</v>
      </c>
      <c r="F346" s="103"/>
      <c r="G346" s="104"/>
      <c r="H346" s="55"/>
      <c r="I346" s="55"/>
      <c r="J346" s="55"/>
      <c r="K346" s="55"/>
      <c r="L346" s="40"/>
      <c r="M346" s="40"/>
    </row>
    <row r="347" spans="1:13">
      <c r="B347" s="40" t="str">
        <f t="shared" si="66"/>
        <v>2</v>
      </c>
      <c r="C347" s="40">
        <v>2</v>
      </c>
      <c r="D347" s="101"/>
      <c r="E347" s="102" t="s">
        <v>446</v>
      </c>
      <c r="F347" s="103" t="s">
        <v>306</v>
      </c>
      <c r="G347" s="104"/>
      <c r="H347" s="55" t="s">
        <v>116</v>
      </c>
      <c r="I347" s="86">
        <v>1</v>
      </c>
      <c r="J347" s="96" t="b" cm="1">
        <f t="array" aca="1" ref="J347" ca="1">INDIRECT(H347)=I347</f>
        <v>0</v>
      </c>
      <c r="K347" s="55"/>
      <c r="L347" s="40"/>
      <c r="M347" s="40"/>
    </row>
    <row r="348" spans="1:13">
      <c r="B348" s="40" t="str">
        <f t="shared" si="66"/>
        <v>3</v>
      </c>
      <c r="C348" s="40">
        <v>3</v>
      </c>
      <c r="D348" s="101"/>
      <c r="E348" s="102"/>
      <c r="F348" s="103"/>
      <c r="G348" s="104"/>
      <c r="H348" s="86" t="s">
        <v>120</v>
      </c>
      <c r="I348" s="86">
        <v>0</v>
      </c>
      <c r="J348" s="96" t="b" cm="1">
        <f t="array" aca="1" ref="J348" ca="1">INDIRECT(H348)=I348</f>
        <v>1</v>
      </c>
      <c r="K348" s="55"/>
      <c r="L348" s="40"/>
      <c r="M348" s="40"/>
    </row>
    <row r="349" spans="1:13">
      <c r="B349" s="40" t="str">
        <f t="shared" si="66"/>
        <v>4</v>
      </c>
      <c r="C349" s="40">
        <v>4</v>
      </c>
      <c r="D349" s="101"/>
      <c r="E349" s="102"/>
      <c r="F349" s="103"/>
      <c r="G349" s="104"/>
      <c r="H349" s="86" t="s">
        <v>119</v>
      </c>
      <c r="I349" s="86">
        <v>0</v>
      </c>
      <c r="J349" s="96" t="b" cm="1">
        <f t="array" aca="1" ref="J349" ca="1">INDIRECT(H349)=I349</f>
        <v>1</v>
      </c>
      <c r="K349" s="55"/>
      <c r="L349" s="40"/>
      <c r="M349" s="40"/>
    </row>
    <row r="350" spans="1:13">
      <c r="B350" s="40" t="str">
        <f t="shared" si="66"/>
        <v>5</v>
      </c>
      <c r="C350" s="40">
        <v>5</v>
      </c>
      <c r="D350" s="101"/>
      <c r="E350" s="102"/>
      <c r="F350" s="103"/>
      <c r="G350" s="104"/>
      <c r="H350" s="86" t="s">
        <v>115</v>
      </c>
      <c r="I350" s="86">
        <v>0</v>
      </c>
      <c r="J350" s="96" t="b" cm="1">
        <f t="array" aca="1" ref="J350" ca="1">INDIRECT(H350)=I350</f>
        <v>1</v>
      </c>
      <c r="K350" s="55"/>
      <c r="L350" s="40"/>
      <c r="M350" s="40"/>
    </row>
    <row r="351" spans="1:13">
      <c r="B351" s="40" t="str">
        <f t="shared" si="66"/>
        <v>6</v>
      </c>
      <c r="C351" s="40">
        <v>6</v>
      </c>
      <c r="D351" s="101"/>
      <c r="E351" s="102" t="s">
        <v>192</v>
      </c>
      <c r="F351" s="103"/>
      <c r="G351" s="104"/>
      <c r="H351" s="86" t="s">
        <v>128</v>
      </c>
      <c r="I351" s="86">
        <v>1</v>
      </c>
      <c r="J351" s="96" t="b" cm="1">
        <f t="array" aca="1" ref="J351" ca="1">INDIRECT(H351)=I351</f>
        <v>0</v>
      </c>
      <c r="K351" s="55"/>
      <c r="L351" s="40"/>
      <c r="M351" s="40"/>
    </row>
    <row r="352" spans="1:13" ht="15.75" thickBot="1"/>
    <row r="353" spans="1:13" ht="15.75" thickBot="1">
      <c r="A353" s="20" t="s">
        <v>401</v>
      </c>
      <c r="B353" s="41" t="s">
        <v>143</v>
      </c>
      <c r="C353" s="41" t="s">
        <v>144</v>
      </c>
      <c r="D353" s="54" t="s">
        <v>131</v>
      </c>
      <c r="E353" s="42" t="s">
        <v>150</v>
      </c>
      <c r="F353" s="54" t="s">
        <v>129</v>
      </c>
      <c r="G353" s="54" t="s">
        <v>130</v>
      </c>
      <c r="H353" s="54" t="s">
        <v>254</v>
      </c>
      <c r="I353" s="80" t="s">
        <v>213</v>
      </c>
      <c r="J353" s="53">
        <f ca="1">IFERROR(IF(AND(J354:J359),0,1),0)</f>
        <v>1</v>
      </c>
      <c r="K353" s="128" t="s">
        <v>444</v>
      </c>
      <c r="L353" s="70" t="s">
        <v>447</v>
      </c>
      <c r="M353" s="20">
        <f>IFERROR(VLOOKUP(A353,$P$6:$R$1048576,3,0),0)</f>
        <v>0</v>
      </c>
    </row>
    <row r="354" spans="1:13">
      <c r="B354" s="40" t="str">
        <f t="shared" ref="B354:B360" si="67">DEC2HEX(C354)</f>
        <v>0</v>
      </c>
      <c r="C354" s="40">
        <v>0</v>
      </c>
      <c r="D354" s="101"/>
      <c r="E354" s="102" t="s">
        <v>149</v>
      </c>
      <c r="F354" s="103" t="s">
        <v>154</v>
      </c>
      <c r="G354" s="104" t="s">
        <v>239</v>
      </c>
      <c r="H354" s="55" t="s">
        <v>154</v>
      </c>
      <c r="I354" s="86" t="s">
        <v>272</v>
      </c>
      <c r="J354" s="94" t="b" cm="1">
        <f t="array" aca="1" ref="J354" ca="1">RIGHT("00"&amp;INDIRECT("R_"&amp;H354),2)=RIGHT("00"&amp;I354,2)</f>
        <v>0</v>
      </c>
      <c r="K354" s="55"/>
      <c r="L354" s="40"/>
      <c r="M354" s="40"/>
    </row>
    <row r="355" spans="1:13">
      <c r="B355" s="40" t="str">
        <f t="shared" si="67"/>
        <v>1</v>
      </c>
      <c r="C355" s="40">
        <v>1</v>
      </c>
      <c r="D355" s="101"/>
      <c r="E355" s="102" t="s">
        <v>149</v>
      </c>
      <c r="F355" s="103" t="s">
        <v>152</v>
      </c>
      <c r="G355" s="104" t="s">
        <v>306</v>
      </c>
      <c r="H355" s="55"/>
      <c r="I355" s="55"/>
      <c r="J355" s="55"/>
      <c r="K355" s="55"/>
      <c r="L355" s="40"/>
      <c r="M355" s="40"/>
    </row>
    <row r="356" spans="1:13">
      <c r="B356" s="40" t="str">
        <f t="shared" si="67"/>
        <v>2</v>
      </c>
      <c r="C356" s="40">
        <v>2</v>
      </c>
      <c r="D356" s="101"/>
      <c r="E356" s="102" t="s">
        <v>448</v>
      </c>
      <c r="F356" s="103" t="s">
        <v>152</v>
      </c>
      <c r="G356" s="104"/>
      <c r="H356" s="55" t="s">
        <v>116</v>
      </c>
      <c r="I356" s="86">
        <v>1</v>
      </c>
      <c r="J356" s="96" t="b" cm="1">
        <f t="array" aca="1" ref="J356" ca="1">INDIRECT(H356)=I356</f>
        <v>0</v>
      </c>
      <c r="K356" s="55"/>
      <c r="L356" s="40"/>
      <c r="M356" s="40"/>
    </row>
    <row r="357" spans="1:13">
      <c r="B357" s="40" t="str">
        <f t="shared" si="67"/>
        <v>3</v>
      </c>
      <c r="C357" s="40">
        <v>3</v>
      </c>
      <c r="D357" s="101"/>
      <c r="E357" s="102"/>
      <c r="F357" s="103"/>
      <c r="G357" s="104"/>
      <c r="H357" s="86" t="s">
        <v>120</v>
      </c>
      <c r="I357" s="86">
        <v>0</v>
      </c>
      <c r="J357" s="96" t="b" cm="1">
        <f t="array" aca="1" ref="J357" ca="1">INDIRECT(H357)=I357</f>
        <v>1</v>
      </c>
      <c r="K357" s="55"/>
      <c r="L357" s="40"/>
      <c r="M357" s="40"/>
    </row>
    <row r="358" spans="1:13">
      <c r="B358" s="40" t="str">
        <f t="shared" si="67"/>
        <v>4</v>
      </c>
      <c r="C358" s="40">
        <v>4</v>
      </c>
      <c r="D358" s="101"/>
      <c r="E358" s="102"/>
      <c r="F358" s="103"/>
      <c r="G358" s="104"/>
      <c r="H358" s="86" t="s">
        <v>119</v>
      </c>
      <c r="I358" s="86">
        <v>0</v>
      </c>
      <c r="J358" s="96" t="b" cm="1">
        <f t="array" aca="1" ref="J358" ca="1">INDIRECT(H358)=I358</f>
        <v>1</v>
      </c>
      <c r="K358" s="55"/>
      <c r="L358" s="40"/>
      <c r="M358" s="40"/>
    </row>
    <row r="359" spans="1:13">
      <c r="B359" s="40" t="str">
        <f t="shared" si="67"/>
        <v>5</v>
      </c>
      <c r="C359" s="40">
        <v>5</v>
      </c>
      <c r="D359" s="101"/>
      <c r="E359" s="102"/>
      <c r="F359" s="103"/>
      <c r="G359" s="104"/>
      <c r="H359" s="86" t="s">
        <v>115</v>
      </c>
      <c r="I359" s="86">
        <v>0</v>
      </c>
      <c r="J359" s="96" t="b" cm="1">
        <f t="array" aca="1" ref="J359" ca="1">INDIRECT(H359)=I359</f>
        <v>1</v>
      </c>
      <c r="K359" s="55"/>
      <c r="L359" s="40"/>
      <c r="M359" s="40"/>
    </row>
    <row r="360" spans="1:13">
      <c r="B360" s="40" t="str">
        <f t="shared" si="67"/>
        <v>6</v>
      </c>
      <c r="C360" s="40">
        <v>6</v>
      </c>
      <c r="D360" s="101"/>
      <c r="E360" s="102" t="s">
        <v>192</v>
      </c>
      <c r="F360" s="103"/>
      <c r="G360" s="104"/>
      <c r="H360" s="86" t="s">
        <v>128</v>
      </c>
      <c r="I360" s="86">
        <v>1</v>
      </c>
      <c r="J360" s="96" t="b" cm="1">
        <f t="array" aca="1" ref="J360" ca="1">INDIRECT(H360)=I360</f>
        <v>0</v>
      </c>
      <c r="K360" s="55"/>
      <c r="L360" s="40"/>
      <c r="M360" s="40"/>
    </row>
    <row r="361" spans="1:13" ht="15.75" thickBot="1"/>
    <row r="362" spans="1:13" ht="15.75" thickBot="1">
      <c r="A362" s="20" t="s">
        <v>402</v>
      </c>
      <c r="B362" s="41" t="s">
        <v>143</v>
      </c>
      <c r="C362" s="41" t="s">
        <v>144</v>
      </c>
      <c r="D362" s="54" t="s">
        <v>131</v>
      </c>
      <c r="E362" s="42" t="s">
        <v>150</v>
      </c>
      <c r="F362" s="54" t="s">
        <v>129</v>
      </c>
      <c r="G362" s="54" t="s">
        <v>130</v>
      </c>
      <c r="H362" s="54" t="s">
        <v>254</v>
      </c>
      <c r="I362" s="80" t="s">
        <v>213</v>
      </c>
      <c r="J362" s="53">
        <f ca="1">IFERROR(IF(AND(J363:J368),0,1),0)</f>
        <v>1</v>
      </c>
      <c r="K362" s="128" t="s">
        <v>444</v>
      </c>
      <c r="L362" s="70" t="s">
        <v>449</v>
      </c>
      <c r="M362" s="20">
        <f>IFERROR(VLOOKUP(A362,$P$6:$R$1048576,3,0),0)</f>
        <v>0</v>
      </c>
    </row>
    <row r="363" spans="1:13">
      <c r="B363" s="40" t="str">
        <f t="shared" ref="B363:B369" si="68">DEC2HEX(C363)</f>
        <v>0</v>
      </c>
      <c r="C363" s="40">
        <v>0</v>
      </c>
      <c r="D363" s="101"/>
      <c r="E363" s="102" t="s">
        <v>149</v>
      </c>
      <c r="F363" s="103" t="s">
        <v>154</v>
      </c>
      <c r="G363" s="104" t="s">
        <v>223</v>
      </c>
      <c r="H363" s="55" t="s">
        <v>154</v>
      </c>
      <c r="I363" s="86" t="s">
        <v>148</v>
      </c>
      <c r="J363" s="94" t="b" cm="1">
        <f t="array" aca="1" ref="J363" ca="1">RIGHT("00"&amp;INDIRECT("R_"&amp;H363),2)=RIGHT("00"&amp;I363,2)</f>
        <v>0</v>
      </c>
      <c r="K363" s="55"/>
      <c r="L363" s="40"/>
      <c r="M363" s="40"/>
    </row>
    <row r="364" spans="1:13">
      <c r="B364" s="40" t="str">
        <f t="shared" si="68"/>
        <v>1</v>
      </c>
      <c r="C364" s="40">
        <v>1</v>
      </c>
      <c r="D364" s="101"/>
      <c r="E364" s="102" t="s">
        <v>450</v>
      </c>
      <c r="F364" s="103" t="s">
        <v>306</v>
      </c>
      <c r="G364" s="104"/>
      <c r="H364" s="55"/>
      <c r="I364" s="55"/>
      <c r="J364" s="55"/>
      <c r="K364" s="55"/>
      <c r="L364" s="40"/>
      <c r="M364" s="40"/>
    </row>
    <row r="365" spans="1:13">
      <c r="B365" s="40" t="str">
        <f t="shared" si="68"/>
        <v>2</v>
      </c>
      <c r="C365" s="40">
        <v>2</v>
      </c>
      <c r="D365" s="101"/>
      <c r="E365" s="102"/>
      <c r="F365" s="103"/>
      <c r="G365" s="104"/>
      <c r="H365" s="55" t="s">
        <v>116</v>
      </c>
      <c r="I365" s="86">
        <v>1</v>
      </c>
      <c r="J365" s="96" t="b" cm="1">
        <f t="array" aca="1" ref="J365" ca="1">INDIRECT(H365)=I365</f>
        <v>0</v>
      </c>
      <c r="K365" s="55"/>
      <c r="L365" s="40"/>
      <c r="M365" s="40"/>
    </row>
    <row r="366" spans="1:13">
      <c r="B366" s="40" t="str">
        <f t="shared" si="68"/>
        <v>3</v>
      </c>
      <c r="C366" s="40">
        <v>3</v>
      </c>
      <c r="D366" s="101"/>
      <c r="E366" s="102"/>
      <c r="F366" s="103"/>
      <c r="G366" s="104"/>
      <c r="H366" s="86" t="s">
        <v>120</v>
      </c>
      <c r="I366" s="86">
        <v>1</v>
      </c>
      <c r="J366" s="96" t="b" cm="1">
        <f t="array" aca="1" ref="J366" ca="1">INDIRECT(H366)=I366</f>
        <v>0</v>
      </c>
      <c r="K366" s="55"/>
      <c r="L366" s="40"/>
      <c r="M366" s="40"/>
    </row>
    <row r="367" spans="1:13">
      <c r="B367" s="40" t="str">
        <f t="shared" si="68"/>
        <v>4</v>
      </c>
      <c r="C367" s="40">
        <v>4</v>
      </c>
      <c r="D367" s="101"/>
      <c r="E367" s="102"/>
      <c r="F367" s="103"/>
      <c r="G367" s="104"/>
      <c r="H367" s="86" t="s">
        <v>119</v>
      </c>
      <c r="I367" s="86">
        <v>0</v>
      </c>
      <c r="J367" s="96" t="b" cm="1">
        <f t="array" aca="1" ref="J367" ca="1">INDIRECT(H367)=I367</f>
        <v>1</v>
      </c>
      <c r="K367" s="55"/>
      <c r="L367" s="40"/>
      <c r="M367" s="40"/>
    </row>
    <row r="368" spans="1:13">
      <c r="B368" s="40" t="str">
        <f t="shared" si="68"/>
        <v>5</v>
      </c>
      <c r="C368" s="40">
        <v>5</v>
      </c>
      <c r="D368" s="101"/>
      <c r="E368" s="102" t="s">
        <v>192</v>
      </c>
      <c r="F368" s="103"/>
      <c r="G368" s="104"/>
      <c r="H368" s="86" t="s">
        <v>115</v>
      </c>
      <c r="I368" s="86">
        <v>1</v>
      </c>
      <c r="J368" s="96" t="b" cm="1">
        <f t="array" aca="1" ref="J368" ca="1">INDIRECT(H368)=I368</f>
        <v>0</v>
      </c>
      <c r="K368" s="55"/>
      <c r="L368" s="40"/>
      <c r="M368" s="40"/>
    </row>
    <row r="369" spans="2:13">
      <c r="B369" s="40" t="str">
        <f t="shared" si="68"/>
        <v>6</v>
      </c>
      <c r="C369" s="40">
        <v>6</v>
      </c>
      <c r="D369" s="101"/>
      <c r="E369" s="102"/>
      <c r="F369" s="103"/>
      <c r="G369" s="104"/>
      <c r="H369" s="86" t="s">
        <v>128</v>
      </c>
      <c r="I369" s="86">
        <v>1</v>
      </c>
      <c r="J369" s="96" t="b" cm="1">
        <f t="array" aca="1" ref="J369" ca="1">INDIRECT(H369)=I369</f>
        <v>0</v>
      </c>
      <c r="K369" s="55"/>
      <c r="L369" s="40"/>
      <c r="M369" s="40"/>
    </row>
  </sheetData>
  <mergeCells count="2">
    <mergeCell ref="U4:AB4"/>
    <mergeCell ref="U5:AB34"/>
  </mergeCells>
  <phoneticPr fontId="16" type="noConversion"/>
  <conditionalFormatting sqref="J4:K4">
    <cfRule type="cellIs" dxfId="219" priority="317" operator="equal">
      <formula>0</formula>
    </cfRule>
    <cfRule type="cellIs" dxfId="218" priority="318" operator="equal">
      <formula>1</formula>
    </cfRule>
  </conditionalFormatting>
  <conditionalFormatting sqref="J11:K11">
    <cfRule type="cellIs" dxfId="217" priority="315" operator="equal">
      <formula>0</formula>
    </cfRule>
    <cfRule type="cellIs" dxfId="216" priority="316" operator="equal">
      <formula>1</formula>
    </cfRule>
  </conditionalFormatting>
  <conditionalFormatting sqref="J16:K16">
    <cfRule type="cellIs" dxfId="215" priority="313" operator="equal">
      <formula>0</formula>
    </cfRule>
    <cfRule type="cellIs" dxfId="214" priority="314" operator="equal">
      <formula>1</formula>
    </cfRule>
  </conditionalFormatting>
  <conditionalFormatting sqref="J29:K29">
    <cfRule type="cellIs" dxfId="213" priority="309" operator="equal">
      <formula>0</formula>
    </cfRule>
    <cfRule type="cellIs" dxfId="212" priority="310" operator="equal">
      <formula>1</formula>
    </cfRule>
  </conditionalFormatting>
  <conditionalFormatting sqref="M4">
    <cfRule type="cellIs" dxfId="211" priority="307" operator="equal">
      <formula>0</formula>
    </cfRule>
    <cfRule type="cellIs" dxfId="210" priority="308" operator="equal">
      <formula>1</formula>
    </cfRule>
  </conditionalFormatting>
  <conditionalFormatting sqref="J38:K38">
    <cfRule type="cellIs" dxfId="209" priority="297" operator="equal">
      <formula>0</formula>
    </cfRule>
    <cfRule type="cellIs" dxfId="208" priority="298" operator="equal">
      <formula>1</formula>
    </cfRule>
  </conditionalFormatting>
  <conditionalFormatting sqref="K49">
    <cfRule type="cellIs" dxfId="207" priority="293" operator="equal">
      <formula>0</formula>
    </cfRule>
    <cfRule type="cellIs" dxfId="206" priority="294" operator="equal">
      <formula>1</formula>
    </cfRule>
  </conditionalFormatting>
  <conditionalFormatting sqref="K66">
    <cfRule type="cellIs" dxfId="205" priority="285" operator="equal">
      <formula>0</formula>
    </cfRule>
    <cfRule type="cellIs" dxfId="204" priority="286" operator="equal">
      <formula>1</formula>
    </cfRule>
  </conditionalFormatting>
  <conditionalFormatting sqref="K57">
    <cfRule type="cellIs" dxfId="203" priority="281" operator="equal">
      <formula>0</formula>
    </cfRule>
    <cfRule type="cellIs" dxfId="202" priority="282" operator="equal">
      <formula>1</formula>
    </cfRule>
  </conditionalFormatting>
  <conditionalFormatting sqref="J49">
    <cfRule type="cellIs" dxfId="201" priority="277" operator="equal">
      <formula>0</formula>
    </cfRule>
    <cfRule type="cellIs" dxfId="200" priority="278" operator="equal">
      <formula>1</formula>
    </cfRule>
  </conditionalFormatting>
  <conditionalFormatting sqref="J57">
    <cfRule type="cellIs" dxfId="199" priority="275" operator="equal">
      <formula>0</formula>
    </cfRule>
    <cfRule type="cellIs" dxfId="198" priority="276" operator="equal">
      <formula>1</formula>
    </cfRule>
  </conditionalFormatting>
  <conditionalFormatting sqref="J66">
    <cfRule type="cellIs" dxfId="197" priority="273" operator="equal">
      <formula>0</formula>
    </cfRule>
    <cfRule type="cellIs" dxfId="196" priority="274" operator="equal">
      <formula>1</formula>
    </cfRule>
  </conditionalFormatting>
  <conditionalFormatting sqref="K74">
    <cfRule type="cellIs" dxfId="195" priority="271" operator="equal">
      <formula>0</formula>
    </cfRule>
    <cfRule type="cellIs" dxfId="194" priority="272" operator="equal">
      <formula>1</formula>
    </cfRule>
  </conditionalFormatting>
  <conditionalFormatting sqref="J74">
    <cfRule type="cellIs" dxfId="193" priority="267" operator="equal">
      <formula>0</formula>
    </cfRule>
    <cfRule type="cellIs" dxfId="192" priority="268" operator="equal">
      <formula>1</formula>
    </cfRule>
  </conditionalFormatting>
  <conditionalFormatting sqref="R6:R52">
    <cfRule type="cellIs" dxfId="191" priority="265" operator="equal">
      <formula>0</formula>
    </cfRule>
    <cfRule type="cellIs" dxfId="190" priority="266" operator="equal">
      <formula>1</formula>
    </cfRule>
  </conditionalFormatting>
  <conditionalFormatting sqref="K83">
    <cfRule type="cellIs" dxfId="189" priority="247" operator="equal">
      <formula>0</formula>
    </cfRule>
    <cfRule type="cellIs" dxfId="188" priority="248" operator="equal">
      <formula>1</formula>
    </cfRule>
  </conditionalFormatting>
  <conditionalFormatting sqref="J83">
    <cfRule type="cellIs" dxfId="187" priority="245" operator="equal">
      <formula>0</formula>
    </cfRule>
    <cfRule type="cellIs" dxfId="186" priority="246" operator="equal">
      <formula>1</formula>
    </cfRule>
  </conditionalFormatting>
  <conditionalFormatting sqref="K97">
    <cfRule type="cellIs" dxfId="185" priority="241" operator="equal">
      <formula>0</formula>
    </cfRule>
    <cfRule type="cellIs" dxfId="184" priority="242" operator="equal">
      <formula>1</formula>
    </cfRule>
  </conditionalFormatting>
  <conditionalFormatting sqref="J97">
    <cfRule type="cellIs" dxfId="183" priority="239" operator="equal">
      <formula>0</formula>
    </cfRule>
    <cfRule type="cellIs" dxfId="182" priority="240" operator="equal">
      <formula>1</formula>
    </cfRule>
  </conditionalFormatting>
  <conditionalFormatting sqref="K105">
    <cfRule type="cellIs" dxfId="181" priority="229" operator="equal">
      <formula>0</formula>
    </cfRule>
    <cfRule type="cellIs" dxfId="180" priority="230" operator="equal">
      <formula>1</formula>
    </cfRule>
  </conditionalFormatting>
  <conditionalFormatting sqref="J105">
    <cfRule type="cellIs" dxfId="179" priority="227" operator="equal">
      <formula>0</formula>
    </cfRule>
    <cfRule type="cellIs" dxfId="178" priority="228" operator="equal">
      <formula>1</formula>
    </cfRule>
  </conditionalFormatting>
  <conditionalFormatting sqref="K113">
    <cfRule type="cellIs" dxfId="177" priority="223" operator="equal">
      <formula>0</formula>
    </cfRule>
    <cfRule type="cellIs" dxfId="176" priority="224" operator="equal">
      <formula>1</formula>
    </cfRule>
  </conditionalFormatting>
  <conditionalFormatting sqref="M11">
    <cfRule type="cellIs" dxfId="175" priority="215" operator="equal">
      <formula>0</formula>
    </cfRule>
    <cfRule type="cellIs" dxfId="174" priority="216" operator="equal">
      <formula>1</formula>
    </cfRule>
  </conditionalFormatting>
  <conditionalFormatting sqref="M16">
    <cfRule type="cellIs" dxfId="173" priority="213" operator="equal">
      <formula>0</formula>
    </cfRule>
    <cfRule type="cellIs" dxfId="172" priority="214" operator="equal">
      <formula>1</formula>
    </cfRule>
  </conditionalFormatting>
  <conditionalFormatting sqref="M29">
    <cfRule type="cellIs" dxfId="171" priority="211" operator="equal">
      <formula>0</formula>
    </cfRule>
    <cfRule type="cellIs" dxfId="170" priority="212" operator="equal">
      <formula>1</formula>
    </cfRule>
  </conditionalFormatting>
  <conditionalFormatting sqref="M38">
    <cfRule type="cellIs" dxfId="169" priority="209" operator="equal">
      <formula>0</formula>
    </cfRule>
    <cfRule type="cellIs" dxfId="168" priority="210" operator="equal">
      <formula>1</formula>
    </cfRule>
  </conditionalFormatting>
  <conditionalFormatting sqref="M49">
    <cfRule type="cellIs" dxfId="167" priority="207" operator="equal">
      <formula>0</formula>
    </cfRule>
    <cfRule type="cellIs" dxfId="166" priority="208" operator="equal">
      <formula>1</formula>
    </cfRule>
  </conditionalFormatting>
  <conditionalFormatting sqref="M57">
    <cfRule type="cellIs" dxfId="165" priority="205" operator="equal">
      <formula>0</formula>
    </cfRule>
    <cfRule type="cellIs" dxfId="164" priority="206" operator="equal">
      <formula>1</formula>
    </cfRule>
  </conditionalFormatting>
  <conditionalFormatting sqref="M66">
    <cfRule type="cellIs" dxfId="163" priority="203" operator="equal">
      <formula>0</formula>
    </cfRule>
    <cfRule type="cellIs" dxfId="162" priority="204" operator="equal">
      <formula>1</formula>
    </cfRule>
  </conditionalFormatting>
  <conditionalFormatting sqref="M74">
    <cfRule type="cellIs" dxfId="161" priority="201" operator="equal">
      <formula>0</formula>
    </cfRule>
    <cfRule type="cellIs" dxfId="160" priority="202" operator="equal">
      <formula>1</formula>
    </cfRule>
  </conditionalFormatting>
  <conditionalFormatting sqref="M83">
    <cfRule type="cellIs" dxfId="159" priority="199" operator="equal">
      <formula>0</formula>
    </cfRule>
    <cfRule type="cellIs" dxfId="158" priority="200" operator="equal">
      <formula>1</formula>
    </cfRule>
  </conditionalFormatting>
  <conditionalFormatting sqref="M97">
    <cfRule type="cellIs" dxfId="157" priority="197" operator="equal">
      <formula>0</formula>
    </cfRule>
    <cfRule type="cellIs" dxfId="156" priority="198" operator="equal">
      <formula>1</formula>
    </cfRule>
  </conditionalFormatting>
  <conditionalFormatting sqref="M105">
    <cfRule type="cellIs" dxfId="155" priority="195" operator="equal">
      <formula>0</formula>
    </cfRule>
    <cfRule type="cellIs" dxfId="154" priority="196" operator="equal">
      <formula>1</formula>
    </cfRule>
  </conditionalFormatting>
  <conditionalFormatting sqref="M113">
    <cfRule type="cellIs" dxfId="153" priority="193" operator="equal">
      <formula>0</formula>
    </cfRule>
    <cfRule type="cellIs" dxfId="152" priority="194" operator="equal">
      <formula>1</formula>
    </cfRule>
  </conditionalFormatting>
  <conditionalFormatting sqref="K125">
    <cfRule type="cellIs" dxfId="151" priority="185" operator="equal">
      <formula>0</formula>
    </cfRule>
    <cfRule type="cellIs" dxfId="150" priority="186" operator="equal">
      <formula>1</formula>
    </cfRule>
  </conditionalFormatting>
  <conditionalFormatting sqref="M125">
    <cfRule type="cellIs" dxfId="149" priority="181" operator="equal">
      <formula>0</formula>
    </cfRule>
    <cfRule type="cellIs" dxfId="148" priority="182" operator="equal">
      <formula>1</formula>
    </cfRule>
  </conditionalFormatting>
  <conditionalFormatting sqref="K135">
    <cfRule type="cellIs" dxfId="147" priority="171" operator="equal">
      <formula>0</formula>
    </cfRule>
    <cfRule type="cellIs" dxfId="146" priority="172" operator="equal">
      <formula>1</formula>
    </cfRule>
  </conditionalFormatting>
  <conditionalFormatting sqref="M135">
    <cfRule type="cellIs" dxfId="145" priority="167" operator="equal">
      <formula>0</formula>
    </cfRule>
    <cfRule type="cellIs" dxfId="144" priority="168" operator="equal">
      <formula>1</formula>
    </cfRule>
  </conditionalFormatting>
  <conditionalFormatting sqref="J125">
    <cfRule type="cellIs" dxfId="143" priority="165" operator="equal">
      <formula>0</formula>
    </cfRule>
    <cfRule type="cellIs" dxfId="142" priority="166" operator="equal">
      <formula>1</formula>
    </cfRule>
  </conditionalFormatting>
  <conditionalFormatting sqref="J135">
    <cfRule type="cellIs" dxfId="141" priority="163" operator="equal">
      <formula>0</formula>
    </cfRule>
    <cfRule type="cellIs" dxfId="140" priority="164" operator="equal">
      <formula>1</formula>
    </cfRule>
  </conditionalFormatting>
  <conditionalFormatting sqref="J113">
    <cfRule type="cellIs" dxfId="139" priority="161" operator="equal">
      <formula>0</formula>
    </cfRule>
    <cfRule type="cellIs" dxfId="138" priority="162" operator="equal">
      <formula>1</formula>
    </cfRule>
  </conditionalFormatting>
  <conditionalFormatting sqref="K148">
    <cfRule type="cellIs" dxfId="137" priority="159" operator="equal">
      <formula>0</formula>
    </cfRule>
    <cfRule type="cellIs" dxfId="136" priority="160" operator="equal">
      <formula>1</formula>
    </cfRule>
  </conditionalFormatting>
  <conditionalFormatting sqref="J148">
    <cfRule type="cellIs" dxfId="135" priority="153" operator="equal">
      <formula>0</formula>
    </cfRule>
    <cfRule type="cellIs" dxfId="134" priority="154" operator="equal">
      <formula>1</formula>
    </cfRule>
  </conditionalFormatting>
  <conditionalFormatting sqref="M148">
    <cfRule type="cellIs" dxfId="133" priority="151" operator="equal">
      <formula>0</formula>
    </cfRule>
    <cfRule type="cellIs" dxfId="132" priority="152" operator="equal">
      <formula>1</formula>
    </cfRule>
  </conditionalFormatting>
  <conditionalFormatting sqref="K163">
    <cfRule type="cellIs" dxfId="131" priority="149" operator="equal">
      <formula>0</formula>
    </cfRule>
    <cfRule type="cellIs" dxfId="130" priority="150" operator="equal">
      <formula>1</formula>
    </cfRule>
  </conditionalFormatting>
  <conditionalFormatting sqref="J163">
    <cfRule type="cellIs" dxfId="129" priority="147" operator="equal">
      <formula>0</formula>
    </cfRule>
    <cfRule type="cellIs" dxfId="128" priority="148" operator="equal">
      <formula>1</formula>
    </cfRule>
  </conditionalFormatting>
  <conditionalFormatting sqref="M163">
    <cfRule type="cellIs" dxfId="127" priority="145" operator="equal">
      <formula>0</formula>
    </cfRule>
    <cfRule type="cellIs" dxfId="126" priority="146" operator="equal">
      <formula>1</formula>
    </cfRule>
  </conditionalFormatting>
  <conditionalFormatting sqref="K174">
    <cfRule type="cellIs" dxfId="125" priority="143" operator="equal">
      <formula>0</formula>
    </cfRule>
    <cfRule type="cellIs" dxfId="124" priority="144" operator="equal">
      <formula>1</formula>
    </cfRule>
  </conditionalFormatting>
  <conditionalFormatting sqref="J174">
    <cfRule type="cellIs" dxfId="123" priority="141" operator="equal">
      <formula>0</formula>
    </cfRule>
    <cfRule type="cellIs" dxfId="122" priority="142" operator="equal">
      <formula>1</formula>
    </cfRule>
  </conditionalFormatting>
  <conditionalFormatting sqref="M174">
    <cfRule type="cellIs" dxfId="121" priority="139" operator="equal">
      <formula>0</formula>
    </cfRule>
    <cfRule type="cellIs" dxfId="120" priority="140" operator="equal">
      <formula>1</formula>
    </cfRule>
  </conditionalFormatting>
  <conditionalFormatting sqref="K184">
    <cfRule type="cellIs" dxfId="119" priority="131" operator="equal">
      <formula>0</formula>
    </cfRule>
    <cfRule type="cellIs" dxfId="118" priority="132" operator="equal">
      <formula>1</formula>
    </cfRule>
  </conditionalFormatting>
  <conditionalFormatting sqref="J184">
    <cfRule type="cellIs" dxfId="117" priority="129" operator="equal">
      <formula>0</formula>
    </cfRule>
    <cfRule type="cellIs" dxfId="116" priority="130" operator="equal">
      <formula>1</formula>
    </cfRule>
  </conditionalFormatting>
  <conditionalFormatting sqref="M184">
    <cfRule type="cellIs" dxfId="115" priority="127" operator="equal">
      <formula>0</formula>
    </cfRule>
    <cfRule type="cellIs" dxfId="114" priority="128" operator="equal">
      <formula>1</formula>
    </cfRule>
  </conditionalFormatting>
  <conditionalFormatting sqref="K194">
    <cfRule type="cellIs" dxfId="113" priority="125" operator="equal">
      <formula>0</formula>
    </cfRule>
    <cfRule type="cellIs" dxfId="112" priority="126" operator="equal">
      <formula>1</formula>
    </cfRule>
  </conditionalFormatting>
  <conditionalFormatting sqref="J194">
    <cfRule type="cellIs" dxfId="111" priority="123" operator="equal">
      <formula>0</formula>
    </cfRule>
    <cfRule type="cellIs" dxfId="110" priority="124" operator="equal">
      <formula>1</formula>
    </cfRule>
  </conditionalFormatting>
  <conditionalFormatting sqref="M194">
    <cfRule type="cellIs" dxfId="109" priority="121" operator="equal">
      <formula>0</formula>
    </cfRule>
    <cfRule type="cellIs" dxfId="108" priority="122" operator="equal">
      <formula>1</formula>
    </cfRule>
  </conditionalFormatting>
  <conditionalFormatting sqref="K204">
    <cfRule type="cellIs" dxfId="107" priority="119" operator="equal">
      <formula>0</formula>
    </cfRule>
    <cfRule type="cellIs" dxfId="106" priority="120" operator="equal">
      <formula>1</formula>
    </cfRule>
  </conditionalFormatting>
  <conditionalFormatting sqref="J204">
    <cfRule type="cellIs" dxfId="105" priority="117" operator="equal">
      <formula>0</formula>
    </cfRule>
    <cfRule type="cellIs" dxfId="104" priority="118" operator="equal">
      <formula>1</formula>
    </cfRule>
  </conditionalFormatting>
  <conditionalFormatting sqref="M204">
    <cfRule type="cellIs" dxfId="103" priority="115" operator="equal">
      <formula>0</formula>
    </cfRule>
    <cfRule type="cellIs" dxfId="102" priority="116" operator="equal">
      <formula>1</formula>
    </cfRule>
  </conditionalFormatting>
  <conditionalFormatting sqref="K211">
    <cfRule type="cellIs" dxfId="101" priority="113" operator="equal">
      <formula>0</formula>
    </cfRule>
    <cfRule type="cellIs" dxfId="100" priority="114" operator="equal">
      <formula>1</formula>
    </cfRule>
  </conditionalFormatting>
  <conditionalFormatting sqref="J211">
    <cfRule type="cellIs" dxfId="99" priority="111" operator="equal">
      <formula>0</formula>
    </cfRule>
    <cfRule type="cellIs" dxfId="98" priority="112" operator="equal">
      <formula>1</formula>
    </cfRule>
  </conditionalFormatting>
  <conditionalFormatting sqref="M211">
    <cfRule type="cellIs" dxfId="97" priority="109" operator="equal">
      <formula>0</formula>
    </cfRule>
    <cfRule type="cellIs" dxfId="96" priority="110" operator="equal">
      <formula>1</formula>
    </cfRule>
  </conditionalFormatting>
  <conditionalFormatting sqref="K22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22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22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240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240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240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53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53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53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59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259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259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265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265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265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273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273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273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281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281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281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290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90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90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99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99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99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308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308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30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31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31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31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326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326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326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335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335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335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44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44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4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5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5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5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62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62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62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2" activePane="bottomRight" state="frozen"/>
      <selection activeCell="B1" sqref="B1"/>
      <selection pane="topRight" activeCell="E1" sqref="E1"/>
      <selection pane="bottomLeft" activeCell="B3" sqref="B3"/>
      <selection pane="bottomRight" activeCell="G3" sqref="G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1" t="s">
        <v>2</v>
      </c>
      <c r="F2" s="6" t="s">
        <v>142</v>
      </c>
      <c r="G2" t="s">
        <v>438</v>
      </c>
    </row>
    <row r="3" spans="1:7">
      <c r="A3" s="3" t="s">
        <v>2</v>
      </c>
      <c r="B3" s="3" t="s">
        <v>3</v>
      </c>
      <c r="E3" s="61" t="s">
        <v>32</v>
      </c>
      <c r="F3" s="6">
        <v>100</v>
      </c>
    </row>
    <row r="4" spans="1:7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1" t="s">
        <v>82</v>
      </c>
      <c r="F9" s="62">
        <v>1000</v>
      </c>
    </row>
    <row r="10" spans="1:7">
      <c r="A10" s="3" t="s">
        <v>16</v>
      </c>
      <c r="B10" s="4" t="s">
        <v>17</v>
      </c>
      <c r="E10" s="61" t="s">
        <v>80</v>
      </c>
      <c r="F10" s="62">
        <v>160</v>
      </c>
    </row>
    <row r="11" spans="1:7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7">
      <c r="A14" s="5"/>
      <c r="E14" s="61" t="s">
        <v>165</v>
      </c>
      <c r="F14" s="6">
        <f t="shared" si="0"/>
        <v>200</v>
      </c>
    </row>
    <row r="15" spans="1:7" ht="20.25">
      <c r="A15" s="1" t="s">
        <v>24</v>
      </c>
      <c r="E15" s="61" t="s">
        <v>52</v>
      </c>
      <c r="F15" s="6">
        <f t="shared" si="0"/>
        <v>210</v>
      </c>
    </row>
    <row r="16" spans="1:7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3" t="s">
        <v>168</v>
      </c>
    </row>
    <row r="2" spans="1:22" ht="15.75" thickBot="1">
      <c r="N2" t="s">
        <v>437</v>
      </c>
    </row>
    <row r="3" spans="1:22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  <c r="N3" s="118" t="s">
        <v>118</v>
      </c>
      <c r="O3" s="118" t="s">
        <v>424</v>
      </c>
      <c r="P3" s="118" t="s">
        <v>225</v>
      </c>
      <c r="Q3" s="118" t="s">
        <v>3</v>
      </c>
      <c r="S3" t="str">
        <f>R4&amp;R5&amp;R6&amp;R7&amp;R8&amp;R9&amp;R10&amp;R11</f>
        <v>00000010</v>
      </c>
      <c r="T3" t="str">
        <f>BIN2HEX(S3)</f>
        <v>2</v>
      </c>
      <c r="U3">
        <f>SUM(U4:U11)</f>
        <v>2</v>
      </c>
      <c r="V3" t="str">
        <f>DEC2HEX(U3)</f>
        <v>2</v>
      </c>
    </row>
    <row r="4" spans="1:22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  <c r="N4" s="118">
        <v>7</v>
      </c>
      <c r="O4" s="118" t="s">
        <v>230</v>
      </c>
      <c r="P4" s="119" t="s">
        <v>425</v>
      </c>
      <c r="Q4" s="119" t="s">
        <v>426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  <c r="N5" s="118">
        <v>6</v>
      </c>
      <c r="O5" s="118" t="s">
        <v>227</v>
      </c>
      <c r="P5" s="119" t="s">
        <v>427</v>
      </c>
      <c r="Q5" s="119" t="s">
        <v>428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  <c r="N6" s="118">
        <v>5</v>
      </c>
      <c r="O6" s="118">
        <v>0</v>
      </c>
      <c r="P6" s="119" t="s">
        <v>429</v>
      </c>
      <c r="Q6" s="119" t="s">
        <v>430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  <c r="N7" s="118">
        <v>4</v>
      </c>
      <c r="O7" s="118" t="s">
        <v>128</v>
      </c>
      <c r="P7" s="119" t="s">
        <v>234</v>
      </c>
      <c r="Q7" s="119" t="s">
        <v>431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  <c r="N8" s="118">
        <v>3</v>
      </c>
      <c r="O8" s="118">
        <v>0</v>
      </c>
      <c r="P8" s="119" t="s">
        <v>429</v>
      </c>
      <c r="Q8" s="119" t="s">
        <v>430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8">
        <v>2</v>
      </c>
      <c r="O9" s="118" t="s">
        <v>232</v>
      </c>
      <c r="P9" s="119" t="s">
        <v>432</v>
      </c>
      <c r="Q9" s="119" t="s">
        <v>433</v>
      </c>
      <c r="R9">
        <f>Parity</f>
        <v>0</v>
      </c>
      <c r="S9">
        <f t="shared" si="0"/>
        <v>4</v>
      </c>
      <c r="U9">
        <f t="shared" si="1"/>
        <v>0</v>
      </c>
    </row>
    <row r="10" spans="1:22" ht="15.75" thickBot="1">
      <c r="N10" s="118">
        <v>1</v>
      </c>
      <c r="O10" s="118">
        <v>1</v>
      </c>
      <c r="P10" s="119" t="s">
        <v>429</v>
      </c>
      <c r="Q10" s="119" t="s">
        <v>434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8">
        <v>0</v>
      </c>
      <c r="O11" s="118" t="s">
        <v>236</v>
      </c>
      <c r="P11" s="119" t="s">
        <v>435</v>
      </c>
      <c r="Q11" s="119" t="s">
        <v>436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2026-02-16T21:15:20Z</dcterms:modified>
</cp:coreProperties>
</file>