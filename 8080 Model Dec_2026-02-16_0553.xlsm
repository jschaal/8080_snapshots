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0C48A7E4-ECCC-46BA-84F4-1C3E419033C9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43" i="5" a="1"/>
  <c r="J322" i="5" a="1"/>
  <c r="J187" i="5" a="1"/>
  <c r="J176" i="5" a="1"/>
  <c r="J197" i="5" a="1"/>
  <c r="J132" i="5" a="1"/>
  <c r="J304" i="5" a="1"/>
  <c r="J312" i="5" a="1"/>
  <c r="J318" i="5" a="1"/>
  <c r="J271" i="5" a="1"/>
  <c r="J181" i="5" a="1"/>
  <c r="J275" i="5" a="1"/>
  <c r="J236" i="5" a="1"/>
  <c r="J44" i="5" a="1"/>
  <c r="J256" i="5" a="1"/>
  <c r="J201" i="5" a="1"/>
  <c r="J274" i="5" a="1"/>
  <c r="J235" i="5" a="1"/>
  <c r="J267" i="5" a="1"/>
  <c r="J215" i="5" a="1"/>
  <c r="J126" i="5" a="1"/>
  <c r="J137" i="5" a="1"/>
  <c r="J260" i="5" a="1"/>
  <c r="J188" i="5" a="1"/>
  <c r="J248" i="5" a="1"/>
  <c r="J225" i="5" a="1"/>
  <c r="J297" i="5" a="1"/>
  <c r="J218" i="5" a="1"/>
  <c r="J150" i="5" a="1"/>
  <c r="J283" i="5" a="1"/>
  <c r="J144" i="5" a="1"/>
  <c r="J171" i="5" a="1"/>
  <c r="J166" i="5" a="1"/>
  <c r="J311" i="5" a="1"/>
  <c r="J249" i="5" a="1"/>
  <c r="J266" i="5" a="1"/>
  <c r="J155" i="5" a="1"/>
  <c r="J199" i="5" a="1"/>
  <c r="J212" i="5" a="1"/>
  <c r="J129" i="5" a="1"/>
  <c r="J327" i="5" a="1"/>
  <c r="J306" i="5" a="1"/>
  <c r="J128" i="5" a="1"/>
  <c r="J296" i="5" a="1"/>
  <c r="J247" i="5" a="1"/>
  <c r="J263" i="5" a="1"/>
  <c r="J237" i="5" a="1"/>
  <c r="J282" i="5" a="1"/>
  <c r="J285" i="5" a="1"/>
  <c r="J227" i="5" a="1"/>
  <c r="J292" i="5" a="1"/>
  <c r="J314" i="5" a="1"/>
  <c r="J133" i="5" a="1"/>
  <c r="J185" i="5" a="1"/>
  <c r="J321" i="5" a="1"/>
  <c r="J331" i="5" a="1"/>
  <c r="J286" i="5" a="1"/>
  <c r="J228" i="5" a="1"/>
  <c r="J167" i="5" a="1"/>
  <c r="J145" i="5" a="1"/>
  <c r="J324" i="5" a="1"/>
  <c r="J142" i="5" a="1"/>
  <c r="J170" i="5" a="1"/>
  <c r="J310" i="5" a="1"/>
  <c r="J330" i="5" a="1"/>
  <c r="J46" i="5" a="1"/>
  <c r="J151" i="5" a="1"/>
  <c r="J329" i="5" a="1"/>
  <c r="J195" i="5" a="1"/>
  <c r="J245" i="5" a="1"/>
  <c r="J309" i="5" a="1"/>
  <c r="J198" i="5" a="1"/>
  <c r="J303" i="5" a="1"/>
  <c r="J287" i="5" a="1"/>
  <c r="J206" i="5" a="1"/>
  <c r="J333" i="5" a="1"/>
  <c r="J268" i="5" a="1"/>
  <c r="J141" i="5" a="1"/>
  <c r="J261" i="5" a="1"/>
  <c r="J302" i="5" a="1"/>
  <c r="J191" i="5" a="1"/>
  <c r="J234" i="5" a="1"/>
  <c r="J246" i="5" a="1"/>
  <c r="J270" i="5" a="1"/>
  <c r="J332" i="5" a="1"/>
  <c r="J262" i="5" a="1"/>
  <c r="J284" i="5" a="1"/>
  <c r="J165" i="5" a="1"/>
  <c r="J277" i="5" a="1"/>
  <c r="J186" i="5" a="1"/>
  <c r="J242" i="5" a="1"/>
  <c r="J189" i="5" a="1"/>
  <c r="J323" i="5" a="1"/>
  <c r="J200" i="5" a="1"/>
  <c r="J130" i="5" a="1"/>
  <c r="J168" i="5" a="1"/>
  <c r="J300" i="5" a="1"/>
  <c r="J226" i="5" a="1"/>
  <c r="J315" i="5" a="1"/>
  <c r="J196" i="5" a="1"/>
  <c r="J255" i="5" a="1"/>
  <c r="J305" i="5" a="1"/>
  <c r="J320" i="5" a="1"/>
  <c r="J127" i="5" a="1"/>
  <c r="J152" i="5" a="1"/>
  <c r="J136" i="5" a="1"/>
  <c r="J131" i="5" a="1"/>
  <c r="J175" i="5" a="1"/>
  <c r="J276" i="5" a="1"/>
  <c r="J177" i="5" a="1"/>
  <c r="J294" i="5" a="1"/>
  <c r="J278" i="5" a="1"/>
  <c r="J295" i="5" a="1"/>
  <c r="J138" i="5" a="1"/>
  <c r="J269" i="5" a="1"/>
  <c r="J243" i="5" a="1"/>
  <c r="J179" i="5" a="1"/>
  <c r="J219" i="5" a="1"/>
  <c r="J178" i="5" a="1"/>
  <c r="J153" i="5" a="1"/>
  <c r="J293" i="5" a="1"/>
  <c r="J158" i="5" a="1"/>
  <c r="J279" i="5" a="1"/>
  <c r="J156" i="5" a="1"/>
  <c r="J313" i="5" a="1"/>
  <c r="J291" i="5" a="1"/>
  <c r="J241" i="5" a="1"/>
  <c r="J288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0" i="5" a="1"/>
  <c r="J107" i="5" a="1"/>
  <c r="J88" i="5" a="1"/>
  <c r="J84" i="5" a="1"/>
  <c r="J101" i="5" a="1"/>
  <c r="J85" i="5" a="1"/>
  <c r="J89" i="5" a="1"/>
  <c r="J91" i="5" a="1"/>
  <c r="J108" i="5" a="1"/>
  <c r="J86" i="5" a="1"/>
  <c r="J109" i="5" a="1"/>
  <c r="J110" i="5" a="1"/>
  <c r="J102" i="5" a="1"/>
  <c r="J99" i="5" a="1"/>
  <c r="J90" i="5" a="1"/>
  <c r="J87" i="5" a="1"/>
  <c r="J10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1" i="5" a="1"/>
  <c r="J52" i="5" a="1"/>
  <c r="J40" i="5" a="1"/>
  <c r="J12" i="5" a="1"/>
  <c r="J71" i="5" a="1"/>
  <c r="J63" i="5" a="1"/>
  <c r="J78" i="5" a="1"/>
  <c r="J77" i="5" a="1"/>
  <c r="J22" i="5" a="1"/>
  <c r="J70" i="5" a="1"/>
  <c r="J59" i="5" a="1"/>
  <c r="J61" i="5" a="1"/>
  <c r="J26" i="5" a="1"/>
  <c r="J35" i="5" a="1"/>
  <c r="J19" i="5" a="1"/>
  <c r="J42" i="5" a="1"/>
  <c r="J33" i="5" a="1"/>
  <c r="J79" i="5" a="1"/>
  <c r="J31" i="5" a="1"/>
  <c r="J60" i="5" a="1"/>
  <c r="J69" i="5" a="1"/>
  <c r="J72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5" i="5" a="1"/>
  <c r="J6" i="5" a="1"/>
  <c r="J8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<sst xmlns="http://schemas.openxmlformats.org/spreadsheetml/2006/main" count="1457" uniqueCount="430">
  <si>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</si>
  <si>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</si>
  <si>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</si>
  <si>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</si>
  <si>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</si>
  <si>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</si>
  <si>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</si>
  <si>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</si>
  <si>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</si>
  <si>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</si>
  <si>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</si>
  <si>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</si>
  <si>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</si>
  <si>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</si>
  <si>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</si>
  <si>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</si>
  <si>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</si>
  <si>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</si>
  <si>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</si>
  <si>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</si>
  <si>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</si>
  <si>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</si>
  <si>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</si>
  <si>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</si>
  <si>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</si>
  <si>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</si>
  <si>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</si>
  <si>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</si>
  <si>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</si>
  <si>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</si>
  <si>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</si>
  <si>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</si>
  <si>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</si>
  <si>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</si>
  <si>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</si>
  <si>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</si>
  <si>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</si>
  <si>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</si>
  <si>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</si>
  <si>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</si>
  <si>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</si>
  <si>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</si>
  <si>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</si>
  <si>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</si>
  <si>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</si>
  <si>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</si>
  <si>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</si>
  <si>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</si>
  <si>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</si>
  <si>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</si>
  <si>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</si>
  <si>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</si>
  <si>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</si>
  <si>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</si>
  <si>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</si>
  <si>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</si>
  <si>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</si>
  <si>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</si>
  <si>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</si>
  <si>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</si>
  <si>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</si>
  <si>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</si>
  <si>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</si>
  <si>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</si>
  <si>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</si>
  <si>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</si>
  <si>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</si>
  <si>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</si>
  <si>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</si>
  <si>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</si>
  <si>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</si>
  <si>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</si>
  <si>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</si>
  <si>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</si>
  <si>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</si>
  <si>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</si>
  <si>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</si>
  <si>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</si>
  <si>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</si>
  <si>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</si>
  <si>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</si>
  <si>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</si>
  <si>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</si>
  <si>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</si>
  <si>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</si>
  <si>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</si>
  <si>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</si>
  <si>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</si>
  <si>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</si>
  <si>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</si>
  <si>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</si>
  <si>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</si>
  <si>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</si>
  <si>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</si>
  <si>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</si>
  <si>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</si>
  <si>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</si>
  <si>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</si>
  <si>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</si>
  <si>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</si>
  <si>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</si>
  <si>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</si>
  <si>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</si>
  <si>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</si>
  <si>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</si>
  <si>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</si>
  <si>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</si>
  <si>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</si>
  <si>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</si>
  <si>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</si>
  <si>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</si>
  <si>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</si>
  <si>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</si>
  <si>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</si>
  <si>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</si>
  <si>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</si>
  <si>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</si>
  <si>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</si>
  <si>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</si>
  <si>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</si>
  <si>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</si>
  <si>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</si>
  <si>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</si>
  <si>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</si>
  <si>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</si>
  <si>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</si>
  <si>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</si>
  <si>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</si>
  <si>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</si>
  <si>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</si>
  <si>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</si>
  <si>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</si>
  <si>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</si>
  <si>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</si>
  <si>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</si>
  <si>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</si>
  <si>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</si>
  <si>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</si>
  <si>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</si>
  <si>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</si>
  <si>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</si>
  <si>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</si>
  <si>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</si>
  <si>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</si>
  <si>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</si>
  <si>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</si>
  <si>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</si>
  <si>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</si>
  <si>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</si>
  <si>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</si>
  <si>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</si>
  <si>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</si>
  <si>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</si>
  <si>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</si>
  <si>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</si>
  <si>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</si>
  <si>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</si>
  <si>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</si>
  <si>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</si>
  <si>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</si>
  <si>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</si>
  <si>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</si>
  <si>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</si>
  <si>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</si>
  <si>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</si>
  <si>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</si>
  <si>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</si>
  <si>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</si>
  <si>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</si>
  <si>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</si>
  <si>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</si>
  <si>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</si>
  <si>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</si>
  <si>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</si>
  <si>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</si>
  <si>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</si>
  <si>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</si>
  <si>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</si>
  <si>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</si>
  <si>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</si>
  <si>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</si>
  <si>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</si>
  <si>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</si>
  <si>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</si>
  <si>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</si>
  <si>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</si>
  <si>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</si>
  <si>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</si>
  <si>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</si>
  <si>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</si>
  <si>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</si>
  <si>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</si>
  <si>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</si>
  <si>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</si>
  <si>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</si>
  <si>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</si>
  <si>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</si>
  <si>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</si>
  <si>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</si>
  <si>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</si>
  <si>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</si>
  <si>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</si>
  <si>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</si>
  <si>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</si>
  <si>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</si>
  <si>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</si>
  <si>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</si>
  <si>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</si>
  <si>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</si>
  <si>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</si>
  <si>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</si>
  <si>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</si>
  <si>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</si>
  <si>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</si>
  <si>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</si>
  <si>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</si>
  <si>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</si>
  <si>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</si>
  <si>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</si>
  <si>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</si>
  <si>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</si>
  <si>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</si>
  <si>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</si>
  <si>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</si>
  <si>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</si>
  <si>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</si>
  <si>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</si>
  <si>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</si>
  <si>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</si>
  <si>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</si>
  <si>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</si>
  <si>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</si>
  <si>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</si>
  <si>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</si>
  <si>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</si>
  <si>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</si>
  <si>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</si>
  <si>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</si>
  <si>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</si>
  <si>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</si>
  <si>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</si>
  <si>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</si>
  <si>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</si>
  <si>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</si>
  <si>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</si>
  <si>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</si>
  <si>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</si>
  <si>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</si>
  <si>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</si>
  <si>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</si>
  <si>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</si>
  <si>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</si>
  <si>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</si>
  <si>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</si>
  <si>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</si>
  <si>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</si>
  <si>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</si>
  <si>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</si>
  <si>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</si>
  <si>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</si>
  <si>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</si>
  <si>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</si>
  <si>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</si>
  <si>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</si>
  <si>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</si>
  <si>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</si>
  <si>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</si>
  <si>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</si>
  <si>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</si>
  <si>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</si>
  <si>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</si>
  <si>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</si>
  <si>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</si>
  <si>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</si>
  <si>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</si>
  <si>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</si>
  <si>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</si>
  <si>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</si>
  <si>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</si>
  <si>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</si>
  <si>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</si>
  <si>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</si>
  <si>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</si>
  <si>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</si>
  <si>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</si>
  <si>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</si>
  <si>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</si>
  <si>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</si>
  <si>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</si>
  <si>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</si>
  <si>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</si>
  <si>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</si>
  <si>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</si>
  <si>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</si>
  <si>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</si>
  <si>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</si>
  <si>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</si>
  <si>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</si>
  <si>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</si>
  <si>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</si>
  <si>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</si>
  <si>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</si>
  <si>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</si>
  <si>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</si>
  <si>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</si>
  <si>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</si>
  <si>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</si>
  <si>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</si>
  <si>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</si>
  <si>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</si>
  <si>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</si>
  <si>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</si>
  <si>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</si>
  <si>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</si>
  <si>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</si>
  <si>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</si>
  <si>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</si>
  <si>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</si>
  <si>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</si>
  <si>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</si>
  <si>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</si>
  <si>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</si>
  <si>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</si>
  <si>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</si>
  <si>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</si>
  <si>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</si>
  <si>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</si>
  <si>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</si>
  <si>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</si>
  <si>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</si>
  <si>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</si>
  <si>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</si>
  <si>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</si>
  <si>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</si>
  <si>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</si>
  <si>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</si>
  <si>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</si>
  <si>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</si>
  <si>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</si>
  <si>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</si>
  <si>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</si>
  <si>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</si>
  <si>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</si>
  <si>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</si>
  <si>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</si>
  <si>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</si>
  <si>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</si>
  <si>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</si>
  <si>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</si>
  <si>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</si>
  <si>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</si>
  <si>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</si>
  <si>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</si>
  <si>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</si>
  <si>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</si>
  <si>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</si>
  <si>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</si>
  <si>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</si>
  <si>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</si>
  <si>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</si>
  <si>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</si>
  <si>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</si>
  <si>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</si>
  <si>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</si>
  <si>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</si>
  <si>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</si>
  <si>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</si>
  <si>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</si>
  <si>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</si>
  <si>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</si>
  <si>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</si>
  <si>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</si>
  <si>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</si>
  <si>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</si>
  <si>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</si>
  <si>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</si>
  <si>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</si>
  <si>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</si>
  <si>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</si>
  <si>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</si>
  <si>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</si>
  <si>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</si>
  <si>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</si>
  <si>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</si>
  <si>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</si>
  <si>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</si>
  <si>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</si>
  <si>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</si>
  <si>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</si>
  <si>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</si>
  <si>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</si>
  <si>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</si>
  <si>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</si>
  <si>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</si>
  <si>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</si>
  <si>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</si>
  <si>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</si>
  <si>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</si>
  <si>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</si>
  <si>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</si>
  <si>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</si>
  <si>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</si>
  <si>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</si>
  <si>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</si>
  <si>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</si>
  <si>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</si>
  <si>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</si>
  <si>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</si>
  <si>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</si>
  <si>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</si>
  <si>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</si>
  <si>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</si>
  <si>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</si>
  <si>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</si>
  <si>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</si>
  <si>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</si>
  <si>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</si>
  <si>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</si>
  <si>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</si>
  <si>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</si>
  <si>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</si>
  <si>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</si>
  <si>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</si>
  <si>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FAIL</t>
  </si>
  <si>
    <t>Debug</t>
  </si>
  <si>
    <t>Use Alt</t>
  </si>
  <si>
    <t>140</t>
  </si>
  <si>
    <t>PASS</t>
  </si>
  <si>
    <t>0141</t>
  </si>
  <si>
    <t xml:space="preserve">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&gt;Unit_T025:FAIL_x000D_
&gt;Unit_T026:FAIL_x000D_
&gt;Unit_T027:PASS_x000D_
&gt;Unit_T028:PASS_x000D_
&gt;Unit_T029:PASS_x000D_
&gt;Unit_T030:PASS_x000D_
&gt;Unit_T031:PASS_x000D_
&gt;Unit_T032:PASS_x000D_
&gt;Unit_T033:PASS_x000D_
&gt;Unit_T034:PASS_x000D_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</si>
</sst>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12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2" borderId="1" xfId="0" applyFill="1" applyBorder="1"/>
    <xf numFmtId="0" fontId="0" fillId="14" borderId="1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15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</cellXfs>
  <cellStyles count="1">
    <cellStyle name="Normal" xfId="0" builtinId="0"/>
  </cellStyles>
  <dxfs count="20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0" sqref="H2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2" t="s">
        <v>373</v>
      </c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4"/>
      <c r="AN1" s="67" t="s">
        <v>422</v>
      </c>
      <c r="AO1" s="67" t="s">
        <v>418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0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239</v>
      </c>
      <c r="D6" s="34" t="str">
        <f>IF(AND(E6&gt;=32,E6&lt;=126),CHAR(E6),".")</f>
        <v>.</v>
      </c>
      <c r="E6" s="35">
        <f>HEX2DEC(C6)</f>
        <v>16</v>
      </c>
      <c r="G6" s="21" t="s">
        <v>115</v>
      </c>
      <c r="H6" s="22">
        <v>1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239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165</v>
      </c>
      <c r="Q9" s="103">
        <v>20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>
        <v>0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1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>
        <v>0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428</v>
      </c>
      <c r="D13" s="34" t="str">
        <f t="shared" si="2"/>
        <v>.</v>
      </c>
      <c r="E13" s="35">
        <f t="shared" si="3"/>
        <v>321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426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 ht="15.75" thickBot="1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G19" s="119" t="s">
        <v>425</v>
      </c>
      <c r="H19" s="118">
        <v>0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20" t="s">
        <v>424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6" priority="26" operator="equal">
      <formula>0</formula>
    </cfRule>
    <cfRule type="cellIs" dxfId="205" priority="27" operator="greaterThan">
      <formula>0</formula>
    </cfRule>
  </conditionalFormatting>
  <conditionalFormatting sqref="F1:V1">
    <cfRule type="containsText" dxfId="204" priority="17" operator="containsText" text="Halted">
      <formula>NOT(ISERROR(SEARCH("Halted",F1)))</formula>
    </cfRule>
    <cfRule type="containsText" dxfId="203" priority="24" operator="containsText" text="Execution Complete">
      <formula>NOT(ISERROR(SEARCH("Execution Complete",F1)))</formula>
    </cfRule>
    <cfRule type="containsText" dxfId="202" priority="25" operator="containsText" text="Error">
      <formula>NOT(ISERROR(SEARCH("Error",F1)))</formula>
    </cfRule>
  </conditionalFormatting>
  <conditionalFormatting sqref="P22:R1070">
    <cfRule type="expression" dxfId="201" priority="49">
      <formula>$N22=$E$13</formula>
    </cfRule>
  </conditionalFormatting>
  <conditionalFormatting sqref="M7:S7 M22:S1070 M8:N21 S8:S21">
    <cfRule type="containsText" dxfId="200" priority="5" operator="containsText" text=" ">
      <formula>NOT(ISERROR(SEARCH(" ",M7)))</formula>
    </cfRule>
  </conditionalFormatting>
  <conditionalFormatting sqref="AC5:AL5">
    <cfRule type="cellIs" dxfId="199" priority="3" operator="equal">
      <formula>0</formula>
    </cfRule>
    <cfRule type="cellIs" dxfId="198" priority="4" operator="equal">
      <formula>1</formula>
    </cfRule>
  </conditionalFormatting>
  <conditionalFormatting sqref="H19:H20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6" activePane="bottomLeft" state="frozen"/>
      <selection pane="bottomLeft" activeCell="U32" sqref="U32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10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>
        <f>CPU!C11</f>
        <v>0</v>
      </c>
      <c r="H2" s="56">
        <f>CPU!C12</f>
        <v>0</v>
      </c>
      <c r="I2" s="56" t="str">
        <f>PC</f>
        <v>0141</v>
      </c>
      <c r="J2" s="56" t="str">
        <f>SP</f>
        <v>140</v>
      </c>
      <c r="K2" s="56">
        <f>Carry</f>
        <v>1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1" t="s">
        <v>427</v>
      </c>
      <c r="L4" s="70" t="s">
        <v>267</v>
      </c>
      <c r="M4" s="20">
        <f>IFERROR(VLOOKUP(A4,$P$6:$R$1048576,3,0),0)</f>
        <v>1</v>
      </c>
      <c r="U4" s="134" t="s">
        <v>341</v>
      </c>
      <c r="V4" s="135"/>
      <c r="W4" s="135"/>
      <c r="X4" s="135"/>
      <c r="Y4" s="135"/>
      <c r="Z4" s="135"/>
      <c r="AA4" s="135"/>
      <c r="AB4" s="136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5" t="s">
        <v>429</v>
      </c>
      <c r="V5" s="126"/>
      <c r="W5" s="126"/>
      <c r="X5" s="126"/>
      <c r="Y5" s="126"/>
      <c r="Z5" s="126"/>
      <c r="AA5" s="126"/>
      <c r="AB5" s="127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1</v>
      </c>
      <c r="U6" s="128"/>
      <c r="V6" s="129"/>
      <c r="W6" s="129"/>
      <c r="X6" s="129"/>
      <c r="Y6" s="129"/>
      <c r="Z6" s="129"/>
      <c r="AA6" s="129"/>
      <c r="AB6" s="130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1</v>
      </c>
      <c r="U7" s="128"/>
      <c r="V7" s="129"/>
      <c r="W7" s="129"/>
      <c r="X7" s="129"/>
      <c r="Y7" s="129"/>
      <c r="Z7" s="129"/>
      <c r="AA7" s="129"/>
      <c r="AB7" s="130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1</v>
      </c>
      <c r="U8" s="128"/>
      <c r="V8" s="129"/>
      <c r="W8" s="129"/>
      <c r="X8" s="129"/>
      <c r="Y8" s="129"/>
      <c r="Z8" s="129"/>
      <c r="AA8" s="129"/>
      <c r="AB8" s="130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1</v>
      </c>
      <c r="U9" s="128"/>
      <c r="V9" s="129"/>
      <c r="W9" s="129"/>
      <c r="X9" s="129"/>
      <c r="Y9" s="129"/>
      <c r="Z9" s="129"/>
      <c r="AA9" s="129"/>
      <c r="AB9" s="130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1</v>
      </c>
      <c r="U10" s="128"/>
      <c r="V10" s="129"/>
      <c r="W10" s="129"/>
      <c r="X10" s="129"/>
      <c r="Y10" s="129"/>
      <c r="Z10" s="129"/>
      <c r="AA10" s="129"/>
      <c r="AB10" s="130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1" t="s">
        <v>427</v>
      </c>
      <c r="L11" s="70" t="s">
        <v>269</v>
      </c>
      <c r="M11" s="20">
        <f>IFERROR(VLOOKUP(A11,$P$6:$R$1048576,3,0),0)</f>
        <v>1</v>
      </c>
      <c r="P11" s="6" t="s">
        <v>322</v>
      </c>
      <c r="Q11" s="40" t="str">
        <f t="shared" si="1"/>
        <v>Zero Flag Test - Positive</v>
      </c>
      <c r="R11" s="40">
        <v>1</v>
      </c>
      <c r="U11" s="128"/>
      <c r="V11" s="129"/>
      <c r="W11" s="129"/>
      <c r="X11" s="129"/>
      <c r="Y11" s="129"/>
      <c r="Z11" s="129"/>
      <c r="AA11" s="129"/>
      <c r="AB11" s="130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1</v>
      </c>
      <c r="U12" s="128"/>
      <c r="V12" s="129"/>
      <c r="W12" s="129"/>
      <c r="X12" s="129"/>
      <c r="Y12" s="129"/>
      <c r="Z12" s="129"/>
      <c r="AA12" s="129"/>
      <c r="AB12" s="130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1</v>
      </c>
      <c r="U13" s="128"/>
      <c r="V13" s="129"/>
      <c r="W13" s="129"/>
      <c r="X13" s="129"/>
      <c r="Y13" s="129"/>
      <c r="Z13" s="129"/>
      <c r="AA13" s="129"/>
      <c r="AB13" s="130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1</v>
      </c>
      <c r="U14" s="128"/>
      <c r="V14" s="129"/>
      <c r="W14" s="129"/>
      <c r="X14" s="129"/>
      <c r="Y14" s="129"/>
      <c r="Z14" s="129"/>
      <c r="AA14" s="129"/>
      <c r="AB14" s="130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1</v>
      </c>
      <c r="U15" s="128"/>
      <c r="V15" s="129"/>
      <c r="W15" s="129"/>
      <c r="X15" s="129"/>
      <c r="Y15" s="129"/>
      <c r="Z15" s="129"/>
      <c r="AA15" s="129"/>
      <c r="AB15" s="130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1" t="s">
        <v>427</v>
      </c>
      <c r="L16" s="70" t="s">
        <v>270</v>
      </c>
      <c r="M16" s="20">
        <f>IFERROR(VLOOKUP(A16,$P$6:$R$1048576,3,0),0)</f>
        <v>1</v>
      </c>
      <c r="P16" s="6" t="s">
        <v>327</v>
      </c>
      <c r="Q16" s="40" t="str">
        <f t="shared" si="1"/>
        <v>Unit_DCR_AC_SET_00</v>
      </c>
      <c r="R16" s="40">
        <v>1</v>
      </c>
      <c r="U16" s="128"/>
      <c r="V16" s="129"/>
      <c r="W16" s="129"/>
      <c r="X16" s="129"/>
      <c r="Y16" s="129"/>
      <c r="Z16" s="129"/>
      <c r="AA16" s="129"/>
      <c r="AB16" s="130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1</v>
      </c>
      <c r="U17" s="128"/>
      <c r="V17" s="129"/>
      <c r="W17" s="129"/>
      <c r="X17" s="129"/>
      <c r="Y17" s="129"/>
      <c r="Z17" s="129"/>
      <c r="AA17" s="129"/>
      <c r="AB17" s="130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1</v>
      </c>
      <c r="U18" s="128"/>
      <c r="V18" s="129"/>
      <c r="W18" s="129"/>
      <c r="X18" s="129"/>
      <c r="Y18" s="129"/>
      <c r="Z18" s="129"/>
      <c r="AA18" s="129"/>
      <c r="AB18" s="130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1</v>
      </c>
      <c r="U19" s="128"/>
      <c r="V19" s="129"/>
      <c r="W19" s="129"/>
      <c r="X19" s="129"/>
      <c r="Y19" s="129"/>
      <c r="Z19" s="129"/>
      <c r="AA19" s="129"/>
      <c r="AB19" s="130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1</v>
      </c>
      <c r="U20" s="128"/>
      <c r="V20" s="129"/>
      <c r="W20" s="129"/>
      <c r="X20" s="129"/>
      <c r="Y20" s="129"/>
      <c r="Z20" s="129"/>
      <c r="AA20" s="129"/>
      <c r="AB20" s="130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1</v>
      </c>
      <c r="U21" s="128"/>
      <c r="V21" s="129"/>
      <c r="W21" s="129"/>
      <c r="X21" s="129"/>
      <c r="Y21" s="129"/>
      <c r="Z21" s="129"/>
      <c r="AA21" s="129"/>
      <c r="AB21" s="130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1</v>
      </c>
      <c r="U22" s="128"/>
      <c r="V22" s="129"/>
      <c r="W22" s="129"/>
      <c r="X22" s="129"/>
      <c r="Y22" s="129"/>
      <c r="Z22" s="129"/>
      <c r="AA22" s="129"/>
      <c r="AB22" s="130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1</v>
      </c>
      <c r="U23" s="128"/>
      <c r="V23" s="129"/>
      <c r="W23" s="129"/>
      <c r="X23" s="129"/>
      <c r="Y23" s="129"/>
      <c r="Z23" s="129"/>
      <c r="AA23" s="129"/>
      <c r="AB23" s="130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1</v>
      </c>
      <c r="U24" s="131"/>
      <c r="V24" s="132"/>
      <c r="W24" s="132"/>
      <c r="X24" s="132"/>
      <c r="Y24" s="132"/>
      <c r="Z24" s="132"/>
      <c r="AA24" s="132"/>
      <c r="AB24" s="133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1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1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1</v>
      </c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1</v>
      </c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1" t="s">
        <v>427</v>
      </c>
      <c r="L29" s="70" t="s">
        <v>216</v>
      </c>
      <c r="M29" s="20">
        <f>IFERROR(VLOOKUP(A29,$P$6:$R$1048576,3,0),0)</f>
        <v>1</v>
      </c>
      <c r="P29" s="6" t="s">
        <v>360</v>
      </c>
      <c r="Q29" s="40" t="str">
        <f t="shared" si="1"/>
        <v>JPE/JPO (Parity)</v>
      </c>
      <c r="R29" s="40">
        <v>1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1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1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1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1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43" si="10">IFERROR(VLOOKUP(P34,$A$4:$L$1048576,12,0),"")</f>
        <v>ADD (register) with Aux Carry</v>
      </c>
      <c r="R34" s="40">
        <v>1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1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1</v>
      </c>
    </row>
    <row r="37" spans="1:1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1</v>
      </c>
    </row>
    <row r="38" spans="1:1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1" t="s">
        <v>427</v>
      </c>
      <c r="L38" s="70" t="s">
        <v>240</v>
      </c>
      <c r="M38" s="20">
        <f>IFERROR(VLOOKUP(A38,$P$6:$R$1048576,3,0),0)</f>
        <v>1</v>
      </c>
      <c r="P38" s="6" t="s">
        <v>398</v>
      </c>
      <c r="Q38" s="40" t="str">
        <f t="shared" si="10"/>
        <v>ANI (immediate) → Zero case</v>
      </c>
      <c r="R38" s="40">
        <v>1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1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400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1" t="s">
        <v>427</v>
      </c>
      <c r="L49" s="70" t="s">
        <v>263</v>
      </c>
      <c r="M49" s="20">
        <f>IFERROR(VLOOKUP(A49,$P$6:$R$1048576,3,0),0)</f>
        <v>1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1" t="s">
        <v>427</v>
      </c>
      <c r="L57" s="70" t="s">
        <v>264</v>
      </c>
      <c r="M57" s="20">
        <f>IFERROR(VLOOKUP(A57,$P$6:$R$1048576,3,0),0)</f>
        <v>1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1" t="s">
        <v>427</v>
      </c>
      <c r="L66" s="70" t="s">
        <v>277</v>
      </c>
      <c r="M66" s="20">
        <f>IFERROR(VLOOKUP(A66,$P$6:$R$1048576,3,0),0)</f>
        <v>1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1" t="s">
        <v>427</v>
      </c>
      <c r="L74" s="70" t="s">
        <v>278</v>
      </c>
      <c r="M74" s="20">
        <f>IFERROR(VLOOKUP(A74,$P$6:$R$1048576,3,0),0)</f>
        <v>1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1" t="s">
        <v>427</v>
      </c>
      <c r="L83" s="70" t="s">
        <v>283</v>
      </c>
      <c r="M83" s="20">
        <f>IFERROR(VLOOKUP(A83,$P$6:$R$1048576,3,0),0)</f>
        <v>1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1" t="s">
        <v>427</v>
      </c>
      <c r="L97" s="70" t="s">
        <v>288</v>
      </c>
      <c r="M97" s="20">
        <f>IFERROR(VLOOKUP(A97,$P$6:$R$1048576,3,0),0)</f>
        <v>1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1" t="s">
        <v>427</v>
      </c>
      <c r="L105" s="70" t="s">
        <v>294</v>
      </c>
      <c r="M105" s="20">
        <f>IFERROR(VLOOKUP(A105,$P$6:$R$1048576,3,0),0)</f>
        <v>1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17" t="s">
        <v>423</v>
      </c>
      <c r="L113" s="70" t="s">
        <v>315</v>
      </c>
      <c r="M113" s="20">
        <f>IFERROR(VLOOKUP(A113,$P$6:$R$1048576,3,0),0)</f>
        <v>1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1" t="s">
        <v>427</v>
      </c>
      <c r="L125" s="70" t="s">
        <v>339</v>
      </c>
      <c r="M125" s="20">
        <f>IFERROR(VLOOKUP(A125,$P$6:$R$1048576,3,0),0)</f>
        <v>1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1" t="s">
        <v>427</v>
      </c>
      <c r="L135" s="70" t="s">
        <v>340</v>
      </c>
      <c r="M135" s="20">
        <f>IFERROR(VLOOKUP(A135,$P$6:$R$1048576,3,0),0)</f>
        <v>1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1" t="s">
        <v>427</v>
      </c>
      <c r="L148" s="70" t="s">
        <v>343</v>
      </c>
      <c r="M148" s="20">
        <f>IFERROR(VLOOKUP(A148,$P$6:$R$1048576,3,0),0)</f>
        <v>1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1" t="s">
        <v>427</v>
      </c>
      <c r="L163" s="70" t="s">
        <v>350</v>
      </c>
      <c r="M163" s="20">
        <f>IFERROR(VLOOKUP(A163,$P$6:$R$1048576,3,0),0)</f>
        <v>1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1" t="s">
        <v>427</v>
      </c>
      <c r="L174" s="70" t="s">
        <v>351</v>
      </c>
      <c r="M174" s="20">
        <f>IFERROR(VLOOKUP(A174,$P$6:$R$1048576,3,0),0)</f>
        <v>1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1" t="s">
        <v>427</v>
      </c>
      <c r="L184" s="70" t="s">
        <v>352</v>
      </c>
      <c r="M184" s="20">
        <f>IFERROR(VLOOKUP(A184,$P$6:$R$1048576,3,0),0)</f>
        <v>1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1" t="s">
        <v>427</v>
      </c>
      <c r="L194" s="70" t="s">
        <v>354</v>
      </c>
      <c r="M194" s="20">
        <f>IFERROR(VLOOKUP(A194,$P$6:$R$1048576,3,0),0)</f>
        <v>1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1" t="s">
        <v>427</v>
      </c>
      <c r="L204" s="70" t="s">
        <v>357</v>
      </c>
      <c r="M204" s="20">
        <f>IFERROR(VLOOKUP(A204,$P$6:$R$1048576,3,0),0)</f>
        <v>1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1" t="s">
        <v>427</v>
      </c>
      <c r="L211" s="70" t="s">
        <v>365</v>
      </c>
      <c r="M211" s="20">
        <f>IFERROR(VLOOKUP(A211,$P$6:$R$1048576,3,0),0)</f>
        <v>1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1" t="s">
        <v>427</v>
      </c>
      <c r="L224" s="70" t="s">
        <v>366</v>
      </c>
      <c r="M224" s="20">
        <f>IFERROR(VLOOKUP(A224,$P$6:$R$1048576,3,0),0)</f>
        <v>1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1" t="s">
        <v>427</v>
      </c>
      <c r="L240" s="70" t="s">
        <v>374</v>
      </c>
      <c r="M240" s="20">
        <f>IFERROR(VLOOKUP(A240,$P$6:$R$1048576,3,0),0)</f>
        <v>1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17" t="s">
        <v>423</v>
      </c>
      <c r="L253" s="70" t="s">
        <v>375</v>
      </c>
      <c r="M253" s="20">
        <f>IFERROR(VLOOKUP(A253,$P$6:$R$1048576,3,0),0)</f>
        <v>1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17" t="s">
        <v>423</v>
      </c>
      <c r="L259" s="70" t="s">
        <v>387</v>
      </c>
      <c r="M259" s="20">
        <f>IFERROR(VLOOKUP(A259,$P$6:$R$1048576,3,0),0)</f>
        <v>1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1" t="s">
        <v>427</v>
      </c>
      <c r="L265" s="70" t="s">
        <v>390</v>
      </c>
      <c r="M265" s="20">
        <f>IFERROR(VLOOKUP(A265,$P$6:$R$1048576,3,0),0)</f>
        <v>1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1" t="s">
        <v>427</v>
      </c>
      <c r="L273" s="70" t="s">
        <v>391</v>
      </c>
      <c r="M273" s="20">
        <f>IFERROR(VLOOKUP(A273,$P$6:$R$1048576,3,0),0)</f>
        <v>1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1" t="s">
        <v>427</v>
      </c>
      <c r="L281" s="70" t="s">
        <v>393</v>
      </c>
      <c r="M281" s="20">
        <f>IFERROR(VLOOKUP(A281,$P$6:$R$1048576,3,0),0)</f>
        <v>1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1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1" t="s">
        <v>427</v>
      </c>
      <c r="L290" s="70" t="s">
        <v>405</v>
      </c>
      <c r="M290" s="20">
        <f>IFERROR(VLOOKUP(A290,$P$6:$R$1048576,3,0),0)</f>
        <v>1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1" t="s">
        <v>427</v>
      </c>
      <c r="L299" s="70" t="s">
        <v>413</v>
      </c>
      <c r="M299" s="20">
        <f>IFERROR(VLOOKUP(A299,$P$6:$R$1048576,3,0),0)</f>
        <v>1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1" t="s">
        <v>427</v>
      </c>
      <c r="L308" s="70" t="s">
        <v>415</v>
      </c>
      <c r="M308" s="20">
        <f>IFERROR(VLOOKUP(A308,$P$6:$R$1048576,3,0),0)</f>
        <v>1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1" t="s">
        <v>427</v>
      </c>
      <c r="L317" s="70" t="s">
        <v>416</v>
      </c>
      <c r="M317" s="20">
        <f>IFERROR(VLOOKUP(A317,$P$6:$R$1048576,3,0),0)</f>
        <v>1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0</v>
      </c>
      <c r="K326" s="121" t="s">
        <v>427</v>
      </c>
      <c r="L326" s="70" t="s">
        <v>417</v>
      </c>
      <c r="M326" s="20">
        <f>IFERROR(VLOOKUP(A326,$P$6:$R$1048576,3,0),0)</f>
        <v>1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1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67</vt:i4>
      </vt:variant>
    </vt:vector>
  </HeadingPairs>
  <TitlesOfParts>
    <vt:vector size="71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2026-02-16T10:53:07Z</dcterms:modified>
</cp:coreProperties>
</file>