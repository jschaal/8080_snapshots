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7471AD3B-95EC-49E3-A609-BF866621760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2" i="5" l="1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69" i="5" a="1"/>
  <c r="J365" i="5" a="1"/>
  <c r="J368" i="5" a="1"/>
  <c r="J363" i="5" a="1"/>
  <c r="J367" i="5" a="1"/>
  <c r="J366" i="5" a="1"/>
  <c r="J357" i="5" a="1"/>
  <c r="J360" i="5" a="1"/>
  <c r="J356" i="5" a="1"/>
  <c r="J359" i="5" a="1"/>
  <c r="J354" i="5" a="1"/>
  <c r="J358" i="5" a="1"/>
  <c r="J351" i="5" a="1"/>
  <c r="J347" i="5" a="1"/>
  <c r="J348" i="5" a="1"/>
  <c r="J350" i="5" a="1"/>
  <c r="J345" i="5" a="1"/>
  <c r="J349" i="5" a="1"/>
  <c r="J342" i="5" a="1"/>
  <c r="J338" i="5" a="1"/>
  <c r="J341" i="5" a="1"/>
  <c r="J336" i="5" a="1"/>
  <c r="J340" i="5" a="1"/>
  <c r="J339" i="5" a="1"/>
  <c r="J179" i="5" a="1"/>
  <c r="J155" i="5" a="1"/>
  <c r="J235" i="5" a="1"/>
  <c r="J219" i="5" a="1"/>
  <c r="J255" i="5" a="1"/>
  <c r="J152" i="5" a="1"/>
  <c r="J279" i="5" a="1"/>
  <c r="J309" i="5" a="1"/>
  <c r="J206" i="5" a="1"/>
  <c r="J296" i="5" a="1"/>
  <c r="J141" i="5" a="1"/>
  <c r="J242" i="5" a="1"/>
  <c r="J200" i="5" a="1"/>
  <c r="J291" i="5" a="1"/>
  <c r="J151" i="5" a="1"/>
  <c r="J143" i="5" a="1"/>
  <c r="J300" i="5" a="1"/>
  <c r="J284" i="5" a="1"/>
  <c r="J175" i="5" a="1"/>
  <c r="J189" i="5" a="1"/>
  <c r="J199" i="5" a="1"/>
  <c r="J331" i="5" a="1"/>
  <c r="J131" i="5" a="1"/>
  <c r="J321" i="5" a="1"/>
  <c r="J314" i="5" a="1"/>
  <c r="J176" i="5" a="1"/>
  <c r="J320" i="5" a="1"/>
  <c r="J126" i="5" a="1"/>
  <c r="J212" i="5" a="1"/>
  <c r="J145" i="5" a="1"/>
  <c r="J247" i="5" a="1"/>
  <c r="J294" i="5" a="1"/>
  <c r="J327" i="5" a="1"/>
  <c r="J312" i="5" a="1"/>
  <c r="J150" i="5" a="1"/>
  <c r="J306" i="5" a="1"/>
  <c r="J201" i="5" a="1"/>
  <c r="J287" i="5" a="1"/>
  <c r="J186" i="5" a="1"/>
  <c r="J167" i="5" a="1"/>
  <c r="J288" i="5" a="1"/>
  <c r="J187" i="5" a="1"/>
  <c r="J315" i="5" a="1"/>
  <c r="J226" i="5" a="1"/>
  <c r="J171" i="5" a="1"/>
  <c r="J303" i="5" a="1"/>
  <c r="J44" i="5" a="1"/>
  <c r="J305" i="5" a="1"/>
  <c r="J137" i="5" a="1"/>
  <c r="J142" i="5" a="1"/>
  <c r="J266" i="5" a="1"/>
  <c r="J197" i="5" a="1"/>
  <c r="J196" i="5" a="1"/>
  <c r="J177" i="5" a="1"/>
  <c r="J269" i="5" a="1"/>
  <c r="J278" i="5" a="1"/>
  <c r="J318" i="5" a="1"/>
  <c r="J323" i="5" a="1"/>
  <c r="J286" i="5" a="1"/>
  <c r="J166" i="5" a="1"/>
  <c r="J297" i="5" a="1"/>
  <c r="J313" i="5" a="1"/>
  <c r="J277" i="5" a="1"/>
  <c r="J237" i="5" a="1"/>
  <c r="J268" i="5" a="1"/>
  <c r="J256" i="5" a="1"/>
  <c r="J322" i="5" a="1"/>
  <c r="J156" i="5" a="1"/>
  <c r="J267" i="5" a="1"/>
  <c r="J198" i="5" a="1"/>
  <c r="J178" i="5" a="1"/>
  <c r="J293" i="5" a="1"/>
  <c r="J127" i="5" a="1"/>
  <c r="J128" i="5" a="1"/>
  <c r="J274" i="5" a="1"/>
  <c r="J262" i="5" a="1"/>
  <c r="J245" i="5" a="1"/>
  <c r="J129" i="5" a="1"/>
  <c r="J329" i="5" a="1"/>
  <c r="J275" i="5" a="1"/>
  <c r="J285" i="5" a="1"/>
  <c r="J168" i="5" a="1"/>
  <c r="J188" i="5" a="1"/>
  <c r="J234" i="5" a="1"/>
  <c r="J282" i="5" a="1"/>
  <c r="J243" i="5" a="1"/>
  <c r="J181" i="5" a="1"/>
  <c r="J271" i="5" a="1"/>
  <c r="J130" i="5" a="1"/>
  <c r="J283" i="5" a="1"/>
  <c r="J261" i="5" a="1"/>
  <c r="J248" i="5" a="1"/>
  <c r="J191" i="5" a="1"/>
  <c r="J165" i="5" a="1"/>
  <c r="J302" i="5" a="1"/>
  <c r="J225" i="5" a="1"/>
  <c r="J324" i="5" a="1"/>
  <c r="J158" i="5" a="1"/>
  <c r="J246" i="5" a="1"/>
  <c r="J218" i="5" a="1"/>
  <c r="J227" i="5" a="1"/>
  <c r="J136" i="5" a="1"/>
  <c r="J132" i="5" a="1"/>
  <c r="J249" i="5" a="1"/>
  <c r="J292" i="5" a="1"/>
  <c r="J144" i="5" a="1"/>
  <c r="J263" i="5" a="1"/>
  <c r="J304" i="5" a="1"/>
  <c r="J138" i="5" a="1"/>
  <c r="J228" i="5" a="1"/>
  <c r="J236" i="5" a="1"/>
  <c r="J153" i="5" a="1"/>
  <c r="J241" i="5" a="1"/>
  <c r="J185" i="5" a="1"/>
  <c r="J170" i="5" a="1"/>
  <c r="J46" i="5" a="1"/>
  <c r="J311" i="5" a="1"/>
  <c r="J260" i="5" a="1"/>
  <c r="J295" i="5" a="1"/>
  <c r="J332" i="5" a="1"/>
  <c r="J215" i="5" a="1"/>
  <c r="J276" i="5" a="1"/>
  <c r="J333" i="5" a="1"/>
  <c r="J270" i="5" a="1"/>
  <c r="J195" i="5" a="1"/>
  <c r="J133" i="5" a="1"/>
  <c r="J310" i="5" a="1"/>
  <c r="J330" i="5" a="1"/>
  <c r="J366" i="5" l="1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9" i="5" a="1"/>
  <c r="J100" i="5" a="1"/>
  <c r="J90" i="5" a="1"/>
  <c r="J110" i="5" a="1"/>
  <c r="J87" i="5" a="1"/>
  <c r="J86" i="5" a="1"/>
  <c r="J107" i="5" a="1"/>
  <c r="J102" i="5" a="1"/>
  <c r="J99" i="5" a="1"/>
  <c r="J84" i="5" a="1"/>
  <c r="J80" i="5" a="1"/>
  <c r="J91" i="5" a="1"/>
  <c r="J108" i="5" a="1"/>
  <c r="J85" i="5" a="1"/>
  <c r="J89" i="5" a="1"/>
  <c r="J88" i="5" a="1"/>
  <c r="J362" i="5" l="1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63" i="5" a="1"/>
  <c r="J35" i="5" a="1"/>
  <c r="J78" i="5" a="1"/>
  <c r="J31" i="5" a="1"/>
  <c r="J60" i="5" a="1"/>
  <c r="J26" i="5" a="1"/>
  <c r="J72" i="5" a="1"/>
  <c r="J40" i="5" a="1"/>
  <c r="J12" i="5" a="1"/>
  <c r="J59" i="5" a="1"/>
  <c r="J77" i="5" a="1"/>
  <c r="J51" i="5" a="1"/>
  <c r="J61" i="5" a="1"/>
  <c r="J79" i="5" a="1"/>
  <c r="J19" i="5" a="1"/>
  <c r="J71" i="5" a="1"/>
  <c r="J52" i="5" a="1"/>
  <c r="J70" i="5" a="1"/>
  <c r="J42" i="5" a="1"/>
  <c r="J69" i="5" a="1"/>
  <c r="J2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<sst xmlns="http://schemas.openxmlformats.org/spreadsheetml/2006/main" count="1610" uniqueCount="461">
  <si>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</si>
  <si>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</si>
  <si>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</si>
  <si>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</si>
  <si>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</si>
  <si>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</si>
  <si>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</si>
  <si>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</si>
  <si>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</si>
  <si>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</si>
  <si>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</si>
  <si>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</si>
  <si>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</si>
  <si>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</si>
  <si>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</si>
  <si>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</si>
  <si>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</si>
  <si>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</si>
  <si>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</si>
  <si>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</si>
  <si>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</si>
  <si>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</si>
  <si>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</si>
  <si>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</si>
  <si>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</si>
  <si>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</si>
  <si>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</si>
  <si>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</si>
  <si>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</si>
  <si>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</si>
  <si>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</si>
  <si>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</si>
  <si>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</si>
  <si>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</si>
  <si>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</si>
  <si>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</si>
  <si>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</si>
  <si>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</si>
  <si>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</si>
  <si>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</si>
  <si>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</si>
  <si>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</si>
  <si>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</si>
  <si>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</si>
  <si>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</si>
  <si>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</si>
  <si>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</si>
  <si>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</si>
  <si>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</si>
  <si>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</si>
  <si>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</si>
  <si>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</si>
  <si>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</si>
  <si>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</si>
  <si>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</si>
  <si>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</si>
  <si>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</si>
  <si>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</si>
  <si>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</si>
  <si>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</si>
  <si>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</si>
  <si>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</si>
  <si>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</si>
  <si>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</si>
  <si>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</si>
  <si>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</si>
  <si>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</si>
  <si>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</si>
  <si>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</si>
  <si>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</si>
  <si>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</si>
  <si>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</si>
  <si>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</si>
  <si>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</si>
  <si>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</si>
  <si>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</si>
  <si>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</si>
  <si>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</si>
  <si>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</si>
  <si>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</si>
  <si>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</si>
  <si>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</si>
  <si>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</si>
  <si>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</si>
  <si>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</si>
  <si>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</si>
  <si>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</si>
  <si>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</si>
  <si>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</si>
  <si>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</si>
  <si>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</si>
  <si>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</si>
  <si>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</si>
  <si>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</si>
  <si>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</si>
  <si>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</si>
  <si>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</si>
  <si>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</si>
  <si>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</si>
  <si>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</si>
  <si>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</si>
  <si>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</si>
  <si>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</si>
  <si>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</si>
  <si>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</si>
  <si>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</si>
  <si>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</si>
  <si>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</si>
  <si>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</si>
  <si>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</si>
  <si>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</si>
  <si>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</si>
  <si>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</si>
  <si>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</si>
  <si>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</si>
  <si>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</si>
  <si>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</si>
  <si>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</si>
  <si>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</si>
  <si>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</si>
  <si>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</si>
  <si>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</si>
  <si>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</si>
  <si>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</si>
  <si>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</si>
  <si>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</si>
  <si>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</si>
  <si>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</si>
  <si>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</si>
  <si>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</si>
  <si>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</si>
  <si>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</si>
  <si>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</si>
  <si>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</si>
  <si>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</si>
  <si>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</si>
  <si>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</si>
  <si>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</si>
  <si>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</si>
  <si>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</si>
  <si>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</si>
  <si>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</si>
  <si>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</si>
  <si>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</si>
  <si>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</si>
  <si>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</si>
  <si>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</si>
  <si>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</si>
  <si>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</si>
  <si>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</si>
  <si>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</si>
  <si>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</si>
  <si>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</si>
  <si>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</si>
  <si>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</si>
  <si>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</si>
  <si>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</si>
  <si>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</si>
  <si>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</si>
  <si>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</si>
  <si>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</si>
  <si>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</si>
  <si>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</si>
  <si>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</si>
  <si>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</si>
  <si>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</si>
  <si>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</si>
  <si>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</si>
  <si>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</si>
  <si>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</si>
  <si>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</si>
  <si>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</si>
  <si>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</si>
  <si>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</si>
  <si>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</si>
  <si>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</si>
  <si>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</si>
  <si>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</si>
  <si>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</si>
  <si>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</si>
  <si>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</si>
  <si>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</si>
  <si>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</si>
  <si>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</si>
  <si>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</si>
  <si>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</si>
  <si>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</si>
  <si>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</si>
  <si>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</si>
  <si>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</si>
  <si>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</si>
  <si>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</si>
  <si>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</si>
  <si>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</si>
  <si>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</si>
  <si>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</si>
  <si>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</si>
  <si>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</si>
  <si>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</si>
  <si>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</si>
  <si>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</si>
  <si>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</si>
  <si>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</si>
  <si>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</si>
  <si>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</si>
  <si>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</si>
  <si>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</si>
  <si>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</si>
  <si>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</si>
  <si>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</si>
  <si>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</si>
  <si>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</si>
  <si>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</si>
  <si>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</si>
  <si>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</si>
  <si>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</si>
  <si>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</si>
  <si>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</si>
  <si>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</si>
  <si>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</si>
  <si>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</si>
  <si>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</si>
  <si>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</si>
  <si>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</si>
  <si>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</si>
  <si>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</si>
  <si>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</si>
  <si>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</si>
  <si>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</si>
  <si>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</si>
  <si>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</si>
  <si>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</si>
  <si>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</si>
  <si>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</si>
  <si>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</si>
  <si>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</si>
  <si>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</si>
  <si>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</si>
  <si>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</si>
  <si>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</si>
  <si>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</si>
  <si>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</si>
  <si>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</si>
  <si>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</si>
  <si>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</si>
  <si>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</si>
  <si>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</si>
  <si>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</si>
  <si>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</si>
  <si>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</si>
  <si>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</si>
  <si>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</si>
  <si>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</si>
  <si>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</si>
  <si>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</si>
  <si>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</si>
  <si>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</si>
  <si>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</si>
  <si>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</si>
  <si>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</si>
  <si>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</si>
  <si>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</si>
  <si>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</si>
  <si>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</si>
  <si>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</si>
  <si>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</si>
  <si>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</si>
  <si>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</si>
  <si>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</si>
  <si>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</si>
  <si>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</si>
  <si>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</si>
  <si>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</si>
  <si>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</si>
  <si>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</si>
  <si>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</si>
  <si>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</si>
  <si>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</si>
  <si>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</si>
  <si>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</si>
  <si>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</si>
  <si>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</si>
  <si>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</si>
  <si>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</si>
  <si>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</si>
  <si>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</si>
  <si>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</si>
  <si>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</si>
  <si>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</si>
  <si>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</si>
  <si>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</si>
  <si>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</si>
  <si>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</si>
  <si>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</si>
  <si>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</si>
  <si>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</si>
  <si>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</si>
  <si>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</si>
  <si>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</si>
  <si>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</si>
  <si>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</si>
  <si>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</si>
  <si>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</si>
  <si>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</si>
  <si>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</si>
  <si>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</si>
  <si>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</si>
  <si>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</si>
  <si>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</si>
  <si>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</si>
  <si>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</si>
  <si>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</si>
  <si>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</si>
  <si>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</si>
  <si>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</si>
  <si>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</si>
  <si>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</si>
  <si>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</si>
  <si>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</si>
  <si>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</si>
  <si>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</si>
  <si>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</si>
  <si>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</si>
  <si>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</si>
  <si>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</si>
  <si>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</si>
  <si>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</si>
  <si>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</si>
  <si>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</si>
  <si>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</si>
  <si>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</si>
  <si>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</si>
  <si>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</si>
  <si>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</si>
  <si>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</si>
  <si>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</si>
  <si>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</si>
  <si>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</si>
  <si>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</si>
  <si>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</si>
  <si>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</si>
  <si>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</si>
  <si>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</si>
  <si>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</si>
  <si>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</si>
  <si>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</si>
  <si>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</si>
  <si>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</si>
  <si>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</si>
  <si>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</si>
  <si>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</si>
  <si>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</si>
  <si>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</si>
  <si>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</si>
  <si>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</si>
  <si>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</si>
  <si>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</si>
  <si>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</si>
  <si>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</si>
  <si>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</si>
  <si>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</si>
  <si>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</si>
  <si>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</si>
  <si>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</si>
  <si>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</si>
  <si>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</si>
  <si>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</si>
  <si>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</si>
  <si>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</si>
  <si>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</si>
  <si>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</si>
  <si>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</si>
  <si>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</si>
  <si>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</si>
  <si>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</si>
  <si>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</si>
  <si>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</si>
  <si>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</si>
  <si>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</si>
  <si>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</si>
  <si>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</si>
  <si>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</si>
  <si>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</si>
  <si>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</si>
  <si>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</si>
  <si>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</si>
  <si>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</si>
  <si>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</si>
  <si>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</si>
  <si>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</si>
  <si>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</si>
  <si>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</si>
  <si>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</si>
  <si>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</si>
  <si>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</si>
  <si>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</si>
  <si>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</si>
  <si>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</si>
  <si>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</si>
  <si>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</si>
  <si>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</si>
  <si>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</si>
  <si>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</si>
  <si>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</si>
  <si>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</si>
  <si>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</si>
  <si>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</si>
  <si>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</si>
  <si>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</si>
  <si>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</si>
  <si>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</si>
  <si>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</si>
  <si>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</si>
  <si>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</si>
  <si>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</si>
  <si>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</si>
  <si>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</si>
  <si>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</si>
  <si>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</si>
  <si>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</si>
  <si>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</si>
  <si>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</si>
  <si>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</si>
  <si>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</si>
  <si>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</si>
  <si>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</si>
  <si>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</si>
  <si>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</si>
  <si>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</si>
  <si>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</si>
  <si>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</si>
  <si>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</si>
  <si>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</si>
  <si>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</si>
  <si>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</si>
  <si>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</si>
  <si>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</si>
  <si>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</si>
  <si>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</si>
  <si>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</si>
  <si>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</si>
  <si>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</si>
  <si>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</si>
  <si>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0106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</si>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</sst>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4" borderId="16" xfId="0" applyFill="1" applyBorder="1" applyAlignment="1">
      <alignment horizontal="center"/>
    </xf>
  </cellXfs>
  <cellStyles count="1">
    <cellStyle name="Normal" xfId="0" builtinId="0"/>
  </cellStyles>
  <dxfs count="2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66675</xdr:rowOff>
        </xdr:from>
        <xdr:to>
          <xdr:col>12</xdr:col>
          <xdr:colOff>19050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1" sqref="H2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20" t="s">
        <v>442</v>
      </c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1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148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1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1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 t="s">
        <v>223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450</v>
      </c>
      <c r="Q9" s="103">
        <v>1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/>
      <c r="Q10" s="103"/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1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/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443</v>
      </c>
      <c r="D13" s="34" t="str">
        <f t="shared" si="2"/>
        <v>.</v>
      </c>
      <c r="E13" s="35">
        <f t="shared" si="3"/>
        <v>262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192</v>
      </c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30" priority="26" operator="equal">
      <formula>0</formula>
    </cfRule>
    <cfRule type="cellIs" dxfId="229" priority="27" operator="greaterThan">
      <formula>0</formula>
    </cfRule>
  </conditionalFormatting>
  <conditionalFormatting sqref="F1:V1">
    <cfRule type="containsText" dxfId="228" priority="17" operator="containsText" text="Halted">
      <formula>NOT(ISERROR(SEARCH("Halted",F1)))</formula>
    </cfRule>
    <cfRule type="containsText" dxfId="227" priority="24" operator="containsText" text="Execution Complete">
      <formula>NOT(ISERROR(SEARCH("Execution Complete",F1)))</formula>
    </cfRule>
    <cfRule type="containsText" dxfId="226" priority="25" operator="containsText" text="Error">
      <formula>NOT(ISERROR(SEARCH("Error",F1)))</formula>
    </cfRule>
  </conditionalFormatting>
  <conditionalFormatting sqref="P22:R1070">
    <cfRule type="expression" dxfId="225" priority="49">
      <formula>$N22=$E$13</formula>
    </cfRule>
  </conditionalFormatting>
  <conditionalFormatting sqref="M7:S7 M22:S1070 M8:N21 S8:S21">
    <cfRule type="containsText" dxfId="224" priority="5" operator="containsText" text=" ">
      <formula>NOT(ISERROR(SEARCH(" ",M7)))</formula>
    </cfRule>
  </conditionalFormatting>
  <conditionalFormatting sqref="AC5:AL5">
    <cfRule type="cellIs" dxfId="223" priority="3" operator="equal">
      <formula>0</formula>
    </cfRule>
    <cfRule type="cellIs" dxfId="222" priority="4" operator="equal">
      <formula>1</formula>
    </cfRule>
  </conditionalFormatting>
  <conditionalFormatting sqref="H20">
    <cfRule type="cellIs" dxfId="221" priority="2" operator="equal">
      <formula>1</formula>
    </cfRule>
    <cfRule type="cellIs" dxfId="22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Engine">
                <anchor moveWithCells="1" sizeWithCells="1">
                  <from>
                    <xdr:col>7</xdr:col>
                    <xdr:colOff>257175</xdr:colOff>
                    <xdr:row>1</xdr:row>
                    <xdr:rowOff>66675</xdr:rowOff>
                  </from>
                  <to>
                    <xdr:col>12</xdr:col>
                    <xdr:colOff>19050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6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FF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0106</v>
      </c>
      <c r="J2" s="56" t="str">
        <f>SP</f>
        <v>0140</v>
      </c>
      <c r="K2" s="56">
        <f>Carry</f>
        <v>1</v>
      </c>
      <c r="L2" s="56">
        <f>Parity</f>
        <v>1</v>
      </c>
      <c r="M2" s="56">
        <f>AC</f>
        <v>1</v>
      </c>
      <c r="N2" s="56">
        <f>Zero</f>
        <v>0</v>
      </c>
      <c r="O2" s="56">
        <f>Flag</f>
        <v>1</v>
      </c>
      <c r="P2" s="56">
        <f>Sign</f>
        <v>1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8" t="s">
        <v>444</v>
      </c>
      <c r="L4" s="70" t="s">
        <v>267</v>
      </c>
      <c r="M4" s="20">
        <f>IFERROR(VLOOKUP(A4,$P$6:$R$1048576,3,0),0)</f>
        <v>0</v>
      </c>
      <c r="U4" s="123" t="s">
        <v>341</v>
      </c>
      <c r="V4" s="124"/>
      <c r="W4" s="124"/>
      <c r="X4" s="124"/>
      <c r="Y4" s="124"/>
      <c r="Z4" s="124"/>
      <c r="AA4" s="124"/>
      <c r="AB4" s="125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6" t="s">
        <v>460</v>
      </c>
      <c r="V5" s="126"/>
      <c r="W5" s="126"/>
      <c r="X5" s="126"/>
      <c r="Y5" s="126"/>
      <c r="Z5" s="126"/>
      <c r="AA5" s="126"/>
      <c r="AB5" s="126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7"/>
      <c r="V6" s="127"/>
      <c r="W6" s="127"/>
      <c r="X6" s="127"/>
      <c r="Y6" s="127"/>
      <c r="Z6" s="127"/>
      <c r="AA6" s="127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7"/>
      <c r="V7" s="127"/>
      <c r="W7" s="127"/>
      <c r="X7" s="127"/>
      <c r="Y7" s="127"/>
      <c r="Z7" s="127"/>
      <c r="AA7" s="127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7"/>
      <c r="V8" s="127"/>
      <c r="W8" s="127"/>
      <c r="X8" s="127"/>
      <c r="Y8" s="127"/>
      <c r="Z8" s="127"/>
      <c r="AA8" s="127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7"/>
      <c r="V9" s="127"/>
      <c r="W9" s="127"/>
      <c r="X9" s="127"/>
      <c r="Y9" s="127"/>
      <c r="Z9" s="127"/>
      <c r="AA9" s="127"/>
      <c r="AB9" s="127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7"/>
      <c r="V10" s="127"/>
      <c r="W10" s="127"/>
      <c r="X10" s="127"/>
      <c r="Y10" s="127"/>
      <c r="Z10" s="127"/>
      <c r="AA10" s="127"/>
      <c r="AB10" s="127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8" t="s">
        <v>444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7"/>
      <c r="V11" s="127"/>
      <c r="W11" s="127"/>
      <c r="X11" s="127"/>
      <c r="Y11" s="127"/>
      <c r="Z11" s="127"/>
      <c r="AA11" s="127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1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7"/>
      <c r="V12" s="127"/>
      <c r="W12" s="127"/>
      <c r="X12" s="127"/>
      <c r="Y12" s="127"/>
      <c r="Z12" s="127"/>
      <c r="AA12" s="127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7"/>
      <c r="V13" s="127"/>
      <c r="W13" s="127"/>
      <c r="X13" s="127"/>
      <c r="Y13" s="127"/>
      <c r="Z13" s="127"/>
      <c r="AA13" s="127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7"/>
      <c r="V14" s="127"/>
      <c r="W14" s="127"/>
      <c r="X14" s="127"/>
      <c r="Y14" s="127"/>
      <c r="Z14" s="127"/>
      <c r="AA14" s="127"/>
      <c r="AB14" s="127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7"/>
      <c r="V15" s="127"/>
      <c r="W15" s="127"/>
      <c r="X15" s="127"/>
      <c r="Y15" s="127"/>
      <c r="Z15" s="127"/>
      <c r="AA15" s="127"/>
      <c r="AB15" s="127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8" t="s">
        <v>444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7"/>
      <c r="V16" s="127"/>
      <c r="W16" s="127"/>
      <c r="X16" s="127"/>
      <c r="Y16" s="127"/>
      <c r="Z16" s="127"/>
      <c r="AA16" s="127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7"/>
      <c r="V17" s="127"/>
      <c r="W17" s="127"/>
      <c r="X17" s="127"/>
      <c r="Y17" s="127"/>
      <c r="Z17" s="127"/>
      <c r="AA17" s="127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7"/>
      <c r="V18" s="127"/>
      <c r="W18" s="127"/>
      <c r="X18" s="127"/>
      <c r="Y18" s="127"/>
      <c r="Z18" s="127"/>
      <c r="AA18" s="127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7"/>
      <c r="V19" s="127"/>
      <c r="W19" s="127"/>
      <c r="X19" s="127"/>
      <c r="Y19" s="127"/>
      <c r="Z19" s="127"/>
      <c r="AA19" s="127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7"/>
      <c r="V20" s="127"/>
      <c r="W20" s="127"/>
      <c r="X20" s="127"/>
      <c r="Y20" s="127"/>
      <c r="Z20" s="127"/>
      <c r="AA20" s="127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7"/>
      <c r="V21" s="127"/>
      <c r="W21" s="127"/>
      <c r="X21" s="127"/>
      <c r="Y21" s="127"/>
      <c r="Z21" s="127"/>
      <c r="AA21" s="127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7"/>
      <c r="V22" s="127"/>
      <c r="W22" s="127"/>
      <c r="X22" s="127"/>
      <c r="Y22" s="127"/>
      <c r="Z22" s="127"/>
      <c r="AA22" s="127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7"/>
      <c r="V23" s="127"/>
      <c r="W23" s="127"/>
      <c r="X23" s="127"/>
      <c r="Y23" s="127"/>
      <c r="Z23" s="127"/>
      <c r="AA23" s="127"/>
      <c r="AB23" s="127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7"/>
      <c r="V24" s="127"/>
      <c r="W24" s="127"/>
      <c r="X24" s="127"/>
      <c r="Y24" s="127"/>
      <c r="Z24" s="127"/>
      <c r="AA24" s="127"/>
      <c r="AB24" s="127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7"/>
      <c r="V25" s="127"/>
      <c r="W25" s="127"/>
      <c r="X25" s="127"/>
      <c r="Y25" s="127"/>
      <c r="Z25" s="127"/>
      <c r="AA25" s="127"/>
      <c r="AB25" s="127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7"/>
      <c r="V26" s="127"/>
      <c r="W26" s="127"/>
      <c r="X26" s="127"/>
      <c r="Y26" s="127"/>
      <c r="Z26" s="127"/>
      <c r="AA26" s="127"/>
      <c r="AB26" s="127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7"/>
      <c r="V27" s="127"/>
      <c r="W27" s="127"/>
      <c r="X27" s="127"/>
      <c r="Y27" s="127"/>
      <c r="Z27" s="127"/>
      <c r="AA27" s="127"/>
      <c r="AB27" s="127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7"/>
      <c r="V28" s="127"/>
      <c r="W28" s="127"/>
      <c r="X28" s="127"/>
      <c r="Y28" s="127"/>
      <c r="Z28" s="127"/>
      <c r="AA28" s="127"/>
      <c r="AB28" s="127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8" t="s">
        <v>444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7"/>
      <c r="V29" s="127"/>
      <c r="W29" s="127"/>
      <c r="X29" s="127"/>
      <c r="Y29" s="127"/>
      <c r="Z29" s="127"/>
      <c r="AA29" s="127"/>
      <c r="AB29" s="127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7"/>
      <c r="V30" s="127"/>
      <c r="W30" s="127"/>
      <c r="X30" s="127"/>
      <c r="Y30" s="127"/>
      <c r="Z30" s="127"/>
      <c r="AA30" s="127"/>
      <c r="AB30" s="127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7"/>
      <c r="V31" s="127"/>
      <c r="W31" s="127"/>
      <c r="X31" s="127"/>
      <c r="Y31" s="127"/>
      <c r="Z31" s="127"/>
      <c r="AA31" s="127"/>
      <c r="AB31" s="127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7"/>
      <c r="V32" s="127"/>
      <c r="W32" s="127"/>
      <c r="X32" s="127"/>
      <c r="Y32" s="127"/>
      <c r="Z32" s="127"/>
      <c r="AA32" s="127"/>
      <c r="AB32" s="127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7"/>
      <c r="V33" s="127"/>
      <c r="W33" s="127"/>
      <c r="X33" s="127"/>
      <c r="Y33" s="127"/>
      <c r="Z33" s="127"/>
      <c r="AA33" s="127"/>
      <c r="AB33" s="127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7"/>
      <c r="V34" s="127"/>
      <c r="W34" s="127"/>
      <c r="X34" s="127"/>
      <c r="Y34" s="127"/>
      <c r="Z34" s="127"/>
      <c r="AA34" s="127"/>
      <c r="AB34" s="127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8" t="s">
        <v>444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451</v>
      </c>
      <c r="Q44" s="40" t="str">
        <f t="shared" ref="Q44:Q52" si="17">IFERROR(VLOOKUP(P44,$A$4:$L$1048576,12,0),"")</f>
        <v/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452</v>
      </c>
      <c r="Q45" s="40" t="str">
        <f t="shared" si="17"/>
        <v/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453</v>
      </c>
      <c r="Q46" s="40" t="str">
        <f t="shared" si="17"/>
        <v/>
      </c>
      <c r="R46" s="40">
        <v>0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454</v>
      </c>
      <c r="Q47" s="40" t="str">
        <f t="shared" si="17"/>
        <v/>
      </c>
      <c r="R47" s="40">
        <v>0</v>
      </c>
    </row>
    <row r="48" spans="1:28" ht="15.75" thickBot="1">
      <c r="H48" s="52"/>
      <c r="I48" s="52"/>
      <c r="J48" s="52"/>
      <c r="K48" s="52"/>
      <c r="P48" s="6" t="s">
        <v>455</v>
      </c>
      <c r="Q48" s="40" t="str">
        <f t="shared" si="17"/>
        <v/>
      </c>
      <c r="R48" s="40">
        <v>0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8" t="s">
        <v>444</v>
      </c>
      <c r="L49" s="70" t="s">
        <v>263</v>
      </c>
      <c r="M49" s="20">
        <f>IFERROR(VLOOKUP(A49,$P$6:$R$1048576,3,0),0)</f>
        <v>0</v>
      </c>
      <c r="P49" s="6" t="s">
        <v>456</v>
      </c>
      <c r="Q49" s="40" t="str">
        <f t="shared" si="17"/>
        <v/>
      </c>
      <c r="R49" s="40">
        <v>0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457</v>
      </c>
      <c r="Q50" s="40" t="str">
        <f t="shared" si="17"/>
        <v/>
      </c>
      <c r="R50" s="40">
        <v>0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  <c r="P51" s="6" t="s">
        <v>458</v>
      </c>
      <c r="Q51" s="40" t="str">
        <f t="shared" si="17"/>
        <v/>
      </c>
      <c r="R51" s="40">
        <v>0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459</v>
      </c>
      <c r="Q52" s="40" t="str">
        <f t="shared" si="17"/>
        <v/>
      </c>
      <c r="R52" s="40">
        <v>0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8" t="s">
        <v>444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8" t="s">
        <v>444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0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1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8" t="s">
        <v>444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8" t="s">
        <v>444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1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0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0</v>
      </c>
      <c r="K97" s="128" t="s">
        <v>444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1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1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1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8" t="s">
        <v>444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1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0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28" t="s">
        <v>444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8" t="s">
        <v>444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8" t="s">
        <v>444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1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0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0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8" t="s">
        <v>444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1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1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8" t="s">
        <v>444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1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0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1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8" t="s">
        <v>444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8" t="s">
        <v>444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8" t="s">
        <v>444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1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0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0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8" t="s">
        <v>444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8" t="s">
        <v>444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8" t="s">
        <v>444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0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0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0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8" t="s">
        <v>444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0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0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0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8" t="s">
        <v>444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8" t="s">
        <v>444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0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0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8" t="s">
        <v>444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1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1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0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0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8" t="s">
        <v>444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0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0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0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8" t="s">
        <v>444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0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0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1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8" t="s">
        <v>444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0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1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1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8" t="s">
        <v>444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0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0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0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8" t="s">
        <v>444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0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0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1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8" t="s">
        <v>444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0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0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1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8" t="s">
        <v>444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1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1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0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8" t="s">
        <v>444</v>
      </c>
      <c r="L335" s="70" t="s">
        <v>439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440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0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1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441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0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1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1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8" t="s">
        <v>444</v>
      </c>
      <c r="L344" s="70" t="s">
        <v>445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446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1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0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0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1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8" t="s">
        <v>444</v>
      </c>
      <c r="L353" s="70" t="s">
        <v>447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448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1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0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0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1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0</v>
      </c>
      <c r="K362" s="128" t="s">
        <v>444</v>
      </c>
      <c r="L362" s="70" t="s">
        <v>449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1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450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1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1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1</v>
      </c>
      <c r="K368" s="55"/>
      <c r="L368" s="40"/>
      <c r="M368" s="40"/>
    </row>
    <row r="369" spans="2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1</v>
      </c>
      <c r="K369" s="55"/>
      <c r="L369" s="40"/>
      <c r="M369" s="40"/>
    </row>
  </sheetData>
  <mergeCells count="2">
    <mergeCell ref="U4:AB4"/>
    <mergeCell ref="U5:AB34"/>
  </mergeCells>
  <phoneticPr fontId="16" type="noConversion"/>
  <conditionalFormatting sqref="J4:K4">
    <cfRule type="cellIs" dxfId="219" priority="317" operator="equal">
      <formula>0</formula>
    </cfRule>
    <cfRule type="cellIs" dxfId="218" priority="318" operator="equal">
      <formula>1</formula>
    </cfRule>
  </conditionalFormatting>
  <conditionalFormatting sqref="J11:K11">
    <cfRule type="cellIs" dxfId="217" priority="315" operator="equal">
      <formula>0</formula>
    </cfRule>
    <cfRule type="cellIs" dxfId="216" priority="316" operator="equal">
      <formula>1</formula>
    </cfRule>
  </conditionalFormatting>
  <conditionalFormatting sqref="J16:K16">
    <cfRule type="cellIs" dxfId="215" priority="313" operator="equal">
      <formula>0</formula>
    </cfRule>
    <cfRule type="cellIs" dxfId="214" priority="314" operator="equal">
      <formula>1</formula>
    </cfRule>
  </conditionalFormatting>
  <conditionalFormatting sqref="J29:K29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M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J38:K38">
    <cfRule type="cellIs" dxfId="209" priority="297" operator="equal">
      <formula>0</formula>
    </cfRule>
    <cfRule type="cellIs" dxfId="208" priority="298" operator="equal">
      <formula>1</formula>
    </cfRule>
  </conditionalFormatting>
  <conditionalFormatting sqref="K49">
    <cfRule type="cellIs" dxfId="207" priority="293" operator="equal">
      <formula>0</formula>
    </cfRule>
    <cfRule type="cellIs" dxfId="206" priority="294" operator="equal">
      <formula>1</formula>
    </cfRule>
  </conditionalFormatting>
  <conditionalFormatting sqref="K66">
    <cfRule type="cellIs" dxfId="205" priority="285" operator="equal">
      <formula>0</formula>
    </cfRule>
    <cfRule type="cellIs" dxfId="204" priority="286" operator="equal">
      <formula>1</formula>
    </cfRule>
  </conditionalFormatting>
  <conditionalFormatting sqref="K57">
    <cfRule type="cellIs" dxfId="203" priority="281" operator="equal">
      <formula>0</formula>
    </cfRule>
    <cfRule type="cellIs" dxfId="202" priority="282" operator="equal">
      <formula>1</formula>
    </cfRule>
  </conditionalFormatting>
  <conditionalFormatting sqref="J49">
    <cfRule type="cellIs" dxfId="201" priority="277" operator="equal">
      <formula>0</formula>
    </cfRule>
    <cfRule type="cellIs" dxfId="200" priority="278" operator="equal">
      <formula>1</formula>
    </cfRule>
  </conditionalFormatting>
  <conditionalFormatting sqref="J57">
    <cfRule type="cellIs" dxfId="199" priority="275" operator="equal">
      <formula>0</formula>
    </cfRule>
    <cfRule type="cellIs" dxfId="198" priority="276" operator="equal">
      <formula>1</formula>
    </cfRule>
  </conditionalFormatting>
  <conditionalFormatting sqref="J66">
    <cfRule type="cellIs" dxfId="197" priority="273" operator="equal">
      <formula>0</formula>
    </cfRule>
    <cfRule type="cellIs" dxfId="196" priority="274" operator="equal">
      <formula>1</formula>
    </cfRule>
  </conditionalFormatting>
  <conditionalFormatting sqref="K74">
    <cfRule type="cellIs" dxfId="195" priority="271" operator="equal">
      <formula>0</formula>
    </cfRule>
    <cfRule type="cellIs" dxfId="194" priority="272" operator="equal">
      <formula>1</formula>
    </cfRule>
  </conditionalFormatting>
  <conditionalFormatting sqref="J74">
    <cfRule type="cellIs" dxfId="193" priority="267" operator="equal">
      <formula>0</formula>
    </cfRule>
    <cfRule type="cellIs" dxfId="192" priority="268" operator="equal">
      <formula>1</formula>
    </cfRule>
  </conditionalFormatting>
  <conditionalFormatting sqref="R6:R52">
    <cfRule type="cellIs" dxfId="191" priority="265" operator="equal">
      <formula>0</formula>
    </cfRule>
    <cfRule type="cellIs" dxfId="190" priority="266" operator="equal">
      <formula>1</formula>
    </cfRule>
  </conditionalFormatting>
  <conditionalFormatting sqref="K83">
    <cfRule type="cellIs" dxfId="189" priority="247" operator="equal">
      <formula>0</formula>
    </cfRule>
    <cfRule type="cellIs" dxfId="188" priority="248" operator="equal">
      <formula>1</formula>
    </cfRule>
  </conditionalFormatting>
  <conditionalFormatting sqref="J83">
    <cfRule type="cellIs" dxfId="187" priority="245" operator="equal">
      <formula>0</formula>
    </cfRule>
    <cfRule type="cellIs" dxfId="186" priority="246" operator="equal">
      <formula>1</formula>
    </cfRule>
  </conditionalFormatting>
  <conditionalFormatting sqref="K97">
    <cfRule type="cellIs" dxfId="185" priority="241" operator="equal">
      <formula>0</formula>
    </cfRule>
    <cfRule type="cellIs" dxfId="184" priority="242" operator="equal">
      <formula>1</formula>
    </cfRule>
  </conditionalFormatting>
  <conditionalFormatting sqref="J97">
    <cfRule type="cellIs" dxfId="183" priority="239" operator="equal">
      <formula>0</formula>
    </cfRule>
    <cfRule type="cellIs" dxfId="182" priority="240" operator="equal">
      <formula>1</formula>
    </cfRule>
  </conditionalFormatting>
  <conditionalFormatting sqref="K105">
    <cfRule type="cellIs" dxfId="181" priority="229" operator="equal">
      <formula>0</formula>
    </cfRule>
    <cfRule type="cellIs" dxfId="180" priority="230" operator="equal">
      <formula>1</formula>
    </cfRule>
  </conditionalFormatting>
  <conditionalFormatting sqref="J105">
    <cfRule type="cellIs" dxfId="179" priority="227" operator="equal">
      <formula>0</formula>
    </cfRule>
    <cfRule type="cellIs" dxfId="178" priority="228" operator="equal">
      <formula>1</formula>
    </cfRule>
  </conditionalFormatting>
  <conditionalFormatting sqref="K113">
    <cfRule type="cellIs" dxfId="177" priority="223" operator="equal">
      <formula>0</formula>
    </cfRule>
    <cfRule type="cellIs" dxfId="176" priority="224" operator="equal">
      <formula>1</formula>
    </cfRule>
  </conditionalFormatting>
  <conditionalFormatting sqref="M11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16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29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38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49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57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M66">
    <cfRule type="cellIs" dxfId="163" priority="203" operator="equal">
      <formula>0</formula>
    </cfRule>
    <cfRule type="cellIs" dxfId="162" priority="204" operator="equal">
      <formula>1</formula>
    </cfRule>
  </conditionalFormatting>
  <conditionalFormatting sqref="M74">
    <cfRule type="cellIs" dxfId="161" priority="201" operator="equal">
      <formula>0</formula>
    </cfRule>
    <cfRule type="cellIs" dxfId="160" priority="202" operator="equal">
      <formula>1</formula>
    </cfRule>
  </conditionalFormatting>
  <conditionalFormatting sqref="M83">
    <cfRule type="cellIs" dxfId="159" priority="199" operator="equal">
      <formula>0</formula>
    </cfRule>
    <cfRule type="cellIs" dxfId="158" priority="200" operator="equal">
      <formula>1</formula>
    </cfRule>
  </conditionalFormatting>
  <conditionalFormatting sqref="M97">
    <cfRule type="cellIs" dxfId="157" priority="197" operator="equal">
      <formula>0</formula>
    </cfRule>
    <cfRule type="cellIs" dxfId="156" priority="198" operator="equal">
      <formula>1</formula>
    </cfRule>
  </conditionalFormatting>
  <conditionalFormatting sqref="M105">
    <cfRule type="cellIs" dxfId="155" priority="195" operator="equal">
      <formula>0</formula>
    </cfRule>
    <cfRule type="cellIs" dxfId="154" priority="196" operator="equal">
      <formula>1</formula>
    </cfRule>
  </conditionalFormatting>
  <conditionalFormatting sqref="M113">
    <cfRule type="cellIs" dxfId="153" priority="193" operator="equal">
      <formula>0</formula>
    </cfRule>
    <cfRule type="cellIs" dxfId="152" priority="194" operator="equal">
      <formula>1</formula>
    </cfRule>
  </conditionalFormatting>
  <conditionalFormatting sqref="K125">
    <cfRule type="cellIs" dxfId="151" priority="185" operator="equal">
      <formula>0</formula>
    </cfRule>
    <cfRule type="cellIs" dxfId="150" priority="186" operator="equal">
      <formula>1</formula>
    </cfRule>
  </conditionalFormatting>
  <conditionalFormatting sqref="M125">
    <cfRule type="cellIs" dxfId="149" priority="181" operator="equal">
      <formula>0</formula>
    </cfRule>
    <cfRule type="cellIs" dxfId="148" priority="182" operator="equal">
      <formula>1</formula>
    </cfRule>
  </conditionalFormatting>
  <conditionalFormatting sqref="K135">
    <cfRule type="cellIs" dxfId="147" priority="171" operator="equal">
      <formula>0</formula>
    </cfRule>
    <cfRule type="cellIs" dxfId="146" priority="172" operator="equal">
      <formula>1</formula>
    </cfRule>
  </conditionalFormatting>
  <conditionalFormatting sqref="M135">
    <cfRule type="cellIs" dxfId="145" priority="167" operator="equal">
      <formula>0</formula>
    </cfRule>
    <cfRule type="cellIs" dxfId="144" priority="168" operator="equal">
      <formula>1</formula>
    </cfRule>
  </conditionalFormatting>
  <conditionalFormatting sqref="J125">
    <cfRule type="cellIs" dxfId="143" priority="165" operator="equal">
      <formula>0</formula>
    </cfRule>
    <cfRule type="cellIs" dxfId="142" priority="166" operator="equal">
      <formula>1</formula>
    </cfRule>
  </conditionalFormatting>
  <conditionalFormatting sqref="J135">
    <cfRule type="cellIs" dxfId="141" priority="163" operator="equal">
      <formula>0</formula>
    </cfRule>
    <cfRule type="cellIs" dxfId="140" priority="164" operator="equal">
      <formula>1</formula>
    </cfRule>
  </conditionalFormatting>
  <conditionalFormatting sqref="J113">
    <cfRule type="cellIs" dxfId="139" priority="161" operator="equal">
      <formula>0</formula>
    </cfRule>
    <cfRule type="cellIs" dxfId="138" priority="162" operator="equal">
      <formula>1</formula>
    </cfRule>
  </conditionalFormatting>
  <conditionalFormatting sqref="K148">
    <cfRule type="cellIs" dxfId="137" priority="159" operator="equal">
      <formula>0</formula>
    </cfRule>
    <cfRule type="cellIs" dxfId="136" priority="160" operator="equal">
      <formula>1</formula>
    </cfRule>
  </conditionalFormatting>
  <conditionalFormatting sqref="J148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48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63">
    <cfRule type="cellIs" dxfId="131" priority="149" operator="equal">
      <formula>0</formula>
    </cfRule>
    <cfRule type="cellIs" dxfId="130" priority="150" operator="equal">
      <formula>1</formula>
    </cfRule>
  </conditionalFormatting>
  <conditionalFormatting sqref="J163">
    <cfRule type="cellIs" dxfId="129" priority="147" operator="equal">
      <formula>0</formula>
    </cfRule>
    <cfRule type="cellIs" dxfId="128" priority="148" operator="equal">
      <formula>1</formula>
    </cfRule>
  </conditionalFormatting>
  <conditionalFormatting sqref="M163">
    <cfRule type="cellIs" dxfId="127" priority="145" operator="equal">
      <formula>0</formula>
    </cfRule>
    <cfRule type="cellIs" dxfId="126" priority="146" operator="equal">
      <formula>1</formula>
    </cfRule>
  </conditionalFormatting>
  <conditionalFormatting sqref="K174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J174">
    <cfRule type="cellIs" dxfId="123" priority="141" operator="equal">
      <formula>0</formula>
    </cfRule>
    <cfRule type="cellIs" dxfId="122" priority="142" operator="equal">
      <formula>1</formula>
    </cfRule>
  </conditionalFormatting>
  <conditionalFormatting sqref="M174">
    <cfRule type="cellIs" dxfId="121" priority="139" operator="equal">
      <formula>0</formula>
    </cfRule>
    <cfRule type="cellIs" dxfId="120" priority="140" operator="equal">
      <formula>1</formula>
    </cfRule>
  </conditionalFormatting>
  <conditionalFormatting sqref="K18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18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18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194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194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194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0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0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0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11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11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11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2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2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2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40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240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240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53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53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53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5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5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59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65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65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65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7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73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73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81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81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2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9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9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9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08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08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0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1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1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1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26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26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26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3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3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3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44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44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4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5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5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62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6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10010111</v>
      </c>
      <c r="T3" t="str">
        <f>BIN2HEX(S3)</f>
        <v>97</v>
      </c>
      <c r="U3">
        <f>SUM(U4:U11)</f>
        <v>151</v>
      </c>
      <c r="V3" t="str">
        <f>DEC2HEX(U3)</f>
        <v>97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1</v>
      </c>
      <c r="S4">
        <f t="shared" ref="S4:S11" si="0">2^N4</f>
        <v>128</v>
      </c>
      <c r="U4">
        <f t="shared" ref="U4:U11" si="1">S4*R4</f>
        <v>128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1</v>
      </c>
      <c r="S7">
        <f t="shared" si="0"/>
        <v>16</v>
      </c>
      <c r="U7">
        <f t="shared" si="1"/>
        <v>16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2026-02-16T20:01:25Z</dcterms:modified>
</cp:coreProperties>
</file>