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C7D780A0-ABC3-4418-A9DA-C19B4346462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6" i="5" l="1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56" i="5" a="1"/>
  <c r="J44" i="5" a="1"/>
  <c r="J226" i="5" a="1"/>
  <c r="J185" i="5" a="1"/>
  <c r="J235" i="5" a="1"/>
  <c r="J129" i="5" a="1"/>
  <c r="J186" i="5" a="1"/>
  <c r="J189" i="5" a="1"/>
  <c r="J225" i="5" a="1"/>
  <c r="J247" i="5" a="1"/>
  <c r="J126" i="5" a="1"/>
  <c r="J234" i="5" a="1"/>
  <c r="J170" i="5" a="1"/>
  <c r="J195" i="5" a="1"/>
  <c r="J141" i="5" a="1"/>
  <c r="J136" i="5" a="1"/>
  <c r="J132" i="5" a="1"/>
  <c r="J130" i="5" a="1"/>
  <c r="J131" i="5" a="1"/>
  <c r="J198" i="5" a="1"/>
  <c r="J46" i="5" a="1"/>
  <c r="J227" i="5" a="1"/>
  <c r="J199" i="5" a="1"/>
  <c r="J127" i="5" a="1"/>
  <c r="J133" i="5" a="1"/>
  <c r="J176" i="5" a="1"/>
  <c r="J255" i="5" a="1"/>
  <c r="J155" i="5" a="1"/>
  <c r="J175" i="5" a="1"/>
  <c r="J206" i="5" a="1"/>
  <c r="J218" i="5" a="1"/>
  <c r="J212" i="5" a="1"/>
  <c r="J248" i="5" a="1"/>
  <c r="J228" i="5" a="1"/>
  <c r="J138" i="5" a="1"/>
  <c r="J178" i="5" a="1"/>
  <c r="J249" i="5" a="1"/>
  <c r="J137" i="5" a="1"/>
  <c r="J179" i="5" a="1"/>
  <c r="J197" i="5" a="1"/>
  <c r="J215" i="5" a="1"/>
  <c r="J187" i="5" a="1"/>
  <c r="J167" i="5" a="1"/>
  <c r="J166" i="5" a="1"/>
  <c r="J237" i="5" a="1"/>
  <c r="J156" i="5" a="1"/>
  <c r="J246" i="5" a="1"/>
  <c r="J236" i="5" a="1"/>
  <c r="J181" i="5" a="1"/>
  <c r="J128" i="5" a="1"/>
  <c r="J200" i="5" a="1"/>
  <c r="J165" i="5" a="1"/>
  <c r="J171" i="5" a="1"/>
  <c r="J158" i="5" a="1"/>
  <c r="J242" i="5" a="1"/>
  <c r="J152" i="5" a="1"/>
  <c r="J219" i="5" a="1"/>
  <c r="J144" i="5" a="1"/>
  <c r="J245" i="5" a="1"/>
  <c r="J188" i="5" a="1"/>
  <c r="J168" i="5" a="1"/>
  <c r="J177" i="5" a="1"/>
  <c r="J150" i="5" a="1"/>
  <c r="J145" i="5" a="1"/>
  <c r="J153" i="5" a="1"/>
  <c r="J201" i="5" a="1"/>
  <c r="J243" i="5" a="1"/>
  <c r="J191" i="5" a="1"/>
  <c r="J143" i="5" a="1"/>
  <c r="J196" i="5" a="1"/>
  <c r="J151" i="5" a="1"/>
  <c r="J142" i="5" a="1"/>
  <c r="J241" i="5" a="1"/>
  <c r="J46" i="5" l="1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9" i="5" a="1"/>
  <c r="J108" i="5" a="1"/>
  <c r="J101" i="5" a="1"/>
  <c r="J90" i="5" a="1"/>
  <c r="J87" i="5" a="1"/>
  <c r="J99" i="5" a="1"/>
  <c r="J89" i="5" a="1"/>
  <c r="J102" i="5" a="1"/>
  <c r="J86" i="5" a="1"/>
  <c r="J84" i="5" a="1"/>
  <c r="J110" i="5" a="1"/>
  <c r="J85" i="5" a="1"/>
  <c r="J107" i="5" a="1"/>
  <c r="J100" i="5" a="1"/>
  <c r="J91" i="5" a="1"/>
  <c r="J88" i="5" a="1"/>
  <c r="J80" i="5" a="1"/>
  <c r="J253" i="5" l="1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51" i="5" a="1"/>
  <c r="J79" i="5" a="1"/>
  <c r="J26" i="5" a="1"/>
  <c r="J63" i="5" a="1"/>
  <c r="J22" i="5" a="1"/>
  <c r="J31" i="5" a="1"/>
  <c r="J77" i="5" a="1"/>
  <c r="J42" i="5" a="1"/>
  <c r="J19" i="5" a="1"/>
  <c r="J72" i="5" a="1"/>
  <c r="J59" i="5" a="1"/>
  <c r="J71" i="5" a="1"/>
  <c r="J33" i="5" a="1"/>
  <c r="J78" i="5" a="1"/>
  <c r="J70" i="5" a="1"/>
  <c r="J60" i="5" a="1"/>
  <c r="J61" i="5" a="1"/>
  <c r="J69" i="5" a="1"/>
  <c r="J40" i="5" a="1"/>
  <c r="J12" i="5" a="1"/>
  <c r="J35" i="5" a="1"/>
  <c r="B117" i="5" l="1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9" i="5" s="1"/>
  <c r="J26" i="5"/>
  <c r="J22" i="5"/>
  <c r="J19" i="5"/>
  <c r="J12" i="5"/>
  <c r="J38" i="5" l="1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5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<sst xmlns="http://schemas.openxmlformats.org/spreadsheetml/2006/main" count="1211" uniqueCount="389">
  <si>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</si>
  <si>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</si>
  <si>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</si>
  <si>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</si>
  <si>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</si>
  <si>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</si>
  <si>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</si>
  <si>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</si>
  <si>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</si>
  <si>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</si>
  <si>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</si>
  <si>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</si>
  <si>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</si>
  <si>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</si>
  <si>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</si>
  <si>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</si>
  <si>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</si>
  <si>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</si>
  <si>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</si>
  <si>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</si>
  <si>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</si>
  <si>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</si>
  <si>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</si>
  <si>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</si>
  <si>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</si>
  <si>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</si>
  <si>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</si>
  <si>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</si>
  <si>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</si>
  <si>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</si>
  <si>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</si>
  <si>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</si>
  <si>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</si>
  <si>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</si>
  <si>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</si>
  <si>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</si>
  <si>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</si>
  <si>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</si>
  <si>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</si>
  <si>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</si>
  <si>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</si>
  <si>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</si>
  <si>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</si>
  <si>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</si>
  <si>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</si>
  <si>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</si>
  <si>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</si>
  <si>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</si>
  <si>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</si>
  <si>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</si>
  <si>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</si>
  <si>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</si>
  <si>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</si>
  <si>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</si>
  <si>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</si>
  <si>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</si>
  <si>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</si>
  <si>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</si>
  <si>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</si>
  <si>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</si>
  <si>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</si>
  <si>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</si>
  <si>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</si>
  <si>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</si>
  <si>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</si>
  <si>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</si>
  <si>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</si>
  <si>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</si>
  <si>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</si>
  <si>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</si>
  <si>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</si>
  <si>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</si>
  <si>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</si>
  <si>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</si>
  <si>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</si>
  <si>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</si>
  <si>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</si>
  <si>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</si>
  <si>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</si>
  <si>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</si>
  <si>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</si>
  <si>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</si>
  <si>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</si>
  <si>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</si>
  <si>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</si>
  <si>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</si>
  <si>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</si>
  <si>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</si>
  <si>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</si>
  <si>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</si>
  <si>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</si>
  <si>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</si>
  <si>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</si>
  <si>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</si>
  <si>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</si>
  <si>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</si>
  <si>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</si>
  <si>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</si>
  <si>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</si>
  <si>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</si>
  <si>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</si>
  <si>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</si>
  <si>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</si>
  <si>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</si>
  <si>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</si>
  <si>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</si>
  <si>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</si>
  <si>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</si>
  <si>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</si>
  <si>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</si>
  <si>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</si>
  <si>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</si>
  <si>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</si>
  <si>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</si>
  <si>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</si>
  <si>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</si>
  <si>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</si>
  <si>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</si>
  <si>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</si>
  <si>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</si>
  <si>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</si>
  <si>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</si>
  <si>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</si>
  <si>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</si>
  <si>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</si>
  <si>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</si>
  <si>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</si>
  <si>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</si>
  <si>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</si>
  <si>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</si>
  <si>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</si>
  <si>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</si>
  <si>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</si>
  <si>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</si>
  <si>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</si>
  <si>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</si>
  <si>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</si>
  <si>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</si>
  <si>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</si>
  <si>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</si>
  <si>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</si>
  <si>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</si>
  <si>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</si>
  <si>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</si>
  <si>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</si>
  <si>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</si>
  <si>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</si>
  <si>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</si>
  <si>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</si>
  <si>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</si>
  <si>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</si>
  <si>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</si>
  <si>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</si>
  <si>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</si>
  <si>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</si>
  <si>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</si>
  <si>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</si>
  <si>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</si>
  <si>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</si>
  <si>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</si>
  <si>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</si>
  <si>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</si>
  <si>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</si>
  <si>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</si>
  <si>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</si>
  <si>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</si>
  <si>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</si>
  <si>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</si>
  <si>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</si>
  <si>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</si>
  <si>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</si>
  <si>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</si>
  <si>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</si>
  <si>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</si>
  <si>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</si>
  <si>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</si>
  <si>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</si>
  <si>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</si>
  <si>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</si>
  <si>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</si>
  <si>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</si>
  <si>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</si>
  <si>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</si>
  <si>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</si>
  <si>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</si>
  <si>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</si>
  <si>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</si>
  <si>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</si>
  <si>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</si>
  <si>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</si>
  <si>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</si>
  <si>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</si>
  <si>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</si>
  <si>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</si>
  <si>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</si>
  <si>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</si>
  <si>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</si>
  <si>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</si>
  <si>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</si>
  <si>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</si>
  <si>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</si>
  <si>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</si>
  <si>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</si>
  <si>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</si>
  <si>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</si>
  <si>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</si>
  <si>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</si>
  <si>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</si>
  <si>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</si>
  <si>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</si>
  <si>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</si>
  <si>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</si>
  <si>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</si>
  <si>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</si>
  <si>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</si>
  <si>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</si>
  <si>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</si>
  <si>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</si>
  <si>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</si>
  <si>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</si>
  <si>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</si>
  <si>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</si>
  <si>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</si>
  <si>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</si>
  <si>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</si>
  <si>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</si>
  <si>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</si>
  <si>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</si>
  <si>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</si>
  <si>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</si>
  <si>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</si>
  <si>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</si>
  <si>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</si>
  <si>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</si>
  <si>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</si>
  <si>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</si>
  <si>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</si>
  <si>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</si>
  <si>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</si>
  <si>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</si>
  <si>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</si>
  <si>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</si>
  <si>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</si>
  <si>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</si>
  <si>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</si>
  <si>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</si>
  <si>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</si>
  <si>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</si>
  <si>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</si>
  <si>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</si>
  <si>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</si>
  <si>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</si>
  <si>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</si>
  <si>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</si>
  <si>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</si>
  <si>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</si>
  <si>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</si>
  <si>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</si>
  <si>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</si>
  <si>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</si>
  <si>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</si>
  <si>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</si>
  <si>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</si>
  <si>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</si>
  <si>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</si>
  <si>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</si>
  <si>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</si>
  <si>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</si>
  <si>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</si>
  <si>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</si>
  <si>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</si>
  <si>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</si>
  <si>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</si>
  <si>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</si>
  <si>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</si>
  <si>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</si>
  <si>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</si>
  <si>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</si>
  <si>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</si>
  <si>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</si>
  <si>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</si>
  <si>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</si>
  <si>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</si>
  <si>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</si>
  <si>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</si>
  <si>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</si>
  <si>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</si>
  <si>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</si>
  <si>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</si>
  <si>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</si>
  <si>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</si>
  <si>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</si>
  <si>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</si>
  <si>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</si>
  <si>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</si>
  <si>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</si>
  <si>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</si>
  <si>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</si>
  <si>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</si>
  <si>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</si>
  <si>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</si>
  <si>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</si>
  <si>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</si>
  <si>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</si>
  <si>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</si>
  <si>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</si>
  <si>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</si>
  <si>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</si>
  <si>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</si>
  <si>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</si>
  <si>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</si>
  <si>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</si>
  <si>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</si>
  <si>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</si>
  <si>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</si>
  <si>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</si>
  <si>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</si>
  <si>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</si>
  <si>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</si>
  <si>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</si>
  <si>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</si>
  <si>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</si>
  <si>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</si>
  <si>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</si>
  <si>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</si>
  <si>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</si>
  <si>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</si>
  <si>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</si>
  <si>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</si>
  <si>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</si>
  <si>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</si>
  <si>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</si>
  <si>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</si>
  <si>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</si>
  <si>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</si>
  <si>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</si>
  <si>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</si>
  <si>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</si>
  <si>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</si>
  <si>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</si>
  <si>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</si>
  <si>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</si>
  <si>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</si>
  <si>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</si>
  <si>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</si>
  <si>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</si>
  <si>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</si>
  <si>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</si>
  <si>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</si>
  <si>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</si>
  <si>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</si>
  <si>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</si>
  <si>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</si>
  <si>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</si>
  <si>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</si>
  <si>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</si>
  <si>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</si>
  <si>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</si>
  <si>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</si>
  <si>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</si>
  <si>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</si>
  <si>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</si>
  <si>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</si>
  <si>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</si>
  <si>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</si>
  <si>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</si>
  <si>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</si>
  <si>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</si>
  <si>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</si>
  <si>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</si>
  <si>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</si>
  <si>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</si>
  <si>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</si>
  <si>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</si>
  <si>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</si>
  <si>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</si>
  <si>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</si>
  <si>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</si>
  <si>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</si>
  <si>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</si>
  <si>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</si>
  <si>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</si>
  <si>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</si>
  <si>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</si>
  <si>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</si>
  <si>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0104</t>
  </si>
  <si>
    <t>FAIL</t>
  </si>
  <si>
    <t>23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</si>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</sst>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</cellXfs>
  <cellStyles count="1">
    <cellStyle name="Normal" xfId="0" builtinId="0"/>
  </cellStyles>
  <dxfs count="14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9" t="s">
        <v>375</v>
      </c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1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2">IFERROR(RIGHT("0000"&amp;DEC2HEX(N8),4),"")</f>
        <v>0100</v>
      </c>
      <c r="N8" s="71">
        <f>I14</f>
        <v>256</v>
      </c>
      <c r="O8" s="101" t="s">
        <v>383</v>
      </c>
      <c r="P8" s="102" t="s">
        <v>166</v>
      </c>
      <c r="Q8" s="103">
        <v>123</v>
      </c>
      <c r="R8" s="104"/>
      <c r="S8" s="88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89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101"/>
      <c r="P9" s="102" t="s">
        <v>301</v>
      </c>
      <c r="Q9" s="103" t="s">
        <v>315</v>
      </c>
      <c r="R9" s="104" t="s">
        <v>383</v>
      </c>
      <c r="S9" s="90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3" t="s">
        <v>196</v>
      </c>
      <c r="H10" s="74">
        <v>1</v>
      </c>
      <c r="K10" s="89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307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89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387</v>
      </c>
      <c r="D12" s="34" t="str">
        <f t="shared" si="0"/>
        <v>#</v>
      </c>
      <c r="E12" s="35">
        <f t="shared" si="1"/>
        <v>35</v>
      </c>
      <c r="K12" s="89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385</v>
      </c>
      <c r="D13" s="34" t="str">
        <f t="shared" si="0"/>
        <v>.</v>
      </c>
      <c r="E13" s="35">
        <f t="shared" si="1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300</v>
      </c>
      <c r="D14" s="36" t="str">
        <f t="shared" si="0"/>
        <v>.</v>
      </c>
      <c r="E14" s="37">
        <f t="shared" si="1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24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3"/>
        <v/>
      </c>
      <c r="M16" s="38" t="str">
        <f t="shared" si="2"/>
        <v>0108</v>
      </c>
      <c r="N16" s="66">
        <f t="shared" si="4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3"/>
        <v/>
      </c>
      <c r="M17" s="38" t="str">
        <f t="shared" si="2"/>
        <v>0109</v>
      </c>
      <c r="N17" s="66">
        <f t="shared" si="4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78"/>
      <c r="P48" s="102"/>
      <c r="Q48" s="103"/>
      <c r="R48" s="103"/>
      <c r="S48" s="90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78"/>
      <c r="P49" s="102"/>
      <c r="Q49" s="103"/>
      <c r="R49" s="103"/>
      <c r="S49" s="90"/>
      <c r="U49" s="49" t="str">
        <f t="shared" si="7"/>
        <v/>
      </c>
      <c r="V49" s="16"/>
      <c r="W49" s="34"/>
      <c r="X49" s="35"/>
    </row>
    <row r="50" spans="11:24">
      <c r="K50" s="89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78"/>
      <c r="P50" s="102"/>
      <c r="Q50" s="103"/>
      <c r="R50" s="103"/>
      <c r="S50" s="90"/>
      <c r="U50" s="49" t="str">
        <f t="shared" si="7"/>
        <v/>
      </c>
      <c r="V50" s="16"/>
      <c r="W50" s="34"/>
      <c r="X50" s="35"/>
    </row>
    <row r="51" spans="11:24">
      <c r="K51" s="89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78"/>
      <c r="P51" s="102"/>
      <c r="Q51" s="103"/>
      <c r="R51" s="103"/>
      <c r="S51" s="90"/>
      <c r="U51" s="49" t="str">
        <f t="shared" si="7"/>
        <v/>
      </c>
      <c r="V51" s="16"/>
      <c r="W51" s="34"/>
      <c r="X51" s="35"/>
    </row>
    <row r="52" spans="11:24">
      <c r="K52" s="89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78"/>
      <c r="P52" s="102"/>
      <c r="Q52" s="103"/>
      <c r="R52" s="103"/>
      <c r="S52" s="90"/>
      <c r="U52" s="49" t="str">
        <f t="shared" si="7"/>
        <v/>
      </c>
      <c r="V52" s="16"/>
      <c r="W52" s="34"/>
      <c r="X52" s="35"/>
    </row>
    <row r="53" spans="11:24">
      <c r="K53" s="89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78"/>
      <c r="P53" s="102"/>
      <c r="Q53" s="103"/>
      <c r="R53" s="103"/>
      <c r="S53" s="90"/>
      <c r="U53" s="49" t="str">
        <f t="shared" si="7"/>
        <v/>
      </c>
      <c r="V53" s="16"/>
      <c r="W53" s="34"/>
      <c r="X53" s="35"/>
    </row>
    <row r="54" spans="11:24">
      <c r="K54" s="89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78"/>
      <c r="P54" s="102"/>
      <c r="Q54" s="103"/>
      <c r="R54" s="103"/>
      <c r="S54" s="90"/>
      <c r="U54" s="49" t="str">
        <f t="shared" si="7"/>
        <v/>
      </c>
      <c r="V54" s="16"/>
      <c r="W54" s="34"/>
      <c r="X54" s="35"/>
    </row>
    <row r="55" spans="11:24">
      <c r="K55" s="89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78"/>
      <c r="P55" s="102"/>
      <c r="Q55" s="103"/>
      <c r="R55" s="103"/>
      <c r="S55" s="90"/>
      <c r="U55" s="49" t="str">
        <f t="shared" si="7"/>
        <v/>
      </c>
      <c r="V55" s="16"/>
      <c r="W55" s="34"/>
      <c r="X55" s="35"/>
    </row>
    <row r="56" spans="11:24">
      <c r="K56" s="89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78"/>
      <c r="P56" s="102"/>
      <c r="Q56" s="103"/>
      <c r="R56" s="103"/>
      <c r="S56" s="90"/>
      <c r="U56" s="49" t="str">
        <f t="shared" si="7"/>
        <v/>
      </c>
      <c r="V56" s="16"/>
      <c r="W56" s="34"/>
      <c r="X56" s="35"/>
    </row>
    <row r="57" spans="11:24">
      <c r="K57" s="89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78"/>
      <c r="P57" s="102"/>
      <c r="Q57" s="103"/>
      <c r="R57" s="103"/>
      <c r="S57" s="90"/>
      <c r="U57" s="49" t="str">
        <f t="shared" si="7"/>
        <v/>
      </c>
      <c r="V57" s="16"/>
      <c r="W57" s="34"/>
      <c r="X57" s="35"/>
    </row>
    <row r="58" spans="11:24">
      <c r="K58" s="89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78"/>
      <c r="P58" s="102"/>
      <c r="Q58" s="103"/>
      <c r="R58" s="103"/>
      <c r="S58" s="90"/>
      <c r="U58" s="49" t="str">
        <f t="shared" si="7"/>
        <v/>
      </c>
      <c r="V58" s="16"/>
      <c r="W58" s="34"/>
      <c r="X58" s="35"/>
    </row>
    <row r="59" spans="11:24">
      <c r="K59" s="89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78"/>
      <c r="P59" s="102"/>
      <c r="Q59" s="103"/>
      <c r="R59" s="103"/>
      <c r="S59" s="90"/>
      <c r="U59" s="49" t="str">
        <f t="shared" si="7"/>
        <v/>
      </c>
      <c r="V59" s="16"/>
      <c r="W59" s="34"/>
      <c r="X59" s="35"/>
    </row>
    <row r="60" spans="11:24">
      <c r="K60" s="89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78"/>
      <c r="P60" s="102"/>
      <c r="Q60" s="103"/>
      <c r="R60" s="103"/>
      <c r="S60" s="90"/>
      <c r="U60" s="49" t="str">
        <f t="shared" si="7"/>
        <v/>
      </c>
      <c r="V60" s="16"/>
      <c r="W60" s="34"/>
      <c r="X60" s="35"/>
    </row>
    <row r="61" spans="11:24">
      <c r="K61" s="89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78"/>
      <c r="P61" s="102"/>
      <c r="Q61" s="103"/>
      <c r="R61" s="103"/>
      <c r="S61" s="90"/>
      <c r="U61" s="49" t="str">
        <f t="shared" si="7"/>
        <v/>
      </c>
      <c r="V61" s="16"/>
      <c r="W61" s="34"/>
      <c r="X61" s="35"/>
    </row>
    <row r="62" spans="11:24">
      <c r="K62" s="89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78"/>
      <c r="P62" s="102"/>
      <c r="Q62" s="103"/>
      <c r="R62" s="103"/>
      <c r="S62" s="90"/>
      <c r="U62" s="49" t="str">
        <f t="shared" si="7"/>
        <v/>
      </c>
      <c r="V62" s="16"/>
      <c r="W62" s="34"/>
      <c r="X62" s="35"/>
    </row>
    <row r="63" spans="11:24">
      <c r="K63" s="89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78"/>
      <c r="P63" s="102"/>
      <c r="Q63" s="103"/>
      <c r="R63" s="103"/>
      <c r="S63" s="90"/>
      <c r="U63" s="49" t="str">
        <f t="shared" si="7"/>
        <v/>
      </c>
      <c r="V63" s="16"/>
      <c r="W63" s="34"/>
      <c r="X63" s="35"/>
    </row>
    <row r="64" spans="11:24">
      <c r="K64" s="89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78"/>
      <c r="P64" s="102"/>
      <c r="Q64" s="103"/>
      <c r="R64" s="103"/>
      <c r="S64" s="90"/>
      <c r="U64" s="49" t="str">
        <f t="shared" si="7"/>
        <v/>
      </c>
      <c r="V64" s="16"/>
      <c r="W64" s="34"/>
      <c r="X64" s="35"/>
    </row>
    <row r="65" spans="11:24">
      <c r="K65" s="89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78"/>
      <c r="P65" s="102"/>
      <c r="Q65" s="103"/>
      <c r="R65" s="103"/>
      <c r="S65" s="90"/>
      <c r="U65" s="49" t="str">
        <f t="shared" si="7"/>
        <v/>
      </c>
      <c r="V65" s="16"/>
      <c r="W65" s="34"/>
      <c r="X65" s="35"/>
    </row>
    <row r="66" spans="11:24">
      <c r="K66" s="89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78"/>
      <c r="P66" s="102"/>
      <c r="Q66" s="103"/>
      <c r="R66" s="103"/>
      <c r="S66" s="90"/>
      <c r="U66" s="49" t="str">
        <f t="shared" si="7"/>
        <v/>
      </c>
      <c r="V66" s="16"/>
      <c r="W66" s="34"/>
      <c r="X66" s="35"/>
    </row>
    <row r="67" spans="11:24">
      <c r="K67" s="89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78"/>
      <c r="P67" s="102"/>
      <c r="Q67" s="103"/>
      <c r="R67" s="103"/>
      <c r="S67" s="90"/>
      <c r="U67" s="49" t="str">
        <f t="shared" si="7"/>
        <v/>
      </c>
      <c r="V67" s="16"/>
      <c r="W67" s="34"/>
      <c r="X67" s="35"/>
    </row>
    <row r="68" spans="11:24">
      <c r="K68" s="89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78"/>
      <c r="P68" s="102"/>
      <c r="Q68" s="103"/>
      <c r="R68" s="103"/>
      <c r="S68" s="90"/>
      <c r="U68" s="49" t="str">
        <f t="shared" si="7"/>
        <v/>
      </c>
      <c r="V68" s="16"/>
      <c r="W68" s="34"/>
      <c r="X68" s="35"/>
    </row>
    <row r="69" spans="11:24">
      <c r="K69" s="89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78"/>
      <c r="P69" s="102"/>
      <c r="Q69" s="103"/>
      <c r="R69" s="103"/>
      <c r="S69" s="90"/>
      <c r="U69" s="49" t="str">
        <f t="shared" si="7"/>
        <v/>
      </c>
      <c r="V69" s="16"/>
      <c r="W69" s="34"/>
      <c r="X69" s="35"/>
    </row>
    <row r="70" spans="11:24">
      <c r="K70" s="89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78"/>
      <c r="P70" s="102"/>
      <c r="Q70" s="103"/>
      <c r="R70" s="103"/>
      <c r="S70" s="90"/>
      <c r="U70" s="49" t="str">
        <f t="shared" si="7"/>
        <v/>
      </c>
      <c r="V70" s="16"/>
      <c r="W70" s="34"/>
      <c r="X70" s="35"/>
    </row>
    <row r="71" spans="11:24">
      <c r="K71" s="89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78"/>
      <c r="P71" s="102"/>
      <c r="Q71" s="103"/>
      <c r="R71" s="103"/>
      <c r="S71" s="90"/>
      <c r="U71" s="49" t="str">
        <f t="shared" si="7"/>
        <v/>
      </c>
      <c r="V71" s="16"/>
      <c r="W71" s="34"/>
      <c r="X71" s="35"/>
    </row>
    <row r="72" spans="11:24">
      <c r="K72" s="89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78"/>
      <c r="P72" s="102"/>
      <c r="Q72" s="103"/>
      <c r="R72" s="103"/>
      <c r="S72" s="90"/>
      <c r="U72" s="49" t="str">
        <f t="shared" si="7"/>
        <v/>
      </c>
      <c r="V72" s="16"/>
      <c r="W72" s="34"/>
      <c r="X72" s="35"/>
    </row>
    <row r="73" spans="11:24">
      <c r="K73" s="89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78"/>
      <c r="P74" s="102"/>
      <c r="Q74" s="103"/>
      <c r="R74" s="103"/>
      <c r="S74" s="90"/>
      <c r="U74" s="49" t="str">
        <f t="shared" si="10"/>
        <v/>
      </c>
      <c r="V74" s="16"/>
      <c r="W74" s="34"/>
      <c r="X74" s="35"/>
    </row>
    <row r="75" spans="11:24">
      <c r="K75" s="89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78"/>
      <c r="P75" s="102"/>
      <c r="Q75" s="103"/>
      <c r="R75" s="103"/>
      <c r="S75" s="90"/>
      <c r="U75" s="49" t="str">
        <f t="shared" si="10"/>
        <v/>
      </c>
      <c r="V75" s="16"/>
      <c r="W75" s="34"/>
      <c r="X75" s="35"/>
    </row>
    <row r="76" spans="11:24">
      <c r="K76" s="89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78"/>
      <c r="P76" s="102"/>
      <c r="Q76" s="103"/>
      <c r="R76" s="103"/>
      <c r="S76" s="90"/>
      <c r="U76" s="49" t="str">
        <f t="shared" si="10"/>
        <v/>
      </c>
      <c r="V76" s="16"/>
      <c r="W76" s="34"/>
      <c r="X76" s="35"/>
    </row>
    <row r="77" spans="11:24">
      <c r="K77" s="89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78"/>
      <c r="P77" s="102"/>
      <c r="Q77" s="103"/>
      <c r="R77" s="103"/>
      <c r="S77" s="90"/>
      <c r="U77" s="49" t="str">
        <f t="shared" si="10"/>
        <v/>
      </c>
      <c r="V77" s="16"/>
      <c r="W77" s="34"/>
      <c r="X77" s="35"/>
    </row>
    <row r="78" spans="11:24">
      <c r="K78" s="89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78"/>
      <c r="P78" s="102"/>
      <c r="Q78" s="103"/>
      <c r="R78" s="103"/>
      <c r="S78" s="90"/>
      <c r="U78" s="49" t="str">
        <f t="shared" si="10"/>
        <v/>
      </c>
      <c r="V78" s="16"/>
      <c r="W78" s="34"/>
      <c r="X78" s="35"/>
    </row>
    <row r="79" spans="11:24">
      <c r="K79" s="89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78"/>
      <c r="P79" s="102"/>
      <c r="Q79" s="103"/>
      <c r="R79" s="103"/>
      <c r="S79" s="90"/>
      <c r="U79" s="49" t="str">
        <f t="shared" si="10"/>
        <v/>
      </c>
      <c r="V79" s="16"/>
      <c r="W79" s="34"/>
      <c r="X79" s="35"/>
    </row>
    <row r="80" spans="11:24">
      <c r="K80" s="89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78"/>
      <c r="P80" s="102"/>
      <c r="Q80" s="103"/>
      <c r="R80" s="103"/>
      <c r="S80" s="90"/>
      <c r="U80" s="49" t="str">
        <f t="shared" si="10"/>
        <v/>
      </c>
      <c r="V80" s="16"/>
      <c r="W80" s="34"/>
      <c r="X80" s="35"/>
    </row>
    <row r="81" spans="11:24">
      <c r="K81" s="89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78"/>
      <c r="P81" s="102"/>
      <c r="Q81" s="103"/>
      <c r="R81" s="103"/>
      <c r="S81" s="90"/>
      <c r="U81" s="49" t="str">
        <f t="shared" si="10"/>
        <v/>
      </c>
      <c r="V81" s="16"/>
      <c r="W81" s="34"/>
      <c r="X81" s="35"/>
    </row>
    <row r="82" spans="11:24">
      <c r="K82" s="89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78"/>
      <c r="P82" s="102"/>
      <c r="Q82" s="103"/>
      <c r="R82" s="103"/>
      <c r="S82" s="90"/>
      <c r="U82" s="49" t="str">
        <f t="shared" si="10"/>
        <v/>
      </c>
      <c r="V82" s="16"/>
      <c r="W82" s="34"/>
      <c r="X82" s="35"/>
    </row>
    <row r="83" spans="11:24">
      <c r="K83" s="89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78"/>
      <c r="P83" s="102"/>
      <c r="Q83" s="103"/>
      <c r="R83" s="103"/>
      <c r="S83" s="90"/>
      <c r="U83" s="49" t="str">
        <f t="shared" si="10"/>
        <v/>
      </c>
      <c r="V83" s="16"/>
      <c r="W83" s="34"/>
      <c r="X83" s="35"/>
    </row>
    <row r="84" spans="11:24">
      <c r="K84" s="89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78"/>
      <c r="P84" s="102"/>
      <c r="Q84" s="103"/>
      <c r="R84" s="103"/>
      <c r="S84" s="90"/>
      <c r="U84" s="49" t="str">
        <f t="shared" si="10"/>
        <v/>
      </c>
      <c r="V84" s="16"/>
      <c r="W84" s="34"/>
      <c r="X84" s="35"/>
    </row>
    <row r="85" spans="11:24">
      <c r="K85" s="89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78"/>
      <c r="P85" s="102"/>
      <c r="Q85" s="103"/>
      <c r="R85" s="103"/>
      <c r="S85" s="90"/>
      <c r="U85" s="49" t="str">
        <f t="shared" si="10"/>
        <v/>
      </c>
      <c r="V85" s="16"/>
      <c r="W85" s="34"/>
      <c r="X85" s="35"/>
    </row>
    <row r="86" spans="11:24">
      <c r="K86" s="89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78"/>
      <c r="P86" s="102"/>
      <c r="Q86" s="103"/>
      <c r="R86" s="103"/>
      <c r="S86" s="90"/>
      <c r="U86" s="49" t="str">
        <f t="shared" si="10"/>
        <v/>
      </c>
      <c r="V86" s="16"/>
      <c r="W86" s="34"/>
      <c r="X86" s="35"/>
    </row>
    <row r="87" spans="11:24">
      <c r="K87" s="89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78"/>
      <c r="P87" s="102"/>
      <c r="Q87" s="103"/>
      <c r="R87" s="103"/>
      <c r="S87" s="90"/>
      <c r="U87" s="49" t="str">
        <f t="shared" si="10"/>
        <v/>
      </c>
      <c r="V87" s="16"/>
      <c r="W87" s="34"/>
      <c r="X87" s="35"/>
    </row>
    <row r="88" spans="11:24">
      <c r="K88" s="89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78"/>
      <c r="P88" s="102"/>
      <c r="Q88" s="103"/>
      <c r="R88" s="103"/>
      <c r="S88" s="90"/>
      <c r="U88" s="49" t="str">
        <f t="shared" si="10"/>
        <v/>
      </c>
      <c r="V88" s="16"/>
      <c r="W88" s="34"/>
      <c r="X88" s="35"/>
    </row>
    <row r="89" spans="11:24">
      <c r="K89" s="89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78"/>
      <c r="P89" s="102"/>
      <c r="Q89" s="103"/>
      <c r="R89" s="103"/>
      <c r="S89" s="90"/>
      <c r="U89" s="49" t="str">
        <f t="shared" si="10"/>
        <v/>
      </c>
      <c r="V89" s="16"/>
      <c r="W89" s="34"/>
      <c r="X89" s="35"/>
    </row>
    <row r="90" spans="11:24">
      <c r="K90" s="89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78"/>
      <c r="P90" s="102"/>
      <c r="Q90" s="103"/>
      <c r="R90" s="103"/>
      <c r="S90" s="90"/>
      <c r="U90" s="49" t="str">
        <f t="shared" si="10"/>
        <v/>
      </c>
      <c r="V90" s="16"/>
      <c r="W90" s="34"/>
      <c r="X90" s="35"/>
    </row>
    <row r="91" spans="11:24">
      <c r="K91" s="89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78"/>
      <c r="P91" s="102"/>
      <c r="Q91" s="103"/>
      <c r="R91" s="103"/>
      <c r="S91" s="90"/>
      <c r="U91" s="49" t="str">
        <f t="shared" si="10"/>
        <v/>
      </c>
      <c r="V91" s="16"/>
      <c r="W91" s="34"/>
      <c r="X91" s="35"/>
    </row>
    <row r="92" spans="11:24">
      <c r="K92" s="89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78"/>
      <c r="P92" s="102"/>
      <c r="Q92" s="103"/>
      <c r="R92" s="103"/>
      <c r="S92" s="90"/>
      <c r="U92" s="49" t="str">
        <f t="shared" si="10"/>
        <v/>
      </c>
      <c r="V92" s="16"/>
      <c r="W92" s="34"/>
      <c r="X92" s="35"/>
    </row>
    <row r="93" spans="11:24">
      <c r="K93" s="89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78"/>
      <c r="P93" s="102"/>
      <c r="Q93" s="103"/>
      <c r="R93" s="103"/>
      <c r="S93" s="90"/>
      <c r="U93" s="49" t="str">
        <f t="shared" si="10"/>
        <v/>
      </c>
      <c r="V93" s="16"/>
      <c r="W93" s="34"/>
      <c r="X93" s="35"/>
    </row>
    <row r="94" spans="11:24">
      <c r="K94" s="89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78"/>
      <c r="P94" s="102"/>
      <c r="Q94" s="103"/>
      <c r="R94" s="103"/>
      <c r="S94" s="90"/>
      <c r="U94" s="49" t="str">
        <f t="shared" si="10"/>
        <v/>
      </c>
      <c r="V94" s="16"/>
      <c r="W94" s="34"/>
      <c r="X94" s="35"/>
    </row>
    <row r="95" spans="11:24">
      <c r="K95" s="89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78"/>
      <c r="P95" s="102"/>
      <c r="Q95" s="103"/>
      <c r="R95" s="103"/>
      <c r="S95" s="90"/>
      <c r="U95" s="49" t="str">
        <f t="shared" si="10"/>
        <v/>
      </c>
      <c r="V95" s="16"/>
      <c r="W95" s="34"/>
      <c r="X95" s="35"/>
    </row>
    <row r="96" spans="11:24">
      <c r="K96" s="89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78"/>
      <c r="P96" s="102"/>
      <c r="Q96" s="103"/>
      <c r="R96" s="103"/>
      <c r="S96" s="90"/>
      <c r="U96" s="49" t="str">
        <f t="shared" si="10"/>
        <v/>
      </c>
      <c r="V96" s="16"/>
      <c r="W96" s="34"/>
      <c r="X96" s="35"/>
    </row>
    <row r="97" spans="11:24">
      <c r="K97" s="89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78"/>
      <c r="P97" s="102"/>
      <c r="Q97" s="103"/>
      <c r="R97" s="103"/>
      <c r="S97" s="90"/>
      <c r="U97" s="49" t="str">
        <f t="shared" si="10"/>
        <v/>
      </c>
      <c r="V97" s="16"/>
      <c r="W97" s="34"/>
      <c r="X97" s="35"/>
    </row>
    <row r="98" spans="11:24">
      <c r="K98" s="89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78"/>
      <c r="P98" s="102"/>
      <c r="Q98" s="103"/>
      <c r="R98" s="103"/>
      <c r="S98" s="90"/>
      <c r="U98" s="49" t="str">
        <f t="shared" si="10"/>
        <v/>
      </c>
      <c r="V98" s="16"/>
      <c r="W98" s="34"/>
      <c r="X98" s="35"/>
    </row>
    <row r="99" spans="11:24">
      <c r="K99" s="89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78"/>
      <c r="P99" s="102"/>
      <c r="Q99" s="103"/>
      <c r="R99" s="103"/>
      <c r="S99" s="90"/>
      <c r="U99" s="49" t="str">
        <f t="shared" si="10"/>
        <v/>
      </c>
      <c r="V99" s="16"/>
      <c r="W99" s="34"/>
      <c r="X99" s="35"/>
    </row>
    <row r="100" spans="11:24">
      <c r="K100" s="89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78"/>
      <c r="P100" s="102"/>
      <c r="Q100" s="103"/>
      <c r="R100" s="103"/>
      <c r="S100" s="90"/>
      <c r="U100" s="49" t="str">
        <f t="shared" si="10"/>
        <v/>
      </c>
      <c r="V100" s="16"/>
      <c r="W100" s="34"/>
      <c r="X100" s="35"/>
    </row>
    <row r="101" spans="11:24">
      <c r="K101" s="89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78"/>
      <c r="P101" s="102"/>
      <c r="Q101" s="103"/>
      <c r="R101" s="103"/>
      <c r="S101" s="90"/>
      <c r="U101" s="49" t="str">
        <f t="shared" si="10"/>
        <v/>
      </c>
      <c r="V101" s="16"/>
      <c r="W101" s="34"/>
      <c r="X101" s="35"/>
    </row>
    <row r="102" spans="11:24">
      <c r="K102" s="89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78"/>
      <c r="P102" s="102"/>
      <c r="Q102" s="103"/>
      <c r="R102" s="103"/>
      <c r="S102" s="90"/>
      <c r="U102" s="49" t="str">
        <f t="shared" si="10"/>
        <v/>
      </c>
      <c r="V102" s="16"/>
      <c r="W102" s="34"/>
      <c r="X102" s="35"/>
    </row>
    <row r="103" spans="11:24">
      <c r="K103" s="89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78"/>
      <c r="P103" s="102"/>
      <c r="Q103" s="103"/>
      <c r="R103" s="103"/>
      <c r="S103" s="90"/>
      <c r="U103" s="49" t="str">
        <f t="shared" si="10"/>
        <v/>
      </c>
      <c r="V103" s="16"/>
      <c r="W103" s="34"/>
      <c r="X103" s="35"/>
    </row>
    <row r="104" spans="11:24">
      <c r="K104" s="89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78"/>
      <c r="P104" s="102"/>
      <c r="Q104" s="103"/>
      <c r="R104" s="103"/>
      <c r="S104" s="90"/>
      <c r="U104" s="49" t="str">
        <f t="shared" si="10"/>
        <v/>
      </c>
      <c r="V104" s="16"/>
      <c r="W104" s="34"/>
      <c r="X104" s="35"/>
    </row>
    <row r="105" spans="11:24">
      <c r="K105" s="89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78"/>
      <c r="P105" s="102"/>
      <c r="Q105" s="103"/>
      <c r="R105" s="103"/>
      <c r="S105" s="90"/>
      <c r="U105" s="49" t="str">
        <f t="shared" si="10"/>
        <v/>
      </c>
      <c r="V105" s="16"/>
      <c r="W105" s="34"/>
      <c r="X105" s="35"/>
    </row>
    <row r="106" spans="11:24">
      <c r="K106" s="89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78"/>
      <c r="P106" s="102"/>
      <c r="Q106" s="103"/>
      <c r="R106" s="103"/>
      <c r="S106" s="90"/>
      <c r="U106" s="49" t="str">
        <f t="shared" si="10"/>
        <v/>
      </c>
      <c r="V106" s="16"/>
      <c r="W106" s="34"/>
      <c r="X106" s="35"/>
    </row>
    <row r="107" spans="11:24">
      <c r="K107" s="89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78"/>
      <c r="P107" s="102"/>
      <c r="Q107" s="103"/>
      <c r="R107" s="103"/>
      <c r="S107" s="90"/>
      <c r="U107" s="49" t="str">
        <f t="shared" si="10"/>
        <v/>
      </c>
      <c r="V107" s="16"/>
      <c r="W107" s="34"/>
      <c r="X107" s="35"/>
    </row>
    <row r="108" spans="11:24">
      <c r="K108" s="89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78"/>
      <c r="P108" s="102"/>
      <c r="Q108" s="103"/>
      <c r="R108" s="103"/>
      <c r="S108" s="90"/>
      <c r="U108" s="49" t="str">
        <f t="shared" si="10"/>
        <v/>
      </c>
      <c r="V108" s="16"/>
      <c r="W108" s="34"/>
      <c r="X108" s="35"/>
    </row>
    <row r="109" spans="11:24">
      <c r="K109" s="89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78"/>
      <c r="P109" s="102"/>
      <c r="Q109" s="103"/>
      <c r="R109" s="103"/>
      <c r="S109" s="90"/>
      <c r="U109" s="49" t="str">
        <f t="shared" si="10"/>
        <v/>
      </c>
      <c r="V109" s="16"/>
      <c r="W109" s="34"/>
      <c r="X109" s="35"/>
    </row>
    <row r="110" spans="11:24">
      <c r="K110" s="89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78"/>
      <c r="P110" s="102"/>
      <c r="Q110" s="103"/>
      <c r="R110" s="103"/>
      <c r="S110" s="90"/>
      <c r="U110" s="49" t="str">
        <f t="shared" si="10"/>
        <v/>
      </c>
      <c r="V110" s="16"/>
      <c r="W110" s="34"/>
      <c r="X110" s="35"/>
    </row>
    <row r="111" spans="11:24">
      <c r="K111" s="89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78"/>
      <c r="P111" s="102"/>
      <c r="Q111" s="103"/>
      <c r="R111" s="103"/>
      <c r="S111" s="90"/>
      <c r="U111" s="49" t="str">
        <f t="shared" si="10"/>
        <v/>
      </c>
      <c r="V111" s="16"/>
      <c r="W111" s="34"/>
      <c r="X111" s="35"/>
    </row>
    <row r="112" spans="11:24">
      <c r="K112" s="89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78"/>
      <c r="P112" s="102"/>
      <c r="Q112" s="103"/>
      <c r="R112" s="103"/>
      <c r="S112" s="90"/>
      <c r="U112" s="49" t="str">
        <f t="shared" si="10"/>
        <v/>
      </c>
      <c r="V112" s="16"/>
      <c r="W112" s="34"/>
      <c r="X112" s="35"/>
    </row>
    <row r="113" spans="11:24">
      <c r="K113" s="89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78"/>
      <c r="P113" s="102"/>
      <c r="Q113" s="103"/>
      <c r="R113" s="103"/>
      <c r="S113" s="90"/>
      <c r="U113" s="49" t="str">
        <f t="shared" si="10"/>
        <v/>
      </c>
      <c r="V113" s="16"/>
      <c r="W113" s="34"/>
      <c r="X113" s="35"/>
    </row>
    <row r="114" spans="11:24">
      <c r="K114" s="89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78"/>
      <c r="P114" s="102"/>
      <c r="Q114" s="103"/>
      <c r="R114" s="103"/>
      <c r="S114" s="90"/>
      <c r="U114" s="49" t="str">
        <f t="shared" si="10"/>
        <v/>
      </c>
      <c r="V114" s="16"/>
      <c r="W114" s="34"/>
      <c r="X114" s="35"/>
    </row>
    <row r="115" spans="11:24">
      <c r="K115" s="89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78"/>
      <c r="P115" s="102"/>
      <c r="Q115" s="103"/>
      <c r="R115" s="103"/>
      <c r="S115" s="90"/>
      <c r="U115" s="49" t="str">
        <f t="shared" si="10"/>
        <v/>
      </c>
      <c r="V115" s="16"/>
      <c r="W115" s="34"/>
      <c r="X115" s="35"/>
    </row>
    <row r="116" spans="11:24">
      <c r="K116" s="89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78"/>
      <c r="P116" s="102"/>
      <c r="Q116" s="103"/>
      <c r="R116" s="103"/>
      <c r="S116" s="90"/>
      <c r="U116" s="49" t="str">
        <f t="shared" si="10"/>
        <v/>
      </c>
      <c r="V116" s="16"/>
      <c r="W116" s="34"/>
      <c r="X116" s="35"/>
    </row>
    <row r="117" spans="11:24">
      <c r="K117" s="89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78"/>
      <c r="P117" s="102"/>
      <c r="Q117" s="103"/>
      <c r="R117" s="103"/>
      <c r="S117" s="90"/>
      <c r="U117" s="49" t="str">
        <f t="shared" si="10"/>
        <v/>
      </c>
      <c r="V117" s="16"/>
      <c r="W117" s="34"/>
      <c r="X117" s="35"/>
    </row>
    <row r="118" spans="11:24">
      <c r="K118" s="89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78"/>
      <c r="P118" s="102"/>
      <c r="Q118" s="103"/>
      <c r="R118" s="103"/>
      <c r="S118" s="90"/>
      <c r="U118" s="49" t="str">
        <f t="shared" si="10"/>
        <v/>
      </c>
      <c r="V118" s="16"/>
      <c r="W118" s="34"/>
      <c r="X118" s="35"/>
    </row>
    <row r="119" spans="11:24">
      <c r="K119" s="89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78"/>
      <c r="P119" s="102"/>
      <c r="Q119" s="103"/>
      <c r="R119" s="103"/>
      <c r="S119" s="90"/>
      <c r="U119" s="49" t="str">
        <f t="shared" si="10"/>
        <v/>
      </c>
      <c r="V119" s="16"/>
      <c r="W119" s="34"/>
      <c r="X119" s="35"/>
    </row>
    <row r="120" spans="11:24">
      <c r="K120" s="89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78"/>
      <c r="P120" s="102"/>
      <c r="Q120" s="103"/>
      <c r="R120" s="103"/>
      <c r="S120" s="90"/>
      <c r="U120" s="49" t="str">
        <f t="shared" si="10"/>
        <v/>
      </c>
      <c r="V120" s="16"/>
      <c r="W120" s="34"/>
      <c r="X120" s="35"/>
    </row>
    <row r="121" spans="11:24">
      <c r="K121" s="89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78"/>
      <c r="P121" s="102"/>
      <c r="Q121" s="103"/>
      <c r="R121" s="103"/>
      <c r="S121" s="90"/>
      <c r="U121" s="49" t="str">
        <f t="shared" si="10"/>
        <v/>
      </c>
      <c r="V121" s="16"/>
      <c r="W121" s="34"/>
      <c r="X121" s="35"/>
    </row>
    <row r="122" spans="11:24">
      <c r="K122" s="89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78"/>
      <c r="P122" s="102"/>
      <c r="Q122" s="103"/>
      <c r="R122" s="103"/>
      <c r="S122" s="90"/>
      <c r="U122" s="49" t="str">
        <f t="shared" si="10"/>
        <v/>
      </c>
      <c r="V122" s="16"/>
      <c r="W122" s="34"/>
      <c r="X122" s="35"/>
    </row>
    <row r="123" spans="11:24">
      <c r="K123" s="89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78"/>
      <c r="P123" s="102"/>
      <c r="Q123" s="103"/>
      <c r="R123" s="103"/>
      <c r="S123" s="90"/>
      <c r="U123" s="49" t="str">
        <f t="shared" si="10"/>
        <v/>
      </c>
      <c r="V123" s="16"/>
      <c r="W123" s="34"/>
      <c r="X123" s="35"/>
    </row>
    <row r="124" spans="11:24">
      <c r="K124" s="89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78"/>
      <c r="P124" s="102"/>
      <c r="Q124" s="103"/>
      <c r="R124" s="103"/>
      <c r="S124" s="90"/>
      <c r="U124" s="49" t="str">
        <f t="shared" si="10"/>
        <v/>
      </c>
      <c r="V124" s="16"/>
      <c r="W124" s="34"/>
      <c r="X124" s="35"/>
    </row>
    <row r="125" spans="11:24">
      <c r="K125" s="89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78"/>
      <c r="P125" s="102"/>
      <c r="Q125" s="103"/>
      <c r="R125" s="103"/>
      <c r="S125" s="90"/>
      <c r="U125" s="49" t="str">
        <f t="shared" si="10"/>
        <v/>
      </c>
      <c r="V125" s="16"/>
      <c r="W125" s="34"/>
      <c r="X125" s="35"/>
    </row>
    <row r="126" spans="11:24">
      <c r="K126" s="89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78"/>
      <c r="P126" s="102"/>
      <c r="Q126" s="103"/>
      <c r="R126" s="103"/>
      <c r="S126" s="90"/>
      <c r="U126" s="49" t="str">
        <f t="shared" si="10"/>
        <v/>
      </c>
      <c r="V126" s="16"/>
      <c r="W126" s="34"/>
      <c r="X126" s="35"/>
    </row>
    <row r="127" spans="11:24">
      <c r="K127" s="89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78"/>
      <c r="P127" s="102"/>
      <c r="Q127" s="103"/>
      <c r="R127" s="103"/>
      <c r="S127" s="90"/>
      <c r="U127" s="49" t="str">
        <f t="shared" si="10"/>
        <v/>
      </c>
      <c r="V127" s="16"/>
      <c r="W127" s="34"/>
      <c r="X127" s="35"/>
    </row>
    <row r="128" spans="11:24">
      <c r="K128" s="89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78"/>
      <c r="P128" s="102"/>
      <c r="Q128" s="103"/>
      <c r="R128" s="103"/>
      <c r="S128" s="90"/>
      <c r="U128" s="49" t="str">
        <f t="shared" si="10"/>
        <v/>
      </c>
      <c r="V128" s="16"/>
      <c r="W128" s="34"/>
      <c r="X128" s="35"/>
    </row>
    <row r="129" spans="11:24">
      <c r="K129" s="89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78"/>
      <c r="P129" s="102"/>
      <c r="Q129" s="103"/>
      <c r="R129" s="103"/>
      <c r="S129" s="90"/>
      <c r="U129" s="49" t="str">
        <f t="shared" si="10"/>
        <v/>
      </c>
      <c r="V129" s="16"/>
      <c r="W129" s="34"/>
      <c r="X129" s="35"/>
    </row>
    <row r="130" spans="11:24">
      <c r="K130" s="89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78"/>
      <c r="P130" s="102"/>
      <c r="Q130" s="103"/>
      <c r="R130" s="103"/>
      <c r="S130" s="90"/>
      <c r="U130" s="49" t="str">
        <f t="shared" si="10"/>
        <v/>
      </c>
      <c r="V130" s="16"/>
      <c r="W130" s="34"/>
      <c r="X130" s="35"/>
    </row>
    <row r="131" spans="11:24">
      <c r="K131" s="89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78"/>
      <c r="P131" s="102"/>
      <c r="Q131" s="103"/>
      <c r="R131" s="103"/>
      <c r="S131" s="90"/>
      <c r="U131" s="49" t="str">
        <f t="shared" si="10"/>
        <v/>
      </c>
      <c r="V131" s="16"/>
      <c r="W131" s="34"/>
      <c r="X131" s="35"/>
    </row>
    <row r="132" spans="11:24">
      <c r="K132" s="89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78"/>
      <c r="P132" s="102"/>
      <c r="Q132" s="103"/>
      <c r="R132" s="103"/>
      <c r="S132" s="90"/>
      <c r="U132" s="49" t="str">
        <f t="shared" si="10"/>
        <v/>
      </c>
      <c r="V132" s="16"/>
      <c r="W132" s="34"/>
      <c r="X132" s="35"/>
    </row>
    <row r="133" spans="11:24">
      <c r="K133" s="89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78"/>
      <c r="P133" s="102"/>
      <c r="Q133" s="103"/>
      <c r="R133" s="103"/>
      <c r="S133" s="90"/>
      <c r="U133" s="49" t="str">
        <f t="shared" si="10"/>
        <v/>
      </c>
      <c r="V133" s="16"/>
      <c r="W133" s="34"/>
      <c r="X133" s="35"/>
    </row>
    <row r="134" spans="11:24">
      <c r="K134" s="89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78"/>
      <c r="P134" s="102"/>
      <c r="Q134" s="103"/>
      <c r="R134" s="103"/>
      <c r="S134" s="90"/>
      <c r="U134" s="49" t="str">
        <f t="shared" si="10"/>
        <v/>
      </c>
      <c r="V134" s="16"/>
      <c r="W134" s="34"/>
      <c r="X134" s="35"/>
    </row>
    <row r="135" spans="11:24">
      <c r="K135" s="89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78"/>
      <c r="P135" s="102"/>
      <c r="Q135" s="103"/>
      <c r="R135" s="103"/>
      <c r="S135" s="90"/>
      <c r="U135" s="49" t="str">
        <f t="shared" si="10"/>
        <v/>
      </c>
      <c r="V135" s="16"/>
      <c r="W135" s="34"/>
      <c r="X135" s="35"/>
    </row>
    <row r="136" spans="11:24">
      <c r="K136" s="89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78"/>
      <c r="P136" s="102"/>
      <c r="Q136" s="103"/>
      <c r="R136" s="103"/>
      <c r="S136" s="90"/>
      <c r="U136" s="49" t="str">
        <f t="shared" si="10"/>
        <v/>
      </c>
      <c r="V136" s="16"/>
      <c r="W136" s="34"/>
      <c r="X136" s="35"/>
    </row>
    <row r="137" spans="11:24">
      <c r="K137" s="89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78"/>
      <c r="P138" s="102"/>
      <c r="Q138" s="103"/>
      <c r="R138" s="103"/>
      <c r="S138" s="90"/>
      <c r="U138" s="49" t="str">
        <f t="shared" si="14"/>
        <v/>
      </c>
      <c r="V138" s="16"/>
      <c r="W138" s="34"/>
      <c r="X138" s="35"/>
    </row>
    <row r="139" spans="11:24">
      <c r="K139" s="89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78"/>
      <c r="P139" s="102"/>
      <c r="Q139" s="103"/>
      <c r="R139" s="103"/>
      <c r="S139" s="90"/>
      <c r="U139" s="49" t="str">
        <f t="shared" si="14"/>
        <v/>
      </c>
      <c r="V139" s="16"/>
      <c r="W139" s="34"/>
      <c r="X139" s="35"/>
    </row>
    <row r="140" spans="11:24">
      <c r="K140" s="89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78"/>
      <c r="P140" s="102"/>
      <c r="Q140" s="103"/>
      <c r="R140" s="103"/>
      <c r="S140" s="90"/>
      <c r="U140" s="49" t="str">
        <f t="shared" si="14"/>
        <v/>
      </c>
      <c r="V140" s="16"/>
      <c r="W140" s="34"/>
      <c r="X140" s="35"/>
    </row>
    <row r="141" spans="11:24">
      <c r="K141" s="89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78"/>
      <c r="P141" s="102"/>
      <c r="Q141" s="103"/>
      <c r="R141" s="103"/>
      <c r="S141" s="90"/>
      <c r="U141" s="49" t="str">
        <f t="shared" si="14"/>
        <v/>
      </c>
      <c r="V141" s="16"/>
      <c r="W141" s="34"/>
      <c r="X141" s="35"/>
    </row>
    <row r="142" spans="11:24">
      <c r="K142" s="89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78"/>
      <c r="P142" s="102"/>
      <c r="Q142" s="103"/>
      <c r="R142" s="103"/>
      <c r="S142" s="90"/>
      <c r="U142" s="49" t="str">
        <f t="shared" si="14"/>
        <v/>
      </c>
      <c r="V142" s="16"/>
      <c r="W142" s="34"/>
      <c r="X142" s="35"/>
    </row>
    <row r="143" spans="11:24">
      <c r="K143" s="89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78"/>
      <c r="P143" s="102"/>
      <c r="Q143" s="103"/>
      <c r="R143" s="103"/>
      <c r="S143" s="90"/>
      <c r="U143" s="49" t="str">
        <f t="shared" si="14"/>
        <v/>
      </c>
      <c r="V143" s="16"/>
      <c r="W143" s="34"/>
      <c r="X143" s="35"/>
    </row>
    <row r="144" spans="11:24">
      <c r="K144" s="89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78"/>
      <c r="P144" s="102"/>
      <c r="Q144" s="103"/>
      <c r="R144" s="103"/>
      <c r="S144" s="90"/>
      <c r="U144" s="49" t="str">
        <f t="shared" si="14"/>
        <v/>
      </c>
      <c r="V144" s="16"/>
      <c r="W144" s="34"/>
      <c r="X144" s="35"/>
    </row>
    <row r="145" spans="11:24">
      <c r="K145" s="89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78"/>
      <c r="P145" s="102"/>
      <c r="Q145" s="103"/>
      <c r="R145" s="103"/>
      <c r="S145" s="90"/>
      <c r="U145" s="49" t="str">
        <f t="shared" si="14"/>
        <v/>
      </c>
      <c r="V145" s="16"/>
      <c r="W145" s="34"/>
      <c r="X145" s="35"/>
    </row>
    <row r="146" spans="11:24">
      <c r="K146" s="89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78"/>
      <c r="P146" s="102"/>
      <c r="Q146" s="103"/>
      <c r="R146" s="103"/>
      <c r="S146" s="90"/>
      <c r="U146" s="49" t="str">
        <f t="shared" si="14"/>
        <v/>
      </c>
      <c r="V146" s="16"/>
      <c r="W146" s="34"/>
      <c r="X146" s="35"/>
    </row>
    <row r="147" spans="11:24">
      <c r="K147" s="89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78"/>
      <c r="P147" s="102"/>
      <c r="Q147" s="103"/>
      <c r="R147" s="103"/>
      <c r="S147" s="90"/>
      <c r="U147" s="49" t="str">
        <f t="shared" si="14"/>
        <v/>
      </c>
      <c r="V147" s="16"/>
      <c r="W147" s="34"/>
      <c r="X147" s="35"/>
    </row>
    <row r="148" spans="11:24">
      <c r="K148" s="89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78"/>
      <c r="P148" s="102"/>
      <c r="Q148" s="103"/>
      <c r="R148" s="103"/>
      <c r="S148" s="90"/>
      <c r="U148" s="49" t="str">
        <f t="shared" si="14"/>
        <v/>
      </c>
      <c r="V148" s="16"/>
      <c r="W148" s="34"/>
      <c r="X148" s="35"/>
    </row>
    <row r="149" spans="11:24">
      <c r="K149" s="89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78"/>
      <c r="P149" s="102"/>
      <c r="Q149" s="103"/>
      <c r="R149" s="103"/>
      <c r="S149" s="90"/>
      <c r="U149" s="49" t="str">
        <f t="shared" si="14"/>
        <v/>
      </c>
      <c r="V149" s="16"/>
      <c r="W149" s="34"/>
      <c r="X149" s="35"/>
    </row>
    <row r="150" spans="11:24">
      <c r="K150" s="89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78"/>
      <c r="P150" s="102"/>
      <c r="Q150" s="103"/>
      <c r="R150" s="103"/>
      <c r="S150" s="90"/>
      <c r="U150" s="49" t="str">
        <f t="shared" si="14"/>
        <v/>
      </c>
      <c r="V150" s="16"/>
      <c r="W150" s="34"/>
      <c r="X150" s="35"/>
    </row>
    <row r="151" spans="11:24">
      <c r="K151" s="89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78"/>
      <c r="P151" s="102"/>
      <c r="Q151" s="103"/>
      <c r="R151" s="103"/>
      <c r="S151" s="90"/>
      <c r="U151" s="49" t="str">
        <f t="shared" si="14"/>
        <v/>
      </c>
      <c r="V151" s="16"/>
      <c r="W151" s="34"/>
      <c r="X151" s="35"/>
    </row>
    <row r="152" spans="11:24">
      <c r="K152" s="89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78"/>
      <c r="P152" s="102"/>
      <c r="Q152" s="103"/>
      <c r="R152" s="103"/>
      <c r="S152" s="90"/>
      <c r="U152" s="49" t="str">
        <f t="shared" si="14"/>
        <v/>
      </c>
      <c r="V152" s="16"/>
      <c r="W152" s="34"/>
      <c r="X152" s="35"/>
    </row>
    <row r="153" spans="11:24">
      <c r="K153" s="89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78"/>
      <c r="P153" s="102"/>
      <c r="Q153" s="103"/>
      <c r="R153" s="103"/>
      <c r="S153" s="90"/>
      <c r="U153" s="49" t="str">
        <f t="shared" si="14"/>
        <v/>
      </c>
      <c r="V153" s="16"/>
      <c r="W153" s="34"/>
      <c r="X153" s="35"/>
    </row>
    <row r="154" spans="11:24">
      <c r="K154" s="89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78"/>
      <c r="P154" s="102"/>
      <c r="Q154" s="103"/>
      <c r="R154" s="103"/>
      <c r="S154" s="90"/>
      <c r="U154" s="49" t="str">
        <f t="shared" si="14"/>
        <v/>
      </c>
      <c r="V154" s="16"/>
      <c r="W154" s="34"/>
      <c r="X154" s="35"/>
    </row>
    <row r="155" spans="11:24">
      <c r="K155" s="89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78"/>
      <c r="P155" s="102"/>
      <c r="Q155" s="103"/>
      <c r="R155" s="103"/>
      <c r="S155" s="90"/>
      <c r="U155" s="49" t="str">
        <f t="shared" si="14"/>
        <v/>
      </c>
      <c r="V155" s="16"/>
      <c r="W155" s="34"/>
      <c r="X155" s="35"/>
    </row>
    <row r="156" spans="11:24">
      <c r="K156" s="89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78"/>
      <c r="P156" s="102"/>
      <c r="Q156" s="103"/>
      <c r="R156" s="103"/>
      <c r="S156" s="90"/>
      <c r="U156" s="49" t="str">
        <f t="shared" si="14"/>
        <v/>
      </c>
      <c r="V156" s="16"/>
      <c r="W156" s="34"/>
      <c r="X156" s="35"/>
    </row>
    <row r="157" spans="11:24">
      <c r="K157" s="89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78"/>
      <c r="P157" s="102"/>
      <c r="Q157" s="103"/>
      <c r="R157" s="103"/>
      <c r="S157" s="90"/>
      <c r="U157" s="49" t="str">
        <f t="shared" si="14"/>
        <v/>
      </c>
      <c r="V157" s="16"/>
      <c r="W157" s="34"/>
      <c r="X157" s="35"/>
    </row>
    <row r="158" spans="11:24">
      <c r="K158" s="89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78"/>
      <c r="P158" s="102"/>
      <c r="Q158" s="103"/>
      <c r="R158" s="103"/>
      <c r="S158" s="90"/>
      <c r="U158" s="49" t="str">
        <f t="shared" si="14"/>
        <v/>
      </c>
      <c r="V158" s="16"/>
      <c r="W158" s="34"/>
      <c r="X158" s="35"/>
    </row>
    <row r="159" spans="11:24">
      <c r="K159" s="89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78"/>
      <c r="P159" s="102"/>
      <c r="Q159" s="103"/>
      <c r="R159" s="103"/>
      <c r="S159" s="90"/>
      <c r="U159" s="49" t="str">
        <f t="shared" si="14"/>
        <v/>
      </c>
      <c r="V159" s="16"/>
      <c r="W159" s="34"/>
      <c r="X159" s="35"/>
    </row>
    <row r="160" spans="11:24">
      <c r="K160" s="89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78"/>
      <c r="P160" s="102"/>
      <c r="Q160" s="103"/>
      <c r="R160" s="103"/>
      <c r="S160" s="90"/>
      <c r="U160" s="49" t="str">
        <f t="shared" si="14"/>
        <v/>
      </c>
      <c r="V160" s="16"/>
      <c r="W160" s="34"/>
      <c r="X160" s="35"/>
    </row>
    <row r="161" spans="11:24">
      <c r="K161" s="89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78"/>
      <c r="P161" s="102"/>
      <c r="Q161" s="103"/>
      <c r="R161" s="103"/>
      <c r="S161" s="90"/>
      <c r="U161" s="49" t="str">
        <f t="shared" si="14"/>
        <v/>
      </c>
      <c r="V161" s="16"/>
      <c r="W161" s="34"/>
      <c r="X161" s="35"/>
    </row>
    <row r="162" spans="11:24">
      <c r="K162" s="89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78"/>
      <c r="P162" s="102"/>
      <c r="Q162" s="103"/>
      <c r="R162" s="103"/>
      <c r="S162" s="90"/>
      <c r="U162" s="49" t="str">
        <f t="shared" si="14"/>
        <v/>
      </c>
      <c r="V162" s="16"/>
      <c r="W162" s="34"/>
      <c r="X162" s="35"/>
    </row>
    <row r="163" spans="11:24">
      <c r="K163" s="89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78"/>
      <c r="P163" s="102"/>
      <c r="Q163" s="103"/>
      <c r="R163" s="103"/>
      <c r="S163" s="90"/>
      <c r="U163" s="49" t="str">
        <f t="shared" si="14"/>
        <v/>
      </c>
      <c r="V163" s="16"/>
      <c r="W163" s="34"/>
      <c r="X163" s="35"/>
    </row>
    <row r="164" spans="11:24">
      <c r="K164" s="89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78"/>
      <c r="P164" s="102"/>
      <c r="Q164" s="103"/>
      <c r="R164" s="103"/>
      <c r="S164" s="90"/>
      <c r="U164" s="49" t="str">
        <f t="shared" si="14"/>
        <v/>
      </c>
      <c r="V164" s="16"/>
      <c r="W164" s="34"/>
      <c r="X164" s="35"/>
    </row>
    <row r="165" spans="11:24">
      <c r="K165" s="89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78"/>
      <c r="P165" s="102"/>
      <c r="Q165" s="103"/>
      <c r="R165" s="103"/>
      <c r="S165" s="90"/>
      <c r="U165" s="49" t="str">
        <f t="shared" si="14"/>
        <v/>
      </c>
      <c r="V165" s="16"/>
      <c r="W165" s="34"/>
      <c r="X165" s="35"/>
    </row>
    <row r="166" spans="11:24">
      <c r="K166" s="89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78"/>
      <c r="P166" s="102"/>
      <c r="Q166" s="103"/>
      <c r="R166" s="103"/>
      <c r="S166" s="90"/>
      <c r="U166" s="49" t="str">
        <f t="shared" si="14"/>
        <v/>
      </c>
      <c r="V166" s="16"/>
      <c r="W166" s="34"/>
      <c r="X166" s="35"/>
    </row>
    <row r="167" spans="11:24">
      <c r="K167" s="89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78"/>
      <c r="P167" s="102"/>
      <c r="Q167" s="103"/>
      <c r="R167" s="103"/>
      <c r="S167" s="90"/>
      <c r="U167" s="49" t="str">
        <f t="shared" si="14"/>
        <v/>
      </c>
      <c r="V167" s="16"/>
      <c r="W167" s="34"/>
      <c r="X167" s="35"/>
    </row>
    <row r="168" spans="11:24">
      <c r="K168" s="89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78"/>
      <c r="P168" s="102"/>
      <c r="Q168" s="103"/>
      <c r="R168" s="103"/>
      <c r="S168" s="90"/>
      <c r="U168" s="49" t="str">
        <f t="shared" si="14"/>
        <v/>
      </c>
      <c r="V168" s="16"/>
      <c r="W168" s="34"/>
      <c r="X168" s="35"/>
    </row>
    <row r="169" spans="11:24">
      <c r="K169" s="89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78"/>
      <c r="P169" s="102"/>
      <c r="Q169" s="103"/>
      <c r="R169" s="103"/>
      <c r="S169" s="90"/>
      <c r="U169" s="49" t="str">
        <f t="shared" si="14"/>
        <v/>
      </c>
      <c r="V169" s="16"/>
      <c r="W169" s="34"/>
      <c r="X169" s="35"/>
    </row>
    <row r="170" spans="11:24">
      <c r="K170" s="89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78"/>
      <c r="P170" s="102"/>
      <c r="Q170" s="103"/>
      <c r="R170" s="103"/>
      <c r="S170" s="90"/>
      <c r="U170" s="49" t="str">
        <f t="shared" si="14"/>
        <v/>
      </c>
      <c r="V170" s="16"/>
      <c r="W170" s="34"/>
      <c r="X170" s="35"/>
    </row>
    <row r="171" spans="11:24">
      <c r="K171" s="89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78"/>
      <c r="P171" s="102"/>
      <c r="Q171" s="103"/>
      <c r="R171" s="103"/>
      <c r="S171" s="90"/>
      <c r="U171" s="49" t="str">
        <f t="shared" si="14"/>
        <v/>
      </c>
      <c r="V171" s="16"/>
      <c r="W171" s="34"/>
      <c r="X171" s="35"/>
    </row>
    <row r="172" spans="11:24">
      <c r="K172" s="89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78"/>
      <c r="P172" s="102"/>
      <c r="Q172" s="103"/>
      <c r="R172" s="103"/>
      <c r="S172" s="90"/>
      <c r="U172" s="49" t="str">
        <f t="shared" si="14"/>
        <v/>
      </c>
      <c r="V172" s="16"/>
      <c r="W172" s="34"/>
      <c r="X172" s="35"/>
    </row>
    <row r="173" spans="11:24">
      <c r="K173" s="89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78"/>
      <c r="P173" s="102"/>
      <c r="Q173" s="103"/>
      <c r="R173" s="103"/>
      <c r="S173" s="90"/>
      <c r="U173" s="49" t="str">
        <f t="shared" si="14"/>
        <v/>
      </c>
      <c r="V173" s="16"/>
      <c r="W173" s="34"/>
      <c r="X173" s="35"/>
    </row>
    <row r="174" spans="11:24">
      <c r="K174" s="89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78"/>
      <c r="P174" s="102"/>
      <c r="Q174" s="103"/>
      <c r="R174" s="103"/>
      <c r="S174" s="90"/>
      <c r="U174" s="49" t="str">
        <f t="shared" si="14"/>
        <v/>
      </c>
      <c r="V174" s="16"/>
      <c r="W174" s="34"/>
      <c r="X174" s="35"/>
    </row>
    <row r="175" spans="11:24">
      <c r="K175" s="89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78"/>
      <c r="P175" s="102"/>
      <c r="Q175" s="103"/>
      <c r="R175" s="103"/>
      <c r="S175" s="90"/>
      <c r="U175" s="49" t="str">
        <f t="shared" si="14"/>
        <v/>
      </c>
      <c r="V175" s="16"/>
      <c r="W175" s="34"/>
      <c r="X175" s="35"/>
    </row>
    <row r="176" spans="11:24">
      <c r="K176" s="89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78"/>
      <c r="P176" s="102"/>
      <c r="Q176" s="103"/>
      <c r="R176" s="103"/>
      <c r="S176" s="90"/>
      <c r="U176" s="49" t="str">
        <f t="shared" si="14"/>
        <v/>
      </c>
      <c r="V176" s="16"/>
      <c r="W176" s="34"/>
      <c r="X176" s="35"/>
    </row>
    <row r="177" spans="11:24">
      <c r="K177" s="89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78"/>
      <c r="P177" s="102"/>
      <c r="Q177" s="103"/>
      <c r="R177" s="103"/>
      <c r="S177" s="90"/>
      <c r="U177" s="49" t="str">
        <f t="shared" si="14"/>
        <v/>
      </c>
      <c r="V177" s="16"/>
      <c r="W177" s="34"/>
      <c r="X177" s="35"/>
    </row>
    <row r="178" spans="11:24">
      <c r="K178" s="89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78"/>
      <c r="P178" s="102"/>
      <c r="Q178" s="103"/>
      <c r="R178" s="103"/>
      <c r="S178" s="90"/>
      <c r="U178" s="49" t="str">
        <f t="shared" si="14"/>
        <v/>
      </c>
      <c r="V178" s="16"/>
      <c r="W178" s="34"/>
      <c r="X178" s="35"/>
    </row>
    <row r="179" spans="11:24">
      <c r="K179" s="89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78"/>
      <c r="P179" s="102"/>
      <c r="Q179" s="103"/>
      <c r="R179" s="103"/>
      <c r="S179" s="90"/>
      <c r="U179" s="49" t="str">
        <f t="shared" si="14"/>
        <v/>
      </c>
      <c r="V179" s="16"/>
      <c r="W179" s="34"/>
      <c r="X179" s="35"/>
    </row>
    <row r="180" spans="11:24">
      <c r="K180" s="89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78"/>
      <c r="P180" s="102"/>
      <c r="Q180" s="103"/>
      <c r="R180" s="103"/>
      <c r="S180" s="90"/>
      <c r="U180" s="49" t="str">
        <f t="shared" si="14"/>
        <v/>
      </c>
      <c r="V180" s="16"/>
      <c r="W180" s="34"/>
      <c r="X180" s="35"/>
    </row>
    <row r="181" spans="11:24">
      <c r="K181" s="89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78"/>
      <c r="P181" s="102"/>
      <c r="Q181" s="103"/>
      <c r="R181" s="103"/>
      <c r="S181" s="90"/>
      <c r="U181" s="49" t="str">
        <f t="shared" si="14"/>
        <v/>
      </c>
      <c r="V181" s="16"/>
      <c r="W181" s="34"/>
      <c r="X181" s="35"/>
    </row>
    <row r="182" spans="11:24">
      <c r="K182" s="89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78"/>
      <c r="P182" s="102"/>
      <c r="Q182" s="103"/>
      <c r="R182" s="103"/>
      <c r="S182" s="90"/>
      <c r="U182" s="49" t="str">
        <f t="shared" si="14"/>
        <v/>
      </c>
      <c r="V182" s="16"/>
      <c r="W182" s="34"/>
      <c r="X182" s="35"/>
    </row>
    <row r="183" spans="11:24">
      <c r="K183" s="89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78"/>
      <c r="P183" s="102"/>
      <c r="Q183" s="103"/>
      <c r="R183" s="103"/>
      <c r="S183" s="90"/>
      <c r="U183" s="49" t="str">
        <f t="shared" si="14"/>
        <v/>
      </c>
      <c r="V183" s="16"/>
      <c r="W183" s="34"/>
      <c r="X183" s="35"/>
    </row>
    <row r="184" spans="11:24">
      <c r="K184" s="89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78"/>
      <c r="P184" s="102"/>
      <c r="Q184" s="103"/>
      <c r="R184" s="103"/>
      <c r="S184" s="90"/>
      <c r="U184" s="49" t="str">
        <f t="shared" si="14"/>
        <v/>
      </c>
      <c r="V184" s="16"/>
      <c r="W184" s="34"/>
      <c r="X184" s="35"/>
    </row>
    <row r="185" spans="11:24">
      <c r="K185" s="89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78"/>
      <c r="P185" s="102"/>
      <c r="Q185" s="103"/>
      <c r="R185" s="103"/>
      <c r="S185" s="90"/>
      <c r="U185" s="49" t="str">
        <f t="shared" si="14"/>
        <v/>
      </c>
      <c r="V185" s="16"/>
      <c r="W185" s="34"/>
      <c r="X185" s="35"/>
    </row>
    <row r="186" spans="11:24">
      <c r="K186" s="89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78"/>
      <c r="P186" s="102"/>
      <c r="Q186" s="103"/>
      <c r="R186" s="103"/>
      <c r="S186" s="90"/>
      <c r="U186" s="49" t="str">
        <f t="shared" si="14"/>
        <v/>
      </c>
      <c r="V186" s="16"/>
      <c r="W186" s="34"/>
      <c r="X186" s="35"/>
    </row>
    <row r="187" spans="11:24">
      <c r="K187" s="89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78"/>
      <c r="P187" s="102"/>
      <c r="Q187" s="103"/>
      <c r="R187" s="103"/>
      <c r="S187" s="90"/>
      <c r="U187" s="49" t="str">
        <f t="shared" si="14"/>
        <v/>
      </c>
      <c r="V187" s="16"/>
      <c r="W187" s="34"/>
      <c r="X187" s="35"/>
    </row>
    <row r="188" spans="11:24">
      <c r="K188" s="89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78"/>
      <c r="P188" s="102"/>
      <c r="Q188" s="103"/>
      <c r="R188" s="103"/>
      <c r="S188" s="90"/>
      <c r="U188" s="49" t="str">
        <f t="shared" si="14"/>
        <v/>
      </c>
      <c r="V188" s="16"/>
      <c r="W188" s="34"/>
      <c r="X188" s="35"/>
    </row>
    <row r="189" spans="11:24">
      <c r="K189" s="89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78"/>
      <c r="P189" s="102"/>
      <c r="Q189" s="103"/>
      <c r="R189" s="103"/>
      <c r="S189" s="90"/>
      <c r="U189" s="49" t="str">
        <f t="shared" si="14"/>
        <v/>
      </c>
      <c r="V189" s="16"/>
      <c r="W189" s="34"/>
      <c r="X189" s="35"/>
    </row>
    <row r="190" spans="11:24">
      <c r="K190" s="89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78"/>
      <c r="P190" s="102"/>
      <c r="Q190" s="103"/>
      <c r="R190" s="103"/>
      <c r="S190" s="90"/>
      <c r="U190" s="49" t="str">
        <f t="shared" si="14"/>
        <v/>
      </c>
      <c r="V190" s="16"/>
      <c r="W190" s="34"/>
      <c r="X190" s="35"/>
    </row>
    <row r="191" spans="11:24">
      <c r="K191" s="89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78"/>
      <c r="P191" s="102"/>
      <c r="Q191" s="103"/>
      <c r="R191" s="103"/>
      <c r="S191" s="90"/>
      <c r="U191" s="49" t="str">
        <f t="shared" si="14"/>
        <v/>
      </c>
      <c r="V191" s="16"/>
      <c r="W191" s="34"/>
      <c r="X191" s="35"/>
    </row>
    <row r="192" spans="11:24">
      <c r="K192" s="89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78"/>
      <c r="P192" s="102"/>
      <c r="Q192" s="103"/>
      <c r="R192" s="103"/>
      <c r="S192" s="90"/>
      <c r="U192" s="49" t="str">
        <f t="shared" si="14"/>
        <v/>
      </c>
      <c r="V192" s="16"/>
      <c r="W192" s="34"/>
      <c r="X192" s="35"/>
    </row>
    <row r="193" spans="11:24">
      <c r="K193" s="89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78"/>
      <c r="P193" s="102"/>
      <c r="Q193" s="103"/>
      <c r="R193" s="103"/>
      <c r="S193" s="90"/>
      <c r="U193" s="49" t="str">
        <f t="shared" si="14"/>
        <v/>
      </c>
      <c r="V193" s="16"/>
      <c r="W193" s="34"/>
      <c r="X193" s="35"/>
    </row>
    <row r="194" spans="11:24">
      <c r="K194" s="89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78"/>
      <c r="P194" s="102"/>
      <c r="Q194" s="103"/>
      <c r="R194" s="103"/>
      <c r="S194" s="90"/>
      <c r="U194" s="49" t="str">
        <f t="shared" si="14"/>
        <v/>
      </c>
      <c r="V194" s="16"/>
      <c r="W194" s="34"/>
      <c r="X194" s="35"/>
    </row>
    <row r="195" spans="11:24">
      <c r="K195" s="89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78"/>
      <c r="P195" s="102"/>
      <c r="Q195" s="103"/>
      <c r="R195" s="103"/>
      <c r="S195" s="90"/>
      <c r="U195" s="49" t="str">
        <f t="shared" si="14"/>
        <v/>
      </c>
      <c r="V195" s="16"/>
      <c r="W195" s="34"/>
      <c r="X195" s="35"/>
    </row>
    <row r="196" spans="11:24">
      <c r="K196" s="89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78"/>
      <c r="P196" s="102"/>
      <c r="Q196" s="103"/>
      <c r="R196" s="103"/>
      <c r="S196" s="90"/>
      <c r="U196" s="49" t="str">
        <f t="shared" si="14"/>
        <v/>
      </c>
      <c r="V196" s="16"/>
      <c r="W196" s="34"/>
      <c r="X196" s="35"/>
    </row>
    <row r="197" spans="11:24">
      <c r="K197" s="89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78"/>
      <c r="P197" s="102"/>
      <c r="Q197" s="103"/>
      <c r="R197" s="103"/>
      <c r="S197" s="90"/>
      <c r="U197" s="49" t="str">
        <f t="shared" si="14"/>
        <v/>
      </c>
      <c r="V197" s="16"/>
      <c r="W197" s="34"/>
      <c r="X197" s="35"/>
    </row>
    <row r="198" spans="11:24">
      <c r="K198" s="89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78"/>
      <c r="P198" s="102"/>
      <c r="Q198" s="103"/>
      <c r="R198" s="103"/>
      <c r="S198" s="90"/>
      <c r="U198" s="49" t="str">
        <f t="shared" si="14"/>
        <v/>
      </c>
      <c r="V198" s="16"/>
      <c r="W198" s="34"/>
      <c r="X198" s="35"/>
    </row>
    <row r="199" spans="11:24">
      <c r="K199" s="89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78"/>
      <c r="P199" s="102"/>
      <c r="Q199" s="103"/>
      <c r="R199" s="103"/>
      <c r="S199" s="90"/>
      <c r="U199" s="49" t="str">
        <f t="shared" si="14"/>
        <v/>
      </c>
      <c r="V199" s="16"/>
      <c r="W199" s="34"/>
      <c r="X199" s="35"/>
    </row>
    <row r="200" spans="11:24">
      <c r="K200" s="89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78"/>
      <c r="P200" s="102"/>
      <c r="Q200" s="103"/>
      <c r="R200" s="103"/>
      <c r="S200" s="90"/>
      <c r="U200" s="49" t="str">
        <f t="shared" si="14"/>
        <v/>
      </c>
      <c r="V200" s="16"/>
      <c r="W200" s="34"/>
      <c r="X200" s="35"/>
    </row>
    <row r="201" spans="11:24">
      <c r="K201" s="89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78"/>
      <c r="P202" s="102"/>
      <c r="Q202" s="103"/>
      <c r="R202" s="103"/>
      <c r="S202" s="90"/>
      <c r="U202" s="49" t="str">
        <f t="shared" si="18"/>
        <v/>
      </c>
      <c r="V202" s="16"/>
      <c r="W202" s="34"/>
      <c r="X202" s="35"/>
    </row>
    <row r="203" spans="11:24">
      <c r="K203" s="89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78"/>
      <c r="P203" s="102"/>
      <c r="Q203" s="103"/>
      <c r="R203" s="103"/>
      <c r="S203" s="90"/>
      <c r="U203" s="49" t="str">
        <f t="shared" si="18"/>
        <v/>
      </c>
      <c r="V203" s="16"/>
      <c r="W203" s="34"/>
      <c r="X203" s="35"/>
    </row>
    <row r="204" spans="11:24">
      <c r="K204" s="89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78"/>
      <c r="P204" s="102"/>
      <c r="Q204" s="103"/>
      <c r="R204" s="103"/>
      <c r="S204" s="90"/>
      <c r="U204" s="49" t="str">
        <f t="shared" si="18"/>
        <v/>
      </c>
      <c r="V204" s="16"/>
      <c r="W204" s="34"/>
      <c r="X204" s="35"/>
    </row>
    <row r="205" spans="11:24">
      <c r="K205" s="89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78"/>
      <c r="P205" s="102"/>
      <c r="Q205" s="103"/>
      <c r="R205" s="103"/>
      <c r="S205" s="90"/>
      <c r="U205" s="49" t="str">
        <f t="shared" si="18"/>
        <v/>
      </c>
      <c r="V205" s="16"/>
      <c r="W205" s="34"/>
      <c r="X205" s="35"/>
    </row>
    <row r="206" spans="11:24">
      <c r="K206" s="89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78"/>
      <c r="P206" s="102"/>
      <c r="Q206" s="103"/>
      <c r="R206" s="103"/>
      <c r="S206" s="90"/>
      <c r="U206" s="49" t="str">
        <f t="shared" si="18"/>
        <v/>
      </c>
      <c r="V206" s="16"/>
      <c r="W206" s="34"/>
      <c r="X206" s="35"/>
    </row>
    <row r="207" spans="11:24">
      <c r="K207" s="89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78"/>
      <c r="P207" s="102"/>
      <c r="Q207" s="103"/>
      <c r="R207" s="103"/>
      <c r="S207" s="90"/>
      <c r="U207" s="49" t="str">
        <f t="shared" si="18"/>
        <v/>
      </c>
      <c r="V207" s="16"/>
      <c r="W207" s="34"/>
      <c r="X207" s="35"/>
    </row>
    <row r="208" spans="11:24">
      <c r="K208" s="89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78"/>
      <c r="P208" s="102"/>
      <c r="Q208" s="103"/>
      <c r="R208" s="103"/>
      <c r="S208" s="90"/>
      <c r="U208" s="49" t="str">
        <f t="shared" si="18"/>
        <v/>
      </c>
      <c r="V208" s="16"/>
      <c r="W208" s="34"/>
      <c r="X208" s="35"/>
    </row>
    <row r="209" spans="11:24">
      <c r="K209" s="89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78"/>
      <c r="P209" s="102"/>
      <c r="Q209" s="103"/>
      <c r="R209" s="103"/>
      <c r="S209" s="90"/>
      <c r="U209" s="49" t="str">
        <f t="shared" si="18"/>
        <v/>
      </c>
      <c r="V209" s="16"/>
      <c r="W209" s="34"/>
      <c r="X209" s="35"/>
    </row>
    <row r="210" spans="11:24">
      <c r="K210" s="89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78"/>
      <c r="P210" s="102"/>
      <c r="Q210" s="103"/>
      <c r="R210" s="103"/>
      <c r="S210" s="90"/>
      <c r="U210" s="49" t="str">
        <f t="shared" si="18"/>
        <v/>
      </c>
      <c r="V210" s="16"/>
      <c r="W210" s="34"/>
      <c r="X210" s="35"/>
    </row>
    <row r="211" spans="11:24">
      <c r="K211" s="89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78"/>
      <c r="P211" s="102"/>
      <c r="Q211" s="103"/>
      <c r="R211" s="103"/>
      <c r="S211" s="90"/>
      <c r="U211" s="49" t="str">
        <f t="shared" si="18"/>
        <v/>
      </c>
      <c r="V211" s="16"/>
      <c r="W211" s="34"/>
      <c r="X211" s="35"/>
    </row>
    <row r="212" spans="11:24">
      <c r="K212" s="89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78"/>
      <c r="P212" s="102"/>
      <c r="Q212" s="103"/>
      <c r="R212" s="103"/>
      <c r="S212" s="90"/>
      <c r="U212" s="49" t="str">
        <f t="shared" si="18"/>
        <v/>
      </c>
      <c r="V212" s="16"/>
      <c r="W212" s="34"/>
      <c r="X212" s="35"/>
    </row>
    <row r="213" spans="11:24">
      <c r="K213" s="89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78"/>
      <c r="P213" s="102"/>
      <c r="Q213" s="103"/>
      <c r="R213" s="103"/>
      <c r="S213" s="90"/>
      <c r="U213" s="49" t="str">
        <f t="shared" si="18"/>
        <v/>
      </c>
      <c r="V213" s="16"/>
      <c r="W213" s="34"/>
      <c r="X213" s="35"/>
    </row>
    <row r="214" spans="11:24">
      <c r="K214" s="89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78"/>
      <c r="P214" s="102"/>
      <c r="Q214" s="103"/>
      <c r="R214" s="103"/>
      <c r="S214" s="90"/>
      <c r="U214" s="49" t="str">
        <f t="shared" si="18"/>
        <v/>
      </c>
      <c r="V214" s="16"/>
      <c r="W214" s="34"/>
      <c r="X214" s="35"/>
    </row>
    <row r="215" spans="11:24">
      <c r="K215" s="89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78"/>
      <c r="P215" s="102"/>
      <c r="Q215" s="103"/>
      <c r="R215" s="103"/>
      <c r="S215" s="90"/>
      <c r="U215" s="49" t="str">
        <f t="shared" si="18"/>
        <v/>
      </c>
      <c r="V215" s="16"/>
      <c r="W215" s="34"/>
      <c r="X215" s="35"/>
    </row>
    <row r="216" spans="11:24">
      <c r="K216" s="89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78"/>
      <c r="P216" s="102"/>
      <c r="Q216" s="103"/>
      <c r="R216" s="103"/>
      <c r="S216" s="90"/>
      <c r="U216" s="49" t="str">
        <f t="shared" si="18"/>
        <v/>
      </c>
      <c r="V216" s="16"/>
      <c r="W216" s="34"/>
      <c r="X216" s="35"/>
    </row>
    <row r="217" spans="11:24">
      <c r="K217" s="89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78"/>
      <c r="P217" s="102"/>
      <c r="Q217" s="103"/>
      <c r="R217" s="103"/>
      <c r="S217" s="90"/>
      <c r="U217" s="49" t="str">
        <f t="shared" si="18"/>
        <v/>
      </c>
      <c r="V217" s="16"/>
      <c r="W217" s="34"/>
      <c r="X217" s="35"/>
    </row>
    <row r="218" spans="11:24">
      <c r="K218" s="89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78"/>
      <c r="P218" s="102"/>
      <c r="Q218" s="103"/>
      <c r="R218" s="103"/>
      <c r="S218" s="90"/>
      <c r="U218" s="49" t="str">
        <f t="shared" si="18"/>
        <v/>
      </c>
      <c r="V218" s="16"/>
      <c r="W218" s="34"/>
      <c r="X218" s="35"/>
    </row>
    <row r="219" spans="11:24">
      <c r="K219" s="89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78"/>
      <c r="P219" s="102"/>
      <c r="Q219" s="103"/>
      <c r="R219" s="103"/>
      <c r="S219" s="90"/>
      <c r="U219" s="49" t="str">
        <f t="shared" si="18"/>
        <v/>
      </c>
      <c r="V219" s="16"/>
      <c r="W219" s="34"/>
      <c r="X219" s="35"/>
    </row>
    <row r="220" spans="11:24">
      <c r="K220" s="89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78"/>
      <c r="P220" s="102"/>
      <c r="Q220" s="103"/>
      <c r="R220" s="103"/>
      <c r="S220" s="90"/>
      <c r="U220" s="49" t="str">
        <f t="shared" si="18"/>
        <v/>
      </c>
      <c r="V220" s="16"/>
      <c r="W220" s="34"/>
      <c r="X220" s="35"/>
    </row>
    <row r="221" spans="11:24">
      <c r="K221" s="89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78"/>
      <c r="P221" s="102"/>
      <c r="Q221" s="103"/>
      <c r="R221" s="103"/>
      <c r="S221" s="90"/>
      <c r="U221" s="49" t="str">
        <f t="shared" si="18"/>
        <v/>
      </c>
      <c r="V221" s="16"/>
      <c r="W221" s="34"/>
      <c r="X221" s="35"/>
    </row>
    <row r="222" spans="11:24">
      <c r="K222" s="89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78"/>
      <c r="P222" s="102"/>
      <c r="Q222" s="103"/>
      <c r="R222" s="103"/>
      <c r="S222" s="90"/>
      <c r="U222" s="49" t="str">
        <f t="shared" si="18"/>
        <v/>
      </c>
      <c r="V222" s="16"/>
      <c r="W222" s="34"/>
      <c r="X222" s="35"/>
    </row>
    <row r="223" spans="11:24">
      <c r="K223" s="89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78"/>
      <c r="P223" s="102"/>
      <c r="Q223" s="103"/>
      <c r="R223" s="103"/>
      <c r="S223" s="90"/>
      <c r="U223" s="49" t="str">
        <f t="shared" si="18"/>
        <v/>
      </c>
      <c r="V223" s="16"/>
      <c r="W223" s="34"/>
      <c r="X223" s="35"/>
    </row>
    <row r="224" spans="11:24">
      <c r="K224" s="89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78"/>
      <c r="P224" s="102"/>
      <c r="Q224" s="103"/>
      <c r="R224" s="103"/>
      <c r="S224" s="90"/>
      <c r="U224" s="49" t="str">
        <f t="shared" si="18"/>
        <v/>
      </c>
      <c r="V224" s="16"/>
      <c r="W224" s="34"/>
      <c r="X224" s="35"/>
    </row>
    <row r="225" spans="11:24">
      <c r="K225" s="89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78"/>
      <c r="P225" s="102"/>
      <c r="Q225" s="103"/>
      <c r="R225" s="103"/>
      <c r="S225" s="90"/>
      <c r="U225" s="49" t="str">
        <f t="shared" si="18"/>
        <v/>
      </c>
      <c r="V225" s="16"/>
      <c r="W225" s="34"/>
      <c r="X225" s="35"/>
    </row>
    <row r="226" spans="11:24">
      <c r="K226" s="89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78"/>
      <c r="P226" s="102"/>
      <c r="Q226" s="103"/>
      <c r="R226" s="103"/>
      <c r="S226" s="90"/>
      <c r="U226" s="49" t="str">
        <f t="shared" si="18"/>
        <v/>
      </c>
      <c r="V226" s="16"/>
      <c r="W226" s="34"/>
      <c r="X226" s="35"/>
    </row>
    <row r="227" spans="11:24">
      <c r="K227" s="89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78"/>
      <c r="P227" s="102"/>
      <c r="Q227" s="103"/>
      <c r="R227" s="103"/>
      <c r="S227" s="90"/>
      <c r="U227" s="49" t="str">
        <f t="shared" si="18"/>
        <v/>
      </c>
      <c r="V227" s="16"/>
      <c r="W227" s="34"/>
      <c r="X227" s="35"/>
    </row>
    <row r="228" spans="11:24">
      <c r="K228" s="89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78"/>
      <c r="P228" s="102"/>
      <c r="Q228" s="103"/>
      <c r="R228" s="103"/>
      <c r="S228" s="90"/>
      <c r="U228" s="49" t="str">
        <f t="shared" si="18"/>
        <v/>
      </c>
      <c r="V228" s="16"/>
      <c r="W228" s="34"/>
      <c r="X228" s="35"/>
    </row>
    <row r="229" spans="11:24">
      <c r="K229" s="89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78"/>
      <c r="P229" s="102"/>
      <c r="Q229" s="103"/>
      <c r="R229" s="103"/>
      <c r="S229" s="90"/>
      <c r="U229" s="49" t="str">
        <f t="shared" si="18"/>
        <v/>
      </c>
      <c r="V229" s="16"/>
      <c r="W229" s="34"/>
      <c r="X229" s="35"/>
    </row>
    <row r="230" spans="11:24">
      <c r="K230" s="89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78"/>
      <c r="P230" s="102"/>
      <c r="Q230" s="103"/>
      <c r="R230" s="103"/>
      <c r="S230" s="90"/>
      <c r="U230" s="49" t="str">
        <f t="shared" si="18"/>
        <v/>
      </c>
      <c r="V230" s="16"/>
      <c r="W230" s="34"/>
      <c r="X230" s="35"/>
    </row>
    <row r="231" spans="11:24">
      <c r="K231" s="89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78"/>
      <c r="P231" s="102"/>
      <c r="Q231" s="103"/>
      <c r="R231" s="103"/>
      <c r="S231" s="90"/>
      <c r="U231" s="49" t="str">
        <f t="shared" si="18"/>
        <v/>
      </c>
      <c r="V231" s="16"/>
      <c r="W231" s="34"/>
      <c r="X231" s="35"/>
    </row>
    <row r="232" spans="11:24">
      <c r="K232" s="89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78"/>
      <c r="P232" s="102"/>
      <c r="Q232" s="103"/>
      <c r="R232" s="103"/>
      <c r="S232" s="90"/>
      <c r="U232" s="49" t="str">
        <f t="shared" si="18"/>
        <v/>
      </c>
      <c r="V232" s="16"/>
      <c r="W232" s="34"/>
      <c r="X232" s="35"/>
    </row>
    <row r="233" spans="11:24">
      <c r="K233" s="89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78"/>
      <c r="P233" s="102"/>
      <c r="Q233" s="103"/>
      <c r="R233" s="103"/>
      <c r="S233" s="90"/>
      <c r="U233" s="49" t="str">
        <f t="shared" si="18"/>
        <v/>
      </c>
      <c r="V233" s="16"/>
      <c r="W233" s="34"/>
      <c r="X233" s="35"/>
    </row>
    <row r="234" spans="11:24">
      <c r="K234" s="89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78"/>
      <c r="P234" s="102"/>
      <c r="Q234" s="103"/>
      <c r="R234" s="103"/>
      <c r="S234" s="90"/>
      <c r="U234" s="49" t="str">
        <f t="shared" si="18"/>
        <v/>
      </c>
      <c r="V234" s="16"/>
      <c r="W234" s="34"/>
      <c r="X234" s="35"/>
    </row>
    <row r="235" spans="11:24">
      <c r="K235" s="89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78"/>
      <c r="P235" s="102"/>
      <c r="Q235" s="103"/>
      <c r="R235" s="103"/>
      <c r="S235" s="90"/>
      <c r="U235" s="49" t="str">
        <f t="shared" si="18"/>
        <v/>
      </c>
      <c r="V235" s="16"/>
      <c r="W235" s="34"/>
      <c r="X235" s="35"/>
    </row>
    <row r="236" spans="11:24">
      <c r="K236" s="89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78"/>
      <c r="P236" s="102"/>
      <c r="Q236" s="103"/>
      <c r="R236" s="103"/>
      <c r="S236" s="90"/>
      <c r="U236" s="49" t="str">
        <f t="shared" si="18"/>
        <v/>
      </c>
      <c r="V236" s="16"/>
      <c r="W236" s="34"/>
      <c r="X236" s="35"/>
    </row>
    <row r="237" spans="11:24">
      <c r="K237" s="89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78"/>
      <c r="P237" s="102"/>
      <c r="Q237" s="103"/>
      <c r="R237" s="103"/>
      <c r="S237" s="90"/>
      <c r="U237" s="49" t="str">
        <f t="shared" si="18"/>
        <v/>
      </c>
      <c r="V237" s="16"/>
      <c r="W237" s="34"/>
      <c r="X237" s="35"/>
    </row>
    <row r="238" spans="11:24">
      <c r="K238" s="89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78"/>
      <c r="P238" s="102"/>
      <c r="Q238" s="103"/>
      <c r="R238" s="103"/>
      <c r="S238" s="90"/>
      <c r="U238" s="49" t="str">
        <f t="shared" si="18"/>
        <v/>
      </c>
      <c r="V238" s="16"/>
      <c r="W238" s="34"/>
      <c r="X238" s="35"/>
    </row>
    <row r="239" spans="11:24">
      <c r="K239" s="89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78"/>
      <c r="P239" s="102"/>
      <c r="Q239" s="103"/>
      <c r="R239" s="103"/>
      <c r="S239" s="90"/>
      <c r="U239" s="49" t="str">
        <f t="shared" si="18"/>
        <v/>
      </c>
      <c r="V239" s="16"/>
      <c r="W239" s="34"/>
      <c r="X239" s="35"/>
    </row>
    <row r="240" spans="11:24">
      <c r="K240" s="89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78"/>
      <c r="P240" s="102"/>
      <c r="Q240" s="103"/>
      <c r="R240" s="103"/>
      <c r="S240" s="90"/>
      <c r="U240" s="49" t="str">
        <f t="shared" si="18"/>
        <v/>
      </c>
      <c r="V240" s="16"/>
      <c r="W240" s="34"/>
      <c r="X240" s="35"/>
    </row>
    <row r="241" spans="11:24">
      <c r="K241" s="89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78"/>
      <c r="P241" s="102"/>
      <c r="Q241" s="103"/>
      <c r="R241" s="103"/>
      <c r="S241" s="90"/>
      <c r="U241" s="49" t="str">
        <f t="shared" si="18"/>
        <v/>
      </c>
      <c r="V241" s="16"/>
      <c r="W241" s="34"/>
      <c r="X241" s="35"/>
    </row>
    <row r="242" spans="11:24">
      <c r="K242" s="89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78"/>
      <c r="P242" s="102"/>
      <c r="Q242" s="103"/>
      <c r="R242" s="103"/>
      <c r="S242" s="90"/>
      <c r="U242" s="49" t="str">
        <f t="shared" si="18"/>
        <v/>
      </c>
      <c r="V242" s="16"/>
      <c r="W242" s="34"/>
      <c r="X242" s="35"/>
    </row>
    <row r="243" spans="11:24">
      <c r="K243" s="89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78"/>
      <c r="P243" s="102"/>
      <c r="Q243" s="103"/>
      <c r="R243" s="103"/>
      <c r="S243" s="90"/>
      <c r="U243" s="49" t="str">
        <f t="shared" si="18"/>
        <v/>
      </c>
      <c r="V243" s="16"/>
      <c r="W243" s="34"/>
      <c r="X243" s="35"/>
    </row>
    <row r="244" spans="11:24">
      <c r="K244" s="89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78"/>
      <c r="P244" s="102"/>
      <c r="Q244" s="103"/>
      <c r="R244" s="103"/>
      <c r="S244" s="90"/>
      <c r="U244" s="49" t="str">
        <f t="shared" si="18"/>
        <v/>
      </c>
      <c r="V244" s="16"/>
      <c r="W244" s="34"/>
      <c r="X244" s="35"/>
    </row>
    <row r="245" spans="11:24">
      <c r="K245" s="89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78"/>
      <c r="P245" s="102"/>
      <c r="Q245" s="103"/>
      <c r="R245" s="103"/>
      <c r="S245" s="90"/>
      <c r="U245" s="49" t="str">
        <f t="shared" si="18"/>
        <v/>
      </c>
      <c r="V245" s="16"/>
      <c r="W245" s="34"/>
      <c r="X245" s="35"/>
    </row>
    <row r="246" spans="11:24">
      <c r="K246" s="89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78"/>
      <c r="P246" s="102"/>
      <c r="Q246" s="103"/>
      <c r="R246" s="103"/>
      <c r="S246" s="90"/>
      <c r="U246" s="49" t="str">
        <f t="shared" si="18"/>
        <v/>
      </c>
      <c r="V246" s="16"/>
      <c r="W246" s="34"/>
      <c r="X246" s="35"/>
    </row>
    <row r="247" spans="11:24">
      <c r="K247" s="89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78"/>
      <c r="P247" s="102"/>
      <c r="Q247" s="103"/>
      <c r="R247" s="103"/>
      <c r="S247" s="90"/>
      <c r="U247" s="49" t="str">
        <f t="shared" si="18"/>
        <v/>
      </c>
      <c r="V247" s="16"/>
      <c r="W247" s="34"/>
      <c r="X247" s="35"/>
    </row>
    <row r="248" spans="11:24">
      <c r="K248" s="89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78"/>
      <c r="P248" s="102"/>
      <c r="Q248" s="103"/>
      <c r="R248" s="103"/>
      <c r="S248" s="90"/>
      <c r="U248" s="49" t="str">
        <f t="shared" si="18"/>
        <v/>
      </c>
      <c r="V248" s="16"/>
      <c r="W248" s="34"/>
      <c r="X248" s="35"/>
    </row>
    <row r="249" spans="11:24">
      <c r="K249" s="89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78"/>
      <c r="P249" s="102"/>
      <c r="Q249" s="103"/>
      <c r="R249" s="103"/>
      <c r="S249" s="90"/>
      <c r="U249" s="49" t="str">
        <f t="shared" si="18"/>
        <v/>
      </c>
      <c r="V249" s="16"/>
      <c r="W249" s="34"/>
      <c r="X249" s="35"/>
    </row>
    <row r="250" spans="11:24">
      <c r="K250" s="89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78"/>
      <c r="P250" s="102"/>
      <c r="Q250" s="103"/>
      <c r="R250" s="103"/>
      <c r="S250" s="90"/>
      <c r="U250" s="49" t="str">
        <f t="shared" si="18"/>
        <v/>
      </c>
      <c r="V250" s="16"/>
      <c r="W250" s="34"/>
      <c r="X250" s="35"/>
    </row>
    <row r="251" spans="11:24">
      <c r="K251" s="89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78"/>
      <c r="P251" s="102"/>
      <c r="Q251" s="103"/>
      <c r="R251" s="103"/>
      <c r="S251" s="90"/>
      <c r="U251" s="49" t="str">
        <f t="shared" si="18"/>
        <v/>
      </c>
      <c r="V251" s="16"/>
      <c r="W251" s="34"/>
      <c r="X251" s="35"/>
    </row>
    <row r="252" spans="11:24">
      <c r="K252" s="89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78"/>
      <c r="P252" s="102"/>
      <c r="Q252" s="103"/>
      <c r="R252" s="103"/>
      <c r="S252" s="90"/>
      <c r="U252" s="49" t="str">
        <f t="shared" si="18"/>
        <v/>
      </c>
      <c r="V252" s="16"/>
      <c r="W252" s="34"/>
      <c r="X252" s="35"/>
    </row>
    <row r="253" spans="11:24">
      <c r="K253" s="89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78"/>
      <c r="P253" s="102"/>
      <c r="Q253" s="103"/>
      <c r="R253" s="103"/>
      <c r="S253" s="90"/>
      <c r="U253" s="49" t="str">
        <f t="shared" si="18"/>
        <v/>
      </c>
      <c r="V253" s="16"/>
      <c r="W253" s="34"/>
      <c r="X253" s="35"/>
    </row>
    <row r="254" spans="11:24">
      <c r="K254" s="89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78"/>
      <c r="P254" s="102"/>
      <c r="Q254" s="103"/>
      <c r="R254" s="103"/>
      <c r="S254" s="90"/>
      <c r="U254" s="49" t="str">
        <f t="shared" si="18"/>
        <v/>
      </c>
      <c r="V254" s="16"/>
      <c r="W254" s="34"/>
      <c r="X254" s="35"/>
    </row>
    <row r="255" spans="11:24">
      <c r="K255" s="89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78"/>
      <c r="P255" s="102"/>
      <c r="Q255" s="103"/>
      <c r="R255" s="103"/>
      <c r="S255" s="90"/>
      <c r="U255" s="49" t="str">
        <f t="shared" si="18"/>
        <v/>
      </c>
      <c r="V255" s="16"/>
      <c r="W255" s="34"/>
      <c r="X255" s="35"/>
    </row>
    <row r="256" spans="11:24">
      <c r="K256" s="89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78"/>
      <c r="P256" s="102"/>
      <c r="Q256" s="103"/>
      <c r="R256" s="103"/>
      <c r="S256" s="90"/>
      <c r="U256" s="49" t="str">
        <f t="shared" si="18"/>
        <v/>
      </c>
      <c r="V256" s="16"/>
      <c r="W256" s="34"/>
      <c r="X256" s="35"/>
    </row>
    <row r="257" spans="11:24">
      <c r="K257" s="89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78"/>
      <c r="P257" s="102"/>
      <c r="Q257" s="103"/>
      <c r="R257" s="103"/>
      <c r="S257" s="90"/>
      <c r="U257" s="49" t="str">
        <f t="shared" si="18"/>
        <v/>
      </c>
      <c r="V257" s="16"/>
      <c r="W257" s="34"/>
      <c r="X257" s="35"/>
    </row>
    <row r="258" spans="11:24">
      <c r="K258" s="89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78"/>
      <c r="P258" s="102"/>
      <c r="Q258" s="103"/>
      <c r="R258" s="103"/>
      <c r="S258" s="90"/>
      <c r="U258" s="49" t="str">
        <f t="shared" si="18"/>
        <v/>
      </c>
      <c r="V258" s="16"/>
      <c r="W258" s="34"/>
      <c r="X258" s="35"/>
    </row>
    <row r="259" spans="11:24">
      <c r="K259" s="89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78"/>
      <c r="P259" s="102"/>
      <c r="Q259" s="103"/>
      <c r="R259" s="103"/>
      <c r="S259" s="90"/>
      <c r="U259" s="49" t="str">
        <f t="shared" si="18"/>
        <v/>
      </c>
      <c r="V259" s="16"/>
      <c r="W259" s="34"/>
      <c r="X259" s="35"/>
    </row>
    <row r="260" spans="11:24">
      <c r="K260" s="89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78"/>
      <c r="P260" s="102"/>
      <c r="Q260" s="103"/>
      <c r="R260" s="103"/>
      <c r="S260" s="90"/>
      <c r="U260" s="49" t="str">
        <f t="shared" si="18"/>
        <v/>
      </c>
      <c r="V260" s="16"/>
      <c r="W260" s="34"/>
      <c r="X260" s="35"/>
    </row>
    <row r="261" spans="11:24">
      <c r="K261" s="89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78"/>
      <c r="P261" s="102"/>
      <c r="Q261" s="103"/>
      <c r="R261" s="103"/>
      <c r="S261" s="90"/>
      <c r="U261" s="49" t="str">
        <f t="shared" si="18"/>
        <v/>
      </c>
      <c r="V261" s="16"/>
      <c r="W261" s="34"/>
      <c r="X261" s="35"/>
    </row>
    <row r="262" spans="11:24">
      <c r="K262" s="89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78"/>
      <c r="P262" s="102"/>
      <c r="Q262" s="103"/>
      <c r="R262" s="103"/>
      <c r="S262" s="90"/>
      <c r="U262" s="49" t="str">
        <f t="shared" si="18"/>
        <v/>
      </c>
      <c r="V262" s="16"/>
      <c r="W262" s="34"/>
      <c r="X262" s="35"/>
    </row>
    <row r="263" spans="11:24">
      <c r="K263" s="89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78"/>
      <c r="P263" s="102"/>
      <c r="Q263" s="103"/>
      <c r="R263" s="103"/>
      <c r="S263" s="90"/>
      <c r="U263" s="49" t="str">
        <f t="shared" si="18"/>
        <v/>
      </c>
      <c r="V263" s="16"/>
      <c r="W263" s="34"/>
      <c r="X263" s="35"/>
    </row>
    <row r="264" spans="11:24">
      <c r="K264" s="89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78"/>
      <c r="P264" s="102"/>
      <c r="Q264" s="103"/>
      <c r="R264" s="103"/>
      <c r="S264" s="90"/>
      <c r="U264" s="49" t="str">
        <f t="shared" si="18"/>
        <v/>
      </c>
      <c r="V264" s="16"/>
      <c r="W264" s="34"/>
      <c r="X264" s="35"/>
    </row>
    <row r="265" spans="11:24">
      <c r="K265" s="89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78"/>
      <c r="P266" s="102"/>
      <c r="Q266" s="103"/>
      <c r="R266" s="103"/>
      <c r="S266" s="90"/>
      <c r="U266" s="49" t="str">
        <f t="shared" si="22"/>
        <v/>
      </c>
      <c r="V266" s="16"/>
      <c r="W266" s="34"/>
      <c r="X266" s="35"/>
    </row>
    <row r="267" spans="11:24">
      <c r="K267" s="89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78"/>
      <c r="P267" s="102"/>
      <c r="Q267" s="103"/>
      <c r="R267" s="103"/>
      <c r="S267" s="90"/>
      <c r="U267" s="49" t="str">
        <f t="shared" si="22"/>
        <v/>
      </c>
      <c r="V267" s="16"/>
      <c r="W267" s="34"/>
      <c r="X267" s="35"/>
    </row>
    <row r="268" spans="11:24">
      <c r="K268" s="89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78"/>
      <c r="P268" s="102"/>
      <c r="Q268" s="103"/>
      <c r="R268" s="103"/>
      <c r="S268" s="90"/>
      <c r="U268" s="49" t="str">
        <f t="shared" si="22"/>
        <v/>
      </c>
      <c r="V268" s="16"/>
      <c r="W268" s="34"/>
      <c r="X268" s="35"/>
    </row>
    <row r="269" spans="11:24">
      <c r="K269" s="89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78"/>
      <c r="P269" s="102"/>
      <c r="Q269" s="103"/>
      <c r="R269" s="103"/>
      <c r="S269" s="90"/>
      <c r="U269" s="49" t="str">
        <f t="shared" si="22"/>
        <v/>
      </c>
      <c r="V269" s="16"/>
      <c r="W269" s="34"/>
      <c r="X269" s="35"/>
    </row>
    <row r="270" spans="11:24">
      <c r="K270" s="89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78"/>
      <c r="P270" s="102"/>
      <c r="Q270" s="103"/>
      <c r="R270" s="103"/>
      <c r="S270" s="90"/>
      <c r="U270" s="49" t="str">
        <f t="shared" si="22"/>
        <v/>
      </c>
      <c r="V270" s="16"/>
      <c r="W270" s="34"/>
      <c r="X270" s="35"/>
    </row>
    <row r="271" spans="11:24">
      <c r="K271" s="89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78"/>
      <c r="P271" s="102"/>
      <c r="Q271" s="103"/>
      <c r="R271" s="103"/>
      <c r="S271" s="90"/>
      <c r="U271" s="49" t="str">
        <f t="shared" si="22"/>
        <v/>
      </c>
      <c r="V271" s="16"/>
      <c r="W271" s="34"/>
      <c r="X271" s="35"/>
    </row>
    <row r="272" spans="11:24">
      <c r="K272" s="89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78"/>
      <c r="P272" s="102"/>
      <c r="Q272" s="103"/>
      <c r="R272" s="103"/>
      <c r="S272" s="90"/>
      <c r="U272" s="49" t="str">
        <f t="shared" si="22"/>
        <v/>
      </c>
      <c r="V272" s="16"/>
      <c r="W272" s="34"/>
      <c r="X272" s="35"/>
    </row>
    <row r="273" spans="11:24">
      <c r="K273" s="89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78"/>
      <c r="P273" s="102"/>
      <c r="Q273" s="103"/>
      <c r="R273" s="103"/>
      <c r="S273" s="90"/>
      <c r="U273" s="49" t="str">
        <f t="shared" si="22"/>
        <v/>
      </c>
      <c r="V273" s="16"/>
      <c r="W273" s="34"/>
      <c r="X273" s="35"/>
    </row>
    <row r="274" spans="11:24">
      <c r="K274" s="89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78"/>
      <c r="P274" s="102"/>
      <c r="Q274" s="103"/>
      <c r="R274" s="103"/>
      <c r="S274" s="90"/>
      <c r="U274" s="49" t="str">
        <f t="shared" si="22"/>
        <v/>
      </c>
      <c r="V274" s="16"/>
      <c r="W274" s="34"/>
      <c r="X274" s="35"/>
    </row>
    <row r="275" spans="11:24">
      <c r="K275" s="89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78"/>
      <c r="P275" s="102"/>
      <c r="Q275" s="103"/>
      <c r="R275" s="103"/>
      <c r="S275" s="90"/>
      <c r="U275" s="49" t="str">
        <f t="shared" si="22"/>
        <v/>
      </c>
      <c r="V275" s="16"/>
      <c r="W275" s="34"/>
      <c r="X275" s="35"/>
    </row>
    <row r="276" spans="11:24">
      <c r="K276" s="89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78"/>
      <c r="P276" s="102"/>
      <c r="Q276" s="103"/>
      <c r="R276" s="103"/>
      <c r="S276" s="90"/>
      <c r="U276" s="49" t="str">
        <f t="shared" si="22"/>
        <v/>
      </c>
      <c r="V276" s="16"/>
      <c r="W276" s="34"/>
      <c r="X276" s="35"/>
    </row>
    <row r="277" spans="11:24">
      <c r="K277" s="89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78"/>
      <c r="P277" s="102"/>
      <c r="Q277" s="103"/>
      <c r="R277" s="103"/>
      <c r="S277" s="90"/>
      <c r="U277" s="49" t="str">
        <f t="shared" si="22"/>
        <v/>
      </c>
      <c r="V277" s="16"/>
      <c r="W277" s="34"/>
      <c r="X277" s="35"/>
    </row>
    <row r="278" spans="11:24">
      <c r="K278" s="89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78"/>
      <c r="P278" s="102"/>
      <c r="Q278" s="103"/>
      <c r="R278" s="103"/>
      <c r="S278" s="90"/>
      <c r="U278" s="49" t="str">
        <f t="shared" si="22"/>
        <v/>
      </c>
      <c r="V278" s="16"/>
      <c r="W278" s="34"/>
      <c r="X278" s="35"/>
    </row>
    <row r="279" spans="11:24">
      <c r="K279" s="89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78"/>
      <c r="P279" s="102"/>
      <c r="Q279" s="103"/>
      <c r="R279" s="103"/>
      <c r="S279" s="90"/>
      <c r="U279" s="49" t="str">
        <f t="shared" si="22"/>
        <v/>
      </c>
      <c r="V279" s="16"/>
      <c r="W279" s="34"/>
      <c r="X279" s="35"/>
    </row>
    <row r="280" spans="11:24">
      <c r="K280" s="89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78"/>
      <c r="P280" s="102"/>
      <c r="Q280" s="103"/>
      <c r="R280" s="103"/>
      <c r="S280" s="90"/>
      <c r="U280" s="49" t="str">
        <f t="shared" si="22"/>
        <v/>
      </c>
      <c r="V280" s="16"/>
      <c r="W280" s="34"/>
      <c r="X280" s="35"/>
    </row>
    <row r="281" spans="11:24">
      <c r="K281" s="89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78"/>
      <c r="P281" s="102"/>
      <c r="Q281" s="103"/>
      <c r="R281" s="103"/>
      <c r="S281" s="90"/>
      <c r="U281" s="49" t="str">
        <f t="shared" si="22"/>
        <v/>
      </c>
      <c r="V281" s="16"/>
      <c r="W281" s="34"/>
      <c r="X281" s="35"/>
    </row>
    <row r="282" spans="11:24">
      <c r="K282" s="89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78"/>
      <c r="P282" s="102"/>
      <c r="Q282" s="103"/>
      <c r="R282" s="103"/>
      <c r="S282" s="90"/>
      <c r="U282" s="49" t="str">
        <f t="shared" si="22"/>
        <v/>
      </c>
      <c r="V282" s="16"/>
      <c r="W282" s="34"/>
      <c r="X282" s="35"/>
    </row>
    <row r="283" spans="11:24">
      <c r="K283" s="89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78"/>
      <c r="P283" s="102"/>
      <c r="Q283" s="103"/>
      <c r="R283" s="103"/>
      <c r="S283" s="90"/>
      <c r="U283" s="49" t="str">
        <f t="shared" si="22"/>
        <v/>
      </c>
      <c r="V283" s="16"/>
      <c r="W283" s="34"/>
      <c r="X283" s="35"/>
    </row>
    <row r="284" spans="11:24">
      <c r="K284" s="89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78"/>
      <c r="P284" s="102"/>
      <c r="Q284" s="103"/>
      <c r="R284" s="103"/>
      <c r="S284" s="90"/>
      <c r="U284" s="49" t="str">
        <f t="shared" si="22"/>
        <v/>
      </c>
      <c r="V284" s="16"/>
      <c r="W284" s="34"/>
      <c r="X284" s="35"/>
    </row>
    <row r="285" spans="11:24">
      <c r="K285" s="89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78"/>
      <c r="P285" s="102"/>
      <c r="Q285" s="103"/>
      <c r="R285" s="103"/>
      <c r="S285" s="90"/>
      <c r="U285" s="49" t="str">
        <f t="shared" si="22"/>
        <v/>
      </c>
      <c r="V285" s="16"/>
      <c r="W285" s="34"/>
      <c r="X285" s="35"/>
    </row>
    <row r="286" spans="11:24">
      <c r="K286" s="89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78"/>
      <c r="P286" s="102"/>
      <c r="Q286" s="103"/>
      <c r="R286" s="103"/>
      <c r="S286" s="90"/>
      <c r="U286" s="49" t="str">
        <f t="shared" si="22"/>
        <v/>
      </c>
      <c r="V286" s="16"/>
      <c r="W286" s="34"/>
      <c r="X286" s="35"/>
    </row>
    <row r="287" spans="11:24">
      <c r="K287" s="89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78"/>
      <c r="P287" s="102"/>
      <c r="Q287" s="103"/>
      <c r="R287" s="103"/>
      <c r="S287" s="90"/>
      <c r="U287" s="49" t="str">
        <f t="shared" si="22"/>
        <v/>
      </c>
      <c r="V287" s="16"/>
      <c r="W287" s="34"/>
      <c r="X287" s="35"/>
    </row>
    <row r="288" spans="11:24">
      <c r="K288" s="89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78"/>
      <c r="P288" s="102"/>
      <c r="Q288" s="103"/>
      <c r="R288" s="103"/>
      <c r="S288" s="90"/>
      <c r="U288" s="49" t="str">
        <f t="shared" si="22"/>
        <v/>
      </c>
      <c r="V288" s="16"/>
      <c r="W288" s="34"/>
      <c r="X288" s="35"/>
    </row>
    <row r="289" spans="11:24">
      <c r="K289" s="89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78"/>
      <c r="P289" s="102"/>
      <c r="Q289" s="103"/>
      <c r="R289" s="103"/>
      <c r="S289" s="90"/>
      <c r="U289" s="49" t="str">
        <f t="shared" si="22"/>
        <v/>
      </c>
      <c r="V289" s="16"/>
      <c r="W289" s="34"/>
      <c r="X289" s="35"/>
    </row>
    <row r="290" spans="11:24">
      <c r="K290" s="89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78"/>
      <c r="P290" s="102"/>
      <c r="Q290" s="103"/>
      <c r="R290" s="103"/>
      <c r="S290" s="90"/>
      <c r="U290" s="49" t="str">
        <f t="shared" si="22"/>
        <v/>
      </c>
      <c r="V290" s="16"/>
      <c r="W290" s="34"/>
      <c r="X290" s="35"/>
    </row>
    <row r="291" spans="11:24">
      <c r="K291" s="89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78"/>
      <c r="P291" s="102"/>
      <c r="Q291" s="103"/>
      <c r="R291" s="103"/>
      <c r="S291" s="90"/>
      <c r="U291" s="49" t="str">
        <f t="shared" si="22"/>
        <v/>
      </c>
      <c r="V291" s="16"/>
      <c r="W291" s="34"/>
      <c r="X291" s="35"/>
    </row>
    <row r="292" spans="11:24">
      <c r="K292" s="89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78"/>
      <c r="P292" s="102"/>
      <c r="Q292" s="103"/>
      <c r="R292" s="103"/>
      <c r="S292" s="90"/>
      <c r="U292" s="49" t="str">
        <f t="shared" si="22"/>
        <v/>
      </c>
      <c r="V292" s="16"/>
      <c r="W292" s="34"/>
      <c r="X292" s="35"/>
    </row>
    <row r="293" spans="11:24">
      <c r="K293" s="89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78"/>
      <c r="P293" s="102"/>
      <c r="Q293" s="103"/>
      <c r="R293" s="103"/>
      <c r="S293" s="90"/>
      <c r="U293" s="49" t="str">
        <f t="shared" si="22"/>
        <v/>
      </c>
      <c r="V293" s="16"/>
      <c r="W293" s="34"/>
      <c r="X293" s="35"/>
    </row>
    <row r="294" spans="11:24">
      <c r="K294" s="89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78"/>
      <c r="P294" s="102"/>
      <c r="Q294" s="103"/>
      <c r="R294" s="103"/>
      <c r="S294" s="90"/>
      <c r="U294" s="49" t="str">
        <f t="shared" si="22"/>
        <v/>
      </c>
      <c r="V294" s="16"/>
      <c r="W294" s="34"/>
      <c r="X294" s="35"/>
    </row>
    <row r="295" spans="11:24">
      <c r="K295" s="89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78"/>
      <c r="P295" s="102"/>
      <c r="Q295" s="103"/>
      <c r="R295" s="103"/>
      <c r="S295" s="90"/>
      <c r="U295" s="49" t="str">
        <f t="shared" si="22"/>
        <v/>
      </c>
      <c r="V295" s="16"/>
      <c r="W295" s="34"/>
      <c r="X295" s="35"/>
    </row>
    <row r="296" spans="11:24">
      <c r="K296" s="89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78"/>
      <c r="P296" s="102"/>
      <c r="Q296" s="103"/>
      <c r="R296" s="103"/>
      <c r="S296" s="90"/>
      <c r="U296" s="49" t="str">
        <f t="shared" si="22"/>
        <v/>
      </c>
      <c r="V296" s="16"/>
      <c r="W296" s="34"/>
      <c r="X296" s="35"/>
    </row>
    <row r="297" spans="11:24">
      <c r="K297" s="89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78"/>
      <c r="P297" s="102"/>
      <c r="Q297" s="103"/>
      <c r="R297" s="103"/>
      <c r="S297" s="90"/>
      <c r="U297" s="49" t="str">
        <f t="shared" si="22"/>
        <v/>
      </c>
      <c r="V297" s="16"/>
      <c r="W297" s="34"/>
      <c r="X297" s="35"/>
    </row>
    <row r="298" spans="11:24">
      <c r="K298" s="89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78"/>
      <c r="P298" s="102"/>
      <c r="Q298" s="103"/>
      <c r="R298" s="103"/>
      <c r="S298" s="90"/>
      <c r="U298" s="49" t="str">
        <f t="shared" si="22"/>
        <v/>
      </c>
      <c r="V298" s="16"/>
      <c r="W298" s="34"/>
      <c r="X298" s="35"/>
    </row>
    <row r="299" spans="11:24">
      <c r="K299" s="89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78"/>
      <c r="P299" s="102"/>
      <c r="Q299" s="103"/>
      <c r="R299" s="103"/>
      <c r="S299" s="90"/>
      <c r="U299" s="49" t="str">
        <f t="shared" si="22"/>
        <v/>
      </c>
      <c r="V299" s="16"/>
      <c r="W299" s="34"/>
      <c r="X299" s="35"/>
    </row>
    <row r="300" spans="11:24">
      <c r="K300" s="89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78"/>
      <c r="P300" s="102"/>
      <c r="Q300" s="103"/>
      <c r="R300" s="103"/>
      <c r="S300" s="90"/>
      <c r="U300" s="49" t="str">
        <f t="shared" si="22"/>
        <v/>
      </c>
      <c r="V300" s="16"/>
      <c r="W300" s="34"/>
      <c r="X300" s="35"/>
    </row>
    <row r="301" spans="11:24">
      <c r="K301" s="89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78"/>
      <c r="P301" s="102"/>
      <c r="Q301" s="103"/>
      <c r="R301" s="103"/>
      <c r="S301" s="90"/>
      <c r="U301" s="49" t="str">
        <f t="shared" si="22"/>
        <v/>
      </c>
      <c r="V301" s="16"/>
      <c r="W301" s="34"/>
      <c r="X301" s="35"/>
    </row>
    <row r="302" spans="11:24">
      <c r="K302" s="89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78"/>
      <c r="P302" s="102"/>
      <c r="Q302" s="103"/>
      <c r="R302" s="103"/>
      <c r="S302" s="90"/>
      <c r="U302" s="49" t="str">
        <f t="shared" si="22"/>
        <v/>
      </c>
      <c r="V302" s="16"/>
      <c r="W302" s="34"/>
      <c r="X302" s="35"/>
    </row>
    <row r="303" spans="11:24">
      <c r="K303" s="89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78"/>
      <c r="P303" s="102"/>
      <c r="Q303" s="103"/>
      <c r="R303" s="103"/>
      <c r="S303" s="90"/>
      <c r="U303" s="49" t="str">
        <f t="shared" si="22"/>
        <v/>
      </c>
      <c r="V303" s="16"/>
      <c r="W303" s="34"/>
      <c r="X303" s="35"/>
    </row>
    <row r="304" spans="11:24">
      <c r="K304" s="89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78"/>
      <c r="P304" s="102"/>
      <c r="Q304" s="103"/>
      <c r="R304" s="103"/>
      <c r="S304" s="90"/>
      <c r="U304" s="49" t="str">
        <f t="shared" si="22"/>
        <v/>
      </c>
      <c r="V304" s="16"/>
      <c r="W304" s="34"/>
      <c r="X304" s="35"/>
    </row>
    <row r="305" spans="11:24">
      <c r="K305" s="89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78"/>
      <c r="P305" s="102"/>
      <c r="Q305" s="103"/>
      <c r="R305" s="103"/>
      <c r="S305" s="90"/>
      <c r="U305" s="49" t="str">
        <f t="shared" si="22"/>
        <v/>
      </c>
      <c r="V305" s="16"/>
      <c r="W305" s="34"/>
      <c r="X305" s="35"/>
    </row>
    <row r="306" spans="11:24">
      <c r="K306" s="89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78"/>
      <c r="P306" s="102"/>
      <c r="Q306" s="103"/>
      <c r="R306" s="103"/>
      <c r="S306" s="90"/>
      <c r="U306" s="49" t="str">
        <f t="shared" si="22"/>
        <v/>
      </c>
      <c r="V306" s="16"/>
      <c r="W306" s="34"/>
      <c r="X306" s="35"/>
    </row>
    <row r="307" spans="11:24">
      <c r="K307" s="89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78"/>
      <c r="P307" s="102"/>
      <c r="Q307" s="103"/>
      <c r="R307" s="103"/>
      <c r="S307" s="90"/>
      <c r="U307" s="49" t="str">
        <f t="shared" si="22"/>
        <v/>
      </c>
      <c r="V307" s="16"/>
      <c r="W307" s="34"/>
      <c r="X307" s="35"/>
    </row>
    <row r="308" spans="11:24">
      <c r="K308" s="89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78"/>
      <c r="P308" s="102"/>
      <c r="Q308" s="103"/>
      <c r="R308" s="103"/>
      <c r="S308" s="90"/>
      <c r="U308" s="49" t="str">
        <f t="shared" si="22"/>
        <v/>
      </c>
      <c r="V308" s="16"/>
      <c r="W308" s="34"/>
      <c r="X308" s="35"/>
    </row>
    <row r="309" spans="11:24">
      <c r="K309" s="89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78"/>
      <c r="P309" s="102"/>
      <c r="Q309" s="103"/>
      <c r="R309" s="103"/>
      <c r="S309" s="90"/>
      <c r="U309" s="49" t="str">
        <f t="shared" si="22"/>
        <v/>
      </c>
      <c r="V309" s="16"/>
      <c r="W309" s="34"/>
      <c r="X309" s="35"/>
    </row>
    <row r="310" spans="11:24">
      <c r="K310" s="89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78"/>
      <c r="P310" s="102"/>
      <c r="Q310" s="103"/>
      <c r="R310" s="103"/>
      <c r="S310" s="90"/>
      <c r="U310" s="49" t="str">
        <f t="shared" si="22"/>
        <v/>
      </c>
      <c r="V310" s="16"/>
      <c r="W310" s="34"/>
      <c r="X310" s="35"/>
    </row>
    <row r="311" spans="11:24">
      <c r="K311" s="89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78"/>
      <c r="P311" s="102"/>
      <c r="Q311" s="103"/>
      <c r="R311" s="103"/>
      <c r="S311" s="90"/>
      <c r="U311" s="49" t="str">
        <f t="shared" si="22"/>
        <v/>
      </c>
      <c r="V311" s="16"/>
      <c r="W311" s="34"/>
      <c r="X311" s="35"/>
    </row>
    <row r="312" spans="11:24">
      <c r="K312" s="89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78"/>
      <c r="P312" s="102"/>
      <c r="Q312" s="103"/>
      <c r="R312" s="103"/>
      <c r="S312" s="90"/>
      <c r="U312" s="49" t="str">
        <f t="shared" si="22"/>
        <v/>
      </c>
      <c r="V312" s="16"/>
      <c r="W312" s="34"/>
      <c r="X312" s="35"/>
    </row>
    <row r="313" spans="11:24">
      <c r="K313" s="89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78"/>
      <c r="P313" s="102"/>
      <c r="Q313" s="103"/>
      <c r="R313" s="103"/>
      <c r="S313" s="90"/>
      <c r="U313" s="49" t="str">
        <f t="shared" si="22"/>
        <v/>
      </c>
      <c r="V313" s="16"/>
      <c r="W313" s="34"/>
      <c r="X313" s="35"/>
    </row>
    <row r="314" spans="11:24">
      <c r="K314" s="89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78"/>
      <c r="P314" s="102"/>
      <c r="Q314" s="103"/>
      <c r="R314" s="103"/>
      <c r="S314" s="90"/>
      <c r="U314" s="49" t="str">
        <f t="shared" si="22"/>
        <v/>
      </c>
      <c r="V314" s="16"/>
      <c r="W314" s="34"/>
      <c r="X314" s="35"/>
    </row>
    <row r="315" spans="11:24">
      <c r="K315" s="89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78"/>
      <c r="P315" s="102"/>
      <c r="Q315" s="103"/>
      <c r="R315" s="103"/>
      <c r="S315" s="90"/>
      <c r="U315" s="49" t="str">
        <f t="shared" si="22"/>
        <v/>
      </c>
      <c r="V315" s="16"/>
      <c r="W315" s="34"/>
      <c r="X315" s="35"/>
    </row>
    <row r="316" spans="11:24">
      <c r="K316" s="89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78"/>
      <c r="P316" s="102"/>
      <c r="Q316" s="103"/>
      <c r="R316" s="103"/>
      <c r="S316" s="90"/>
      <c r="U316" s="49" t="str">
        <f t="shared" si="22"/>
        <v/>
      </c>
      <c r="V316" s="16"/>
      <c r="W316" s="34"/>
      <c r="X316" s="35"/>
    </row>
    <row r="317" spans="11:24">
      <c r="K317" s="89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78"/>
      <c r="P317" s="102"/>
      <c r="Q317" s="103"/>
      <c r="R317" s="103"/>
      <c r="S317" s="90"/>
      <c r="U317" s="49" t="str">
        <f t="shared" si="22"/>
        <v/>
      </c>
      <c r="V317" s="16"/>
      <c r="W317" s="34"/>
      <c r="X317" s="35"/>
    </row>
    <row r="318" spans="11:24">
      <c r="K318" s="89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78"/>
      <c r="P318" s="102"/>
      <c r="Q318" s="103"/>
      <c r="R318" s="103"/>
      <c r="S318" s="90"/>
      <c r="U318" s="49" t="str">
        <f t="shared" si="22"/>
        <v/>
      </c>
      <c r="V318" s="16"/>
      <c r="W318" s="34"/>
      <c r="X318" s="35"/>
    </row>
    <row r="319" spans="11:24">
      <c r="K319" s="89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78"/>
      <c r="P319" s="102"/>
      <c r="Q319" s="103"/>
      <c r="R319" s="103"/>
      <c r="S319" s="90"/>
      <c r="U319" s="49" t="str">
        <f t="shared" si="22"/>
        <v/>
      </c>
      <c r="V319" s="16"/>
      <c r="W319" s="34"/>
      <c r="X319" s="35"/>
    </row>
    <row r="320" spans="11:24">
      <c r="K320" s="89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78"/>
      <c r="P320" s="102"/>
      <c r="Q320" s="103"/>
      <c r="R320" s="103"/>
      <c r="S320" s="90"/>
      <c r="U320" s="49" t="str">
        <f t="shared" si="22"/>
        <v/>
      </c>
      <c r="V320" s="16"/>
      <c r="W320" s="34"/>
      <c r="X320" s="35"/>
    </row>
    <row r="321" spans="11:24">
      <c r="K321" s="89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78"/>
      <c r="P321" s="102"/>
      <c r="Q321" s="103"/>
      <c r="R321" s="103"/>
      <c r="S321" s="90"/>
      <c r="U321" s="49" t="str">
        <f t="shared" si="22"/>
        <v/>
      </c>
      <c r="V321" s="16"/>
      <c r="W321" s="34"/>
      <c r="X321" s="35"/>
    </row>
    <row r="322" spans="11:24">
      <c r="K322" s="89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78"/>
      <c r="P322" s="102"/>
      <c r="Q322" s="103"/>
      <c r="R322" s="103"/>
      <c r="S322" s="90"/>
      <c r="U322" s="49" t="str">
        <f t="shared" si="22"/>
        <v/>
      </c>
      <c r="V322" s="16"/>
      <c r="W322" s="34"/>
      <c r="X322" s="35"/>
    </row>
    <row r="323" spans="11:24">
      <c r="K323" s="89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78"/>
      <c r="P323" s="102"/>
      <c r="Q323" s="103"/>
      <c r="R323" s="103"/>
      <c r="S323" s="90"/>
      <c r="U323" s="49" t="str">
        <f t="shared" si="22"/>
        <v/>
      </c>
      <c r="V323" s="16"/>
      <c r="W323" s="34"/>
      <c r="X323" s="35"/>
    </row>
    <row r="324" spans="11:24">
      <c r="K324" s="89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78"/>
      <c r="P324" s="102"/>
      <c r="Q324" s="103"/>
      <c r="R324" s="103"/>
      <c r="S324" s="90"/>
      <c r="U324" s="49" t="str">
        <f t="shared" si="22"/>
        <v/>
      </c>
      <c r="V324" s="16"/>
      <c r="W324" s="34"/>
      <c r="X324" s="35"/>
    </row>
    <row r="325" spans="11:24">
      <c r="K325" s="89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78"/>
      <c r="P325" s="102"/>
      <c r="Q325" s="103"/>
      <c r="R325" s="103"/>
      <c r="S325" s="90"/>
      <c r="U325" s="49" t="str">
        <f t="shared" si="22"/>
        <v/>
      </c>
      <c r="V325" s="16"/>
      <c r="W325" s="34"/>
      <c r="X325" s="35"/>
    </row>
    <row r="326" spans="11:24">
      <c r="K326" s="89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78"/>
      <c r="P326" s="102"/>
      <c r="Q326" s="103"/>
      <c r="R326" s="103"/>
      <c r="S326" s="90"/>
      <c r="U326" s="49" t="str">
        <f t="shared" si="22"/>
        <v/>
      </c>
      <c r="V326" s="16"/>
      <c r="W326" s="34"/>
      <c r="X326" s="35"/>
    </row>
    <row r="327" spans="11:24">
      <c r="K327" s="89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78"/>
      <c r="P327" s="102"/>
      <c r="Q327" s="103"/>
      <c r="R327" s="103"/>
      <c r="S327" s="90"/>
      <c r="U327" s="49" t="str">
        <f t="shared" si="22"/>
        <v/>
      </c>
      <c r="V327" s="16"/>
      <c r="W327" s="34"/>
      <c r="X327" s="35"/>
    </row>
    <row r="328" spans="11:24">
      <c r="K328" s="89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78"/>
      <c r="P328" s="102"/>
      <c r="Q328" s="103"/>
      <c r="R328" s="103"/>
      <c r="S328" s="90"/>
      <c r="U328" s="49" t="str">
        <f t="shared" si="22"/>
        <v/>
      </c>
      <c r="V328" s="16"/>
      <c r="W328" s="34"/>
      <c r="X328" s="35"/>
    </row>
    <row r="329" spans="11:24">
      <c r="K329" s="89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78"/>
      <c r="P330" s="102"/>
      <c r="Q330" s="103"/>
      <c r="R330" s="103"/>
      <c r="S330" s="90"/>
      <c r="U330" s="49" t="str">
        <f t="shared" si="26"/>
        <v/>
      </c>
      <c r="V330" s="16"/>
      <c r="W330" s="34"/>
      <c r="X330" s="35"/>
    </row>
    <row r="331" spans="11:24">
      <c r="K331" s="89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78"/>
      <c r="P331" s="102"/>
      <c r="Q331" s="103"/>
      <c r="R331" s="103"/>
      <c r="S331" s="90"/>
      <c r="U331" s="49" t="str">
        <f t="shared" si="26"/>
        <v/>
      </c>
      <c r="V331" s="16"/>
      <c r="W331" s="34"/>
      <c r="X331" s="35"/>
    </row>
    <row r="332" spans="11:24">
      <c r="K332" s="89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78"/>
      <c r="P332" s="102"/>
      <c r="Q332" s="103"/>
      <c r="R332" s="103"/>
      <c r="S332" s="90"/>
      <c r="U332" s="49" t="str">
        <f t="shared" si="26"/>
        <v/>
      </c>
      <c r="V332" s="16"/>
      <c r="W332" s="34"/>
      <c r="X332" s="35"/>
    </row>
    <row r="333" spans="11:24">
      <c r="K333" s="89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78"/>
      <c r="P333" s="102"/>
      <c r="Q333" s="103"/>
      <c r="R333" s="103"/>
      <c r="S333" s="90"/>
      <c r="U333" s="49" t="str">
        <f t="shared" si="26"/>
        <v/>
      </c>
      <c r="V333" s="16"/>
      <c r="W333" s="34"/>
      <c r="X333" s="35"/>
    </row>
    <row r="334" spans="11:24">
      <c r="K334" s="89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78"/>
      <c r="P334" s="102"/>
      <c r="Q334" s="103"/>
      <c r="R334" s="103"/>
      <c r="S334" s="90"/>
      <c r="U334" s="49" t="str">
        <f t="shared" si="26"/>
        <v/>
      </c>
      <c r="V334" s="16"/>
      <c r="W334" s="34"/>
      <c r="X334" s="35"/>
    </row>
    <row r="335" spans="11:24">
      <c r="K335" s="89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78"/>
      <c r="P335" s="102"/>
      <c r="Q335" s="103"/>
      <c r="R335" s="103"/>
      <c r="S335" s="90"/>
      <c r="U335" s="49" t="str">
        <f t="shared" si="26"/>
        <v/>
      </c>
      <c r="V335" s="16"/>
      <c r="W335" s="34"/>
      <c r="X335" s="35"/>
    </row>
    <row r="336" spans="11:24">
      <c r="K336" s="89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78"/>
      <c r="P336" s="102"/>
      <c r="Q336" s="103"/>
      <c r="R336" s="103"/>
      <c r="S336" s="90"/>
      <c r="U336" s="49" t="str">
        <f t="shared" si="26"/>
        <v/>
      </c>
      <c r="V336" s="16"/>
      <c r="W336" s="34"/>
      <c r="X336" s="35"/>
    </row>
    <row r="337" spans="11:24">
      <c r="K337" s="89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78"/>
      <c r="P337" s="102"/>
      <c r="Q337" s="103"/>
      <c r="R337" s="103"/>
      <c r="S337" s="90"/>
      <c r="U337" s="49" t="str">
        <f t="shared" si="26"/>
        <v/>
      </c>
      <c r="V337" s="16"/>
      <c r="W337" s="34"/>
      <c r="X337" s="35"/>
    </row>
    <row r="338" spans="11:24">
      <c r="K338" s="89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78"/>
      <c r="P338" s="102"/>
      <c r="Q338" s="103"/>
      <c r="R338" s="103"/>
      <c r="S338" s="90"/>
      <c r="U338" s="49" t="str">
        <f t="shared" si="26"/>
        <v/>
      </c>
      <c r="V338" s="16"/>
      <c r="W338" s="34"/>
      <c r="X338" s="35"/>
    </row>
    <row r="339" spans="11:24">
      <c r="K339" s="89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78"/>
      <c r="P339" s="102"/>
      <c r="Q339" s="103"/>
      <c r="R339" s="103"/>
      <c r="S339" s="90"/>
      <c r="U339" s="49" t="str">
        <f t="shared" si="26"/>
        <v/>
      </c>
      <c r="V339" s="16"/>
      <c r="W339" s="34"/>
      <c r="X339" s="35"/>
    </row>
    <row r="340" spans="11:24">
      <c r="K340" s="89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78"/>
      <c r="P340" s="102"/>
      <c r="Q340" s="103"/>
      <c r="R340" s="103"/>
      <c r="S340" s="90"/>
      <c r="U340" s="49" t="str">
        <f t="shared" si="26"/>
        <v/>
      </c>
      <c r="V340" s="16"/>
      <c r="W340" s="34"/>
      <c r="X340" s="35"/>
    </row>
    <row r="341" spans="11:24">
      <c r="K341" s="89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78"/>
      <c r="P341" s="102"/>
      <c r="Q341" s="103"/>
      <c r="R341" s="103"/>
      <c r="S341" s="90"/>
      <c r="U341" s="49" t="str">
        <f t="shared" si="26"/>
        <v/>
      </c>
      <c r="V341" s="16"/>
      <c r="W341" s="34"/>
      <c r="X341" s="35"/>
    </row>
    <row r="342" spans="11:24">
      <c r="K342" s="89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78"/>
      <c r="P342" s="102"/>
      <c r="Q342" s="103"/>
      <c r="R342" s="103"/>
      <c r="S342" s="90"/>
      <c r="U342" s="49" t="str">
        <f t="shared" si="26"/>
        <v/>
      </c>
      <c r="V342" s="16"/>
      <c r="W342" s="34"/>
      <c r="X342" s="35"/>
    </row>
    <row r="343" spans="11:24">
      <c r="K343" s="89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78"/>
      <c r="P343" s="102"/>
      <c r="Q343" s="103"/>
      <c r="R343" s="103"/>
      <c r="S343" s="90"/>
      <c r="U343" s="49" t="str">
        <f t="shared" si="26"/>
        <v/>
      </c>
      <c r="V343" s="16"/>
      <c r="W343" s="34"/>
      <c r="X343" s="35"/>
    </row>
    <row r="344" spans="11:24">
      <c r="K344" s="89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78"/>
      <c r="P344" s="102"/>
      <c r="Q344" s="103"/>
      <c r="R344" s="103"/>
      <c r="S344" s="90"/>
      <c r="U344" s="49" t="str">
        <f t="shared" si="26"/>
        <v/>
      </c>
      <c r="V344" s="16"/>
      <c r="W344" s="34"/>
      <c r="X344" s="35"/>
    </row>
    <row r="345" spans="11:24">
      <c r="K345" s="89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78"/>
      <c r="P345" s="102"/>
      <c r="Q345" s="103"/>
      <c r="R345" s="103"/>
      <c r="S345" s="90"/>
      <c r="U345" s="49" t="str">
        <f t="shared" si="26"/>
        <v/>
      </c>
      <c r="V345" s="16"/>
      <c r="W345" s="34"/>
      <c r="X345" s="35"/>
    </row>
    <row r="346" spans="11:24">
      <c r="K346" s="89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78"/>
      <c r="P346" s="102"/>
      <c r="Q346" s="103"/>
      <c r="R346" s="103"/>
      <c r="S346" s="90"/>
      <c r="U346" s="49" t="str">
        <f t="shared" si="26"/>
        <v/>
      </c>
      <c r="V346" s="16"/>
      <c r="W346" s="34"/>
      <c r="X346" s="35"/>
    </row>
    <row r="347" spans="11:24">
      <c r="K347" s="89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78"/>
      <c r="P347" s="102"/>
      <c r="Q347" s="103"/>
      <c r="R347" s="103"/>
      <c r="S347" s="90"/>
      <c r="U347" s="49" t="str">
        <f t="shared" si="26"/>
        <v/>
      </c>
      <c r="V347" s="16"/>
      <c r="W347" s="34"/>
      <c r="X347" s="35"/>
    </row>
    <row r="348" spans="11:24">
      <c r="K348" s="89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78"/>
      <c r="P348" s="102"/>
      <c r="Q348" s="103"/>
      <c r="R348" s="103"/>
      <c r="S348" s="90"/>
      <c r="U348" s="49" t="str">
        <f t="shared" si="26"/>
        <v/>
      </c>
      <c r="V348" s="16"/>
      <c r="W348" s="34"/>
      <c r="X348" s="35"/>
    </row>
    <row r="349" spans="11:24">
      <c r="K349" s="89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78"/>
      <c r="P349" s="102"/>
      <c r="Q349" s="103"/>
      <c r="R349" s="103"/>
      <c r="S349" s="90"/>
      <c r="U349" s="49" t="str">
        <f t="shared" si="26"/>
        <v/>
      </c>
      <c r="V349" s="16"/>
      <c r="W349" s="34"/>
      <c r="X349" s="35"/>
    </row>
    <row r="350" spans="11:24">
      <c r="K350" s="89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78"/>
      <c r="P350" s="102"/>
      <c r="Q350" s="103"/>
      <c r="R350" s="103"/>
      <c r="S350" s="90"/>
      <c r="U350" s="49" t="str">
        <f t="shared" si="26"/>
        <v/>
      </c>
      <c r="V350" s="16"/>
      <c r="W350" s="34"/>
      <c r="X350" s="35"/>
    </row>
    <row r="351" spans="11:24">
      <c r="K351" s="89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78"/>
      <c r="P351" s="102"/>
      <c r="Q351" s="103"/>
      <c r="R351" s="103"/>
      <c r="S351" s="90"/>
      <c r="U351" s="49" t="str">
        <f t="shared" si="26"/>
        <v/>
      </c>
      <c r="V351" s="16"/>
      <c r="W351" s="34"/>
      <c r="X351" s="35"/>
    </row>
    <row r="352" spans="11:24">
      <c r="K352" s="89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78"/>
      <c r="P352" s="102"/>
      <c r="Q352" s="103"/>
      <c r="R352" s="103"/>
      <c r="S352" s="90"/>
      <c r="U352" s="49" t="str">
        <f t="shared" si="26"/>
        <v/>
      </c>
      <c r="V352" s="16"/>
      <c r="W352" s="34"/>
      <c r="X352" s="35"/>
    </row>
    <row r="353" spans="11:24">
      <c r="K353" s="89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78"/>
      <c r="P353" s="102"/>
      <c r="Q353" s="103"/>
      <c r="R353" s="103"/>
      <c r="S353" s="90"/>
      <c r="U353" s="49" t="str">
        <f t="shared" si="26"/>
        <v/>
      </c>
      <c r="V353" s="16"/>
      <c r="W353" s="34"/>
      <c r="X353" s="35"/>
    </row>
    <row r="354" spans="11:24">
      <c r="K354" s="89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78"/>
      <c r="P354" s="102"/>
      <c r="Q354" s="103"/>
      <c r="R354" s="103"/>
      <c r="S354" s="90"/>
      <c r="U354" s="49" t="str">
        <f t="shared" si="26"/>
        <v/>
      </c>
      <c r="V354" s="16"/>
      <c r="W354" s="34"/>
      <c r="X354" s="35"/>
    </row>
    <row r="355" spans="11:24">
      <c r="K355" s="89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78"/>
      <c r="P355" s="102"/>
      <c r="Q355" s="103"/>
      <c r="R355" s="103"/>
      <c r="S355" s="90"/>
      <c r="U355" s="49" t="str">
        <f t="shared" si="26"/>
        <v/>
      </c>
      <c r="V355" s="16"/>
      <c r="W355" s="34"/>
      <c r="X355" s="35"/>
    </row>
    <row r="356" spans="11:24">
      <c r="K356" s="89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78"/>
      <c r="P356" s="102"/>
      <c r="Q356" s="103"/>
      <c r="R356" s="103"/>
      <c r="S356" s="90"/>
      <c r="U356" s="49" t="str">
        <f t="shared" si="26"/>
        <v/>
      </c>
      <c r="V356" s="16"/>
      <c r="W356" s="34"/>
      <c r="X356" s="35"/>
    </row>
    <row r="357" spans="11:24">
      <c r="K357" s="89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78"/>
      <c r="P357" s="102"/>
      <c r="Q357" s="103"/>
      <c r="R357" s="103"/>
      <c r="S357" s="90"/>
      <c r="U357" s="49" t="str">
        <f t="shared" si="26"/>
        <v/>
      </c>
      <c r="V357" s="16"/>
      <c r="W357" s="34"/>
      <c r="X357" s="35"/>
    </row>
    <row r="358" spans="11:24">
      <c r="K358" s="89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78"/>
      <c r="P358" s="102"/>
      <c r="Q358" s="103"/>
      <c r="R358" s="103"/>
      <c r="S358" s="90"/>
      <c r="U358" s="49" t="str">
        <f t="shared" si="26"/>
        <v/>
      </c>
      <c r="V358" s="16"/>
      <c r="W358" s="34"/>
      <c r="X358" s="35"/>
    </row>
    <row r="359" spans="11:24">
      <c r="K359" s="89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78"/>
      <c r="P359" s="102"/>
      <c r="Q359" s="103"/>
      <c r="R359" s="103"/>
      <c r="S359" s="90"/>
      <c r="U359" s="49" t="str">
        <f t="shared" si="26"/>
        <v/>
      </c>
      <c r="V359" s="16"/>
      <c r="W359" s="34"/>
      <c r="X359" s="35"/>
    </row>
    <row r="360" spans="11:24">
      <c r="K360" s="89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78"/>
      <c r="P360" s="102"/>
      <c r="Q360" s="103"/>
      <c r="R360" s="103"/>
      <c r="S360" s="90"/>
      <c r="U360" s="49" t="str">
        <f t="shared" si="26"/>
        <v/>
      </c>
      <c r="V360" s="16"/>
      <c r="W360" s="34"/>
      <c r="X360" s="35"/>
    </row>
    <row r="361" spans="11:24">
      <c r="K361" s="89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78"/>
      <c r="P361" s="102"/>
      <c r="Q361" s="103"/>
      <c r="R361" s="103"/>
      <c r="S361" s="90"/>
      <c r="U361" s="49" t="str">
        <f t="shared" si="26"/>
        <v/>
      </c>
      <c r="V361" s="16"/>
      <c r="W361" s="34"/>
      <c r="X361" s="35"/>
    </row>
    <row r="362" spans="11:24">
      <c r="K362" s="89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78"/>
      <c r="P362" s="102"/>
      <c r="Q362" s="103"/>
      <c r="R362" s="103"/>
      <c r="S362" s="90"/>
      <c r="U362" s="49" t="str">
        <f t="shared" si="26"/>
        <v/>
      </c>
      <c r="V362" s="16"/>
      <c r="W362" s="34"/>
      <c r="X362" s="35"/>
    </row>
    <row r="363" spans="11:24">
      <c r="K363" s="89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78"/>
      <c r="P363" s="102"/>
      <c r="Q363" s="103"/>
      <c r="R363" s="103"/>
      <c r="S363" s="90"/>
      <c r="U363" s="49" t="str">
        <f t="shared" si="26"/>
        <v/>
      </c>
      <c r="V363" s="16"/>
      <c r="W363" s="34"/>
      <c r="X363" s="35"/>
    </row>
    <row r="364" spans="11:24">
      <c r="K364" s="89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78"/>
      <c r="P364" s="102"/>
      <c r="Q364" s="103"/>
      <c r="R364" s="103"/>
      <c r="S364" s="90"/>
      <c r="U364" s="49" t="str">
        <f t="shared" si="26"/>
        <v/>
      </c>
      <c r="V364" s="16"/>
      <c r="W364" s="34"/>
      <c r="X364" s="35"/>
    </row>
    <row r="365" spans="11:24">
      <c r="K365" s="89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78"/>
      <c r="P365" s="102"/>
      <c r="Q365" s="103"/>
      <c r="R365" s="103"/>
      <c r="S365" s="90"/>
      <c r="U365" s="49" t="str">
        <f t="shared" si="26"/>
        <v/>
      </c>
      <c r="V365" s="16"/>
      <c r="W365" s="34"/>
      <c r="X365" s="35"/>
    </row>
    <row r="366" spans="11:24">
      <c r="K366" s="89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78"/>
      <c r="P366" s="102"/>
      <c r="Q366" s="103"/>
      <c r="R366" s="103"/>
      <c r="S366" s="90"/>
      <c r="U366" s="49" t="str">
        <f t="shared" si="26"/>
        <v/>
      </c>
      <c r="V366" s="16"/>
      <c r="W366" s="34"/>
      <c r="X366" s="35"/>
    </row>
    <row r="367" spans="11:24">
      <c r="K367" s="89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78"/>
      <c r="P367" s="102"/>
      <c r="Q367" s="103"/>
      <c r="R367" s="103"/>
      <c r="S367" s="90"/>
      <c r="U367" s="49" t="str">
        <f t="shared" si="26"/>
        <v/>
      </c>
      <c r="V367" s="16"/>
      <c r="W367" s="34"/>
      <c r="X367" s="35"/>
    </row>
    <row r="368" spans="11:24">
      <c r="K368" s="89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78"/>
      <c r="P368" s="102"/>
      <c r="Q368" s="103"/>
      <c r="R368" s="103"/>
      <c r="S368" s="90"/>
      <c r="U368" s="49" t="str">
        <f t="shared" si="26"/>
        <v/>
      </c>
      <c r="V368" s="16"/>
      <c r="W368" s="34"/>
      <c r="X368" s="35"/>
    </row>
    <row r="369" spans="11:24">
      <c r="K369" s="89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78"/>
      <c r="P369" s="102"/>
      <c r="Q369" s="103"/>
      <c r="R369" s="103"/>
      <c r="S369" s="90"/>
      <c r="U369" s="49" t="str">
        <f t="shared" si="26"/>
        <v/>
      </c>
      <c r="V369" s="16"/>
      <c r="W369" s="34"/>
      <c r="X369" s="35"/>
    </row>
    <row r="370" spans="11:24">
      <c r="K370" s="89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78"/>
      <c r="P370" s="102"/>
      <c r="Q370" s="103"/>
      <c r="R370" s="103"/>
      <c r="S370" s="90"/>
      <c r="U370" s="49" t="str">
        <f t="shared" si="26"/>
        <v/>
      </c>
      <c r="V370" s="16"/>
      <c r="W370" s="34"/>
      <c r="X370" s="35"/>
    </row>
    <row r="371" spans="11:24">
      <c r="K371" s="89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78"/>
      <c r="P371" s="102"/>
      <c r="Q371" s="103"/>
      <c r="R371" s="103"/>
      <c r="S371" s="90"/>
      <c r="U371" s="49" t="str">
        <f t="shared" si="26"/>
        <v/>
      </c>
      <c r="V371" s="16"/>
      <c r="W371" s="34"/>
      <c r="X371" s="35"/>
    </row>
    <row r="372" spans="11:24">
      <c r="K372" s="89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78"/>
      <c r="P372" s="102"/>
      <c r="Q372" s="103"/>
      <c r="R372" s="103"/>
      <c r="S372" s="90"/>
      <c r="U372" s="49" t="str">
        <f t="shared" si="26"/>
        <v/>
      </c>
      <c r="V372" s="16"/>
      <c r="W372" s="34"/>
      <c r="X372" s="35"/>
    </row>
    <row r="373" spans="11:24">
      <c r="K373" s="89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78"/>
      <c r="P373" s="102"/>
      <c r="Q373" s="103"/>
      <c r="R373" s="103"/>
      <c r="S373" s="90"/>
      <c r="U373" s="49" t="str">
        <f t="shared" si="26"/>
        <v/>
      </c>
      <c r="V373" s="16"/>
      <c r="W373" s="34"/>
      <c r="X373" s="35"/>
    </row>
    <row r="374" spans="11:24">
      <c r="K374" s="89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78"/>
      <c r="P374" s="102"/>
      <c r="Q374" s="103"/>
      <c r="R374" s="103"/>
      <c r="S374" s="90"/>
      <c r="U374" s="49" t="str">
        <f t="shared" si="26"/>
        <v/>
      </c>
      <c r="V374" s="16"/>
      <c r="W374" s="34"/>
      <c r="X374" s="35"/>
    </row>
    <row r="375" spans="11:24">
      <c r="K375" s="89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78"/>
      <c r="P375" s="102"/>
      <c r="Q375" s="103"/>
      <c r="R375" s="103"/>
      <c r="S375" s="90"/>
      <c r="U375" s="49" t="str">
        <f t="shared" si="26"/>
        <v/>
      </c>
      <c r="V375" s="16"/>
      <c r="W375" s="34"/>
      <c r="X375" s="35"/>
    </row>
    <row r="376" spans="11:24">
      <c r="K376" s="89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78"/>
      <c r="P376" s="102"/>
      <c r="Q376" s="103"/>
      <c r="R376" s="103"/>
      <c r="S376" s="90"/>
      <c r="U376" s="49" t="str">
        <f t="shared" si="26"/>
        <v/>
      </c>
      <c r="V376" s="16"/>
      <c r="W376" s="34"/>
      <c r="X376" s="35"/>
    </row>
    <row r="377" spans="11:24">
      <c r="K377" s="89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78"/>
      <c r="P377" s="102"/>
      <c r="Q377" s="103"/>
      <c r="R377" s="103"/>
      <c r="S377" s="90"/>
      <c r="U377" s="49" t="str">
        <f t="shared" si="26"/>
        <v/>
      </c>
      <c r="V377" s="16"/>
      <c r="W377" s="34"/>
      <c r="X377" s="35"/>
    </row>
    <row r="378" spans="11:24">
      <c r="K378" s="89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78"/>
      <c r="P378" s="102"/>
      <c r="Q378" s="103"/>
      <c r="R378" s="103"/>
      <c r="S378" s="90"/>
      <c r="U378" s="49" t="str">
        <f t="shared" si="26"/>
        <v/>
      </c>
      <c r="V378" s="16"/>
      <c r="W378" s="34"/>
      <c r="X378" s="35"/>
    </row>
    <row r="379" spans="11:24">
      <c r="K379" s="89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78"/>
      <c r="P379" s="102"/>
      <c r="Q379" s="103"/>
      <c r="R379" s="103"/>
      <c r="S379" s="90"/>
      <c r="U379" s="49" t="str">
        <f t="shared" si="26"/>
        <v/>
      </c>
      <c r="V379" s="16"/>
      <c r="W379" s="34"/>
      <c r="X379" s="35"/>
    </row>
    <row r="380" spans="11:24">
      <c r="K380" s="89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78"/>
      <c r="P380" s="102"/>
      <c r="Q380" s="103"/>
      <c r="R380" s="103"/>
      <c r="S380" s="90"/>
      <c r="U380" s="49" t="str">
        <f t="shared" si="26"/>
        <v/>
      </c>
      <c r="V380" s="16"/>
      <c r="W380" s="34"/>
      <c r="X380" s="35"/>
    </row>
    <row r="381" spans="11:24">
      <c r="K381" s="89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78"/>
      <c r="P381" s="102"/>
      <c r="Q381" s="103"/>
      <c r="R381" s="103"/>
      <c r="S381" s="90"/>
      <c r="U381" s="49" t="str">
        <f t="shared" si="26"/>
        <v/>
      </c>
      <c r="V381" s="16"/>
      <c r="W381" s="34"/>
      <c r="X381" s="35"/>
    </row>
    <row r="382" spans="11:24">
      <c r="K382" s="89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78"/>
      <c r="P382" s="102"/>
      <c r="Q382" s="103"/>
      <c r="R382" s="103"/>
      <c r="S382" s="90"/>
      <c r="U382" s="49" t="str">
        <f t="shared" si="26"/>
        <v/>
      </c>
      <c r="V382" s="16"/>
      <c r="W382" s="34"/>
      <c r="X382" s="35"/>
    </row>
    <row r="383" spans="11:24">
      <c r="K383" s="89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78"/>
      <c r="P383" s="102"/>
      <c r="Q383" s="103"/>
      <c r="R383" s="103"/>
      <c r="S383" s="90"/>
      <c r="U383" s="49" t="str">
        <f t="shared" si="26"/>
        <v/>
      </c>
      <c r="V383" s="16"/>
      <c r="W383" s="34"/>
      <c r="X383" s="35"/>
    </row>
    <row r="384" spans="11:24">
      <c r="K384" s="89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78"/>
      <c r="P384" s="102"/>
      <c r="Q384" s="103"/>
      <c r="R384" s="103"/>
      <c r="S384" s="90"/>
      <c r="U384" s="49" t="str">
        <f t="shared" si="26"/>
        <v/>
      </c>
      <c r="V384" s="16"/>
      <c r="W384" s="34"/>
      <c r="X384" s="35"/>
    </row>
    <row r="385" spans="11:24">
      <c r="K385" s="89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78"/>
      <c r="P385" s="102"/>
      <c r="Q385" s="103"/>
      <c r="R385" s="103"/>
      <c r="S385" s="90"/>
      <c r="U385" s="49" t="str">
        <f t="shared" si="26"/>
        <v/>
      </c>
      <c r="V385" s="16"/>
      <c r="W385" s="34"/>
      <c r="X385" s="35"/>
    </row>
    <row r="386" spans="11:24">
      <c r="K386" s="89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78"/>
      <c r="P386" s="102"/>
      <c r="Q386" s="103"/>
      <c r="R386" s="103"/>
      <c r="S386" s="90"/>
      <c r="U386" s="49" t="str">
        <f t="shared" si="26"/>
        <v/>
      </c>
      <c r="V386" s="16"/>
      <c r="W386" s="34"/>
      <c r="X386" s="35"/>
    </row>
    <row r="387" spans="11:24">
      <c r="K387" s="89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78"/>
      <c r="P387" s="102"/>
      <c r="Q387" s="103"/>
      <c r="R387" s="103"/>
      <c r="S387" s="90"/>
      <c r="U387" s="49" t="str">
        <f t="shared" si="26"/>
        <v/>
      </c>
      <c r="V387" s="16"/>
      <c r="W387" s="34"/>
      <c r="X387" s="35"/>
    </row>
    <row r="388" spans="11:24">
      <c r="K388" s="89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78"/>
      <c r="P388" s="102"/>
      <c r="Q388" s="103"/>
      <c r="R388" s="103"/>
      <c r="S388" s="90"/>
      <c r="U388" s="49" t="str">
        <f t="shared" si="26"/>
        <v/>
      </c>
      <c r="V388" s="16"/>
      <c r="W388" s="34"/>
      <c r="X388" s="35"/>
    </row>
    <row r="389" spans="11:24">
      <c r="K389" s="89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78"/>
      <c r="P389" s="102"/>
      <c r="Q389" s="103"/>
      <c r="R389" s="103"/>
      <c r="S389" s="90"/>
      <c r="U389" s="49" t="str">
        <f t="shared" si="26"/>
        <v/>
      </c>
      <c r="V389" s="16"/>
      <c r="W389" s="34"/>
      <c r="X389" s="35"/>
    </row>
    <row r="390" spans="11:24">
      <c r="K390" s="89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78"/>
      <c r="P390" s="102"/>
      <c r="Q390" s="103"/>
      <c r="R390" s="103"/>
      <c r="S390" s="90"/>
      <c r="U390" s="49" t="str">
        <f t="shared" si="26"/>
        <v/>
      </c>
      <c r="V390" s="16"/>
      <c r="W390" s="34"/>
      <c r="X390" s="35"/>
    </row>
    <row r="391" spans="11:24">
      <c r="K391" s="89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78"/>
      <c r="P391" s="102"/>
      <c r="Q391" s="103"/>
      <c r="R391" s="103"/>
      <c r="S391" s="90"/>
      <c r="U391" s="49" t="str">
        <f t="shared" si="26"/>
        <v/>
      </c>
      <c r="V391" s="16"/>
      <c r="W391" s="34"/>
      <c r="X391" s="35"/>
    </row>
    <row r="392" spans="11:24">
      <c r="K392" s="89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78"/>
      <c r="P392" s="102"/>
      <c r="Q392" s="103"/>
      <c r="R392" s="103"/>
      <c r="S392" s="90"/>
      <c r="U392" s="49" t="str">
        <f t="shared" si="26"/>
        <v/>
      </c>
      <c r="V392" s="16"/>
      <c r="W392" s="34"/>
      <c r="X392" s="35"/>
    </row>
    <row r="393" spans="11:24">
      <c r="K393" s="89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78"/>
      <c r="P394" s="102"/>
      <c r="Q394" s="103"/>
      <c r="R394" s="103"/>
      <c r="S394" s="90"/>
      <c r="U394" s="49" t="str">
        <f t="shared" si="30"/>
        <v/>
      </c>
      <c r="V394" s="16"/>
      <c r="W394" s="34"/>
      <c r="X394" s="35"/>
    </row>
    <row r="395" spans="11:24">
      <c r="K395" s="89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78"/>
      <c r="P395" s="102"/>
      <c r="Q395" s="103"/>
      <c r="R395" s="103"/>
      <c r="S395" s="90"/>
      <c r="U395" s="49" t="str">
        <f t="shared" si="30"/>
        <v/>
      </c>
      <c r="V395" s="16"/>
      <c r="W395" s="34"/>
      <c r="X395" s="35"/>
    </row>
    <row r="396" spans="11:24">
      <c r="K396" s="89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78"/>
      <c r="P396" s="102"/>
      <c r="Q396" s="103"/>
      <c r="R396" s="103"/>
      <c r="S396" s="90"/>
      <c r="U396" s="49" t="str">
        <f t="shared" si="30"/>
        <v/>
      </c>
      <c r="V396" s="16"/>
      <c r="W396" s="34"/>
      <c r="X396" s="35"/>
    </row>
    <row r="397" spans="11:24">
      <c r="K397" s="89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78"/>
      <c r="P397" s="102"/>
      <c r="Q397" s="103"/>
      <c r="R397" s="103"/>
      <c r="S397" s="90"/>
      <c r="U397" s="49" t="str">
        <f t="shared" si="30"/>
        <v/>
      </c>
      <c r="V397" s="16"/>
      <c r="W397" s="34"/>
      <c r="X397" s="35"/>
    </row>
    <row r="398" spans="11:24">
      <c r="K398" s="89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78"/>
      <c r="P398" s="102"/>
      <c r="Q398" s="103"/>
      <c r="R398" s="103"/>
      <c r="S398" s="90"/>
      <c r="U398" s="49" t="str">
        <f t="shared" si="30"/>
        <v/>
      </c>
      <c r="V398" s="16"/>
      <c r="W398" s="34"/>
      <c r="X398" s="35"/>
    </row>
    <row r="399" spans="11:24">
      <c r="K399" s="89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78"/>
      <c r="P399" s="102"/>
      <c r="Q399" s="103"/>
      <c r="R399" s="103"/>
      <c r="S399" s="90"/>
      <c r="U399" s="49" t="str">
        <f t="shared" si="30"/>
        <v/>
      </c>
      <c r="V399" s="16"/>
      <c r="W399" s="34"/>
      <c r="X399" s="35"/>
    </row>
    <row r="400" spans="11:24">
      <c r="K400" s="89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78"/>
      <c r="P400" s="102"/>
      <c r="Q400" s="103"/>
      <c r="R400" s="103"/>
      <c r="S400" s="90"/>
      <c r="U400" s="49" t="str">
        <f t="shared" si="30"/>
        <v/>
      </c>
      <c r="V400" s="16"/>
      <c r="W400" s="34"/>
      <c r="X400" s="35"/>
    </row>
    <row r="401" spans="11:24">
      <c r="K401" s="89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78"/>
      <c r="P401" s="102"/>
      <c r="Q401" s="103"/>
      <c r="R401" s="103"/>
      <c r="S401" s="90"/>
      <c r="U401" s="49" t="str">
        <f t="shared" si="30"/>
        <v/>
      </c>
      <c r="V401" s="16"/>
      <c r="W401" s="34"/>
      <c r="X401" s="35"/>
    </row>
    <row r="402" spans="11:24">
      <c r="K402" s="89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78"/>
      <c r="P402" s="102"/>
      <c r="Q402" s="103"/>
      <c r="R402" s="103"/>
      <c r="S402" s="90"/>
      <c r="U402" s="49" t="str">
        <f t="shared" si="30"/>
        <v/>
      </c>
      <c r="V402" s="16"/>
      <c r="W402" s="34"/>
      <c r="X402" s="35"/>
    </row>
    <row r="403" spans="11:24">
      <c r="K403" s="89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78"/>
      <c r="P403" s="102"/>
      <c r="Q403" s="103"/>
      <c r="R403" s="103"/>
      <c r="S403" s="90"/>
      <c r="U403" s="49" t="str">
        <f t="shared" si="30"/>
        <v/>
      </c>
      <c r="V403" s="16"/>
      <c r="W403" s="34"/>
      <c r="X403" s="35"/>
    </row>
    <row r="404" spans="11:24">
      <c r="K404" s="89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78"/>
      <c r="P404" s="102"/>
      <c r="Q404" s="103"/>
      <c r="R404" s="103"/>
      <c r="S404" s="90"/>
      <c r="U404" s="49" t="str">
        <f t="shared" si="30"/>
        <v/>
      </c>
      <c r="V404" s="16"/>
      <c r="W404" s="34"/>
      <c r="X404" s="35"/>
    </row>
    <row r="405" spans="11:24">
      <c r="K405" s="89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78"/>
      <c r="P405" s="102"/>
      <c r="Q405" s="103"/>
      <c r="R405" s="103"/>
      <c r="S405" s="90"/>
      <c r="U405" s="49" t="str">
        <f t="shared" si="30"/>
        <v/>
      </c>
      <c r="V405" s="16"/>
      <c r="W405" s="34"/>
      <c r="X405" s="35"/>
    </row>
    <row r="406" spans="11:24">
      <c r="K406" s="89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78"/>
      <c r="P406" s="102"/>
      <c r="Q406" s="103"/>
      <c r="R406" s="103"/>
      <c r="S406" s="90"/>
      <c r="U406" s="49" t="str">
        <f t="shared" si="30"/>
        <v/>
      </c>
      <c r="V406" s="16"/>
      <c r="W406" s="34"/>
      <c r="X406" s="35"/>
    </row>
    <row r="407" spans="11:24">
      <c r="K407" s="89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78"/>
      <c r="P407" s="102"/>
      <c r="Q407" s="103"/>
      <c r="R407" s="103"/>
      <c r="S407" s="90"/>
      <c r="U407" s="49" t="str">
        <f t="shared" si="30"/>
        <v/>
      </c>
      <c r="V407" s="16"/>
      <c r="W407" s="34"/>
      <c r="X407" s="35"/>
    </row>
    <row r="408" spans="11:24">
      <c r="K408" s="89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78"/>
      <c r="P408" s="102"/>
      <c r="Q408" s="103"/>
      <c r="R408" s="103"/>
      <c r="S408" s="90"/>
      <c r="U408" s="49" t="str">
        <f t="shared" si="30"/>
        <v/>
      </c>
      <c r="V408" s="16"/>
      <c r="W408" s="34"/>
      <c r="X408" s="35"/>
    </row>
    <row r="409" spans="11:24">
      <c r="K409" s="89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78"/>
      <c r="P409" s="102"/>
      <c r="Q409" s="103"/>
      <c r="R409" s="103"/>
      <c r="S409" s="90"/>
      <c r="U409" s="49" t="str">
        <f t="shared" si="30"/>
        <v/>
      </c>
      <c r="V409" s="16"/>
      <c r="W409" s="34"/>
      <c r="X409" s="35"/>
    </row>
    <row r="410" spans="11:24">
      <c r="K410" s="89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78"/>
      <c r="P410" s="102"/>
      <c r="Q410" s="103"/>
      <c r="R410" s="103"/>
      <c r="S410" s="90"/>
      <c r="U410" s="49" t="str">
        <f t="shared" si="30"/>
        <v/>
      </c>
      <c r="V410" s="16"/>
      <c r="W410" s="34"/>
      <c r="X410" s="35"/>
    </row>
    <row r="411" spans="11:24">
      <c r="K411" s="89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78"/>
      <c r="P411" s="102"/>
      <c r="Q411" s="103"/>
      <c r="R411" s="103"/>
      <c r="S411" s="90"/>
      <c r="U411" s="49" t="str">
        <f t="shared" si="30"/>
        <v/>
      </c>
      <c r="V411" s="16"/>
      <c r="W411" s="34"/>
      <c r="X411" s="35"/>
    </row>
    <row r="412" spans="11:24">
      <c r="K412" s="89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78"/>
      <c r="P412" s="102"/>
      <c r="Q412" s="103"/>
      <c r="R412" s="103"/>
      <c r="S412" s="90"/>
      <c r="U412" s="49" t="str">
        <f t="shared" si="30"/>
        <v/>
      </c>
      <c r="V412" s="16"/>
      <c r="W412" s="34"/>
      <c r="X412" s="35"/>
    </row>
    <row r="413" spans="11:24">
      <c r="K413" s="89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78"/>
      <c r="P413" s="102"/>
      <c r="Q413" s="103"/>
      <c r="R413" s="103"/>
      <c r="S413" s="90"/>
      <c r="U413" s="49" t="str">
        <f t="shared" si="30"/>
        <v/>
      </c>
      <c r="V413" s="16"/>
      <c r="W413" s="34"/>
      <c r="X413" s="35"/>
    </row>
    <row r="414" spans="11:24">
      <c r="K414" s="89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78"/>
      <c r="P414" s="102"/>
      <c r="Q414" s="103"/>
      <c r="R414" s="103"/>
      <c r="S414" s="90"/>
      <c r="U414" s="49" t="str">
        <f t="shared" si="30"/>
        <v/>
      </c>
      <c r="V414" s="16"/>
      <c r="W414" s="34"/>
      <c r="X414" s="35"/>
    </row>
    <row r="415" spans="11:24">
      <c r="K415" s="89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78"/>
      <c r="P415" s="102"/>
      <c r="Q415" s="103"/>
      <c r="R415" s="103"/>
      <c r="S415" s="90"/>
      <c r="U415" s="49" t="str">
        <f t="shared" si="30"/>
        <v/>
      </c>
      <c r="V415" s="16"/>
      <c r="W415" s="34"/>
      <c r="X415" s="35"/>
    </row>
    <row r="416" spans="11:24">
      <c r="K416" s="89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78"/>
      <c r="P416" s="102"/>
      <c r="Q416" s="103"/>
      <c r="R416" s="103"/>
      <c r="S416" s="90"/>
      <c r="U416" s="49" t="str">
        <f t="shared" si="30"/>
        <v/>
      </c>
      <c r="V416" s="16"/>
      <c r="W416" s="34"/>
      <c r="X416" s="35"/>
    </row>
    <row r="417" spans="11:24">
      <c r="K417" s="89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78"/>
      <c r="P417" s="102"/>
      <c r="Q417" s="103"/>
      <c r="R417" s="103"/>
      <c r="S417" s="90"/>
      <c r="U417" s="49" t="str">
        <f t="shared" si="30"/>
        <v/>
      </c>
      <c r="V417" s="16"/>
      <c r="W417" s="34"/>
      <c r="X417" s="35"/>
    </row>
    <row r="418" spans="11:24">
      <c r="K418" s="89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78"/>
      <c r="P418" s="102"/>
      <c r="Q418" s="103"/>
      <c r="R418" s="103"/>
      <c r="S418" s="90"/>
      <c r="U418" s="49" t="str">
        <f t="shared" si="30"/>
        <v/>
      </c>
      <c r="V418" s="16"/>
      <c r="W418" s="34"/>
      <c r="X418" s="35"/>
    </row>
    <row r="419" spans="11:24">
      <c r="K419" s="89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78"/>
      <c r="P419" s="102"/>
      <c r="Q419" s="103"/>
      <c r="R419" s="103"/>
      <c r="S419" s="90"/>
      <c r="U419" s="49" t="str">
        <f t="shared" si="30"/>
        <v/>
      </c>
      <c r="V419" s="16"/>
      <c r="W419" s="34"/>
      <c r="X419" s="35"/>
    </row>
    <row r="420" spans="11:24">
      <c r="K420" s="89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78"/>
      <c r="P420" s="102"/>
      <c r="Q420" s="103"/>
      <c r="R420" s="103"/>
      <c r="S420" s="90"/>
      <c r="U420" s="49" t="str">
        <f t="shared" si="30"/>
        <v/>
      </c>
      <c r="V420" s="16"/>
      <c r="W420" s="34"/>
      <c r="X420" s="35"/>
    </row>
    <row r="421" spans="11:24">
      <c r="K421" s="89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78"/>
      <c r="P421" s="102"/>
      <c r="Q421" s="103"/>
      <c r="R421" s="103"/>
      <c r="S421" s="90"/>
      <c r="U421" s="49" t="str">
        <f t="shared" si="30"/>
        <v/>
      </c>
      <c r="V421" s="16"/>
      <c r="W421" s="34"/>
      <c r="X421" s="35"/>
    </row>
    <row r="422" spans="11:24">
      <c r="K422" s="89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78"/>
      <c r="P422" s="102"/>
      <c r="Q422" s="103"/>
      <c r="R422" s="103"/>
      <c r="S422" s="90"/>
      <c r="U422" s="49" t="str">
        <f t="shared" si="30"/>
        <v/>
      </c>
      <c r="V422" s="16"/>
      <c r="W422" s="34"/>
      <c r="X422" s="35"/>
    </row>
    <row r="423" spans="11:24">
      <c r="K423" s="89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78"/>
      <c r="P423" s="102"/>
      <c r="Q423" s="103"/>
      <c r="R423" s="103"/>
      <c r="S423" s="90"/>
      <c r="U423" s="49" t="str">
        <f t="shared" si="30"/>
        <v/>
      </c>
      <c r="V423" s="16"/>
      <c r="W423" s="34"/>
      <c r="X423" s="35"/>
    </row>
    <row r="424" spans="11:24">
      <c r="K424" s="89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78"/>
      <c r="P424" s="102"/>
      <c r="Q424" s="103"/>
      <c r="R424" s="103"/>
      <c r="S424" s="90"/>
      <c r="U424" s="49" t="str">
        <f t="shared" si="30"/>
        <v/>
      </c>
      <c r="V424" s="16"/>
      <c r="W424" s="34"/>
      <c r="X424" s="35"/>
    </row>
    <row r="425" spans="11:24">
      <c r="K425" s="89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78"/>
      <c r="P425" s="102"/>
      <c r="Q425" s="103"/>
      <c r="R425" s="103"/>
      <c r="S425" s="90"/>
      <c r="U425" s="49" t="str">
        <f t="shared" si="30"/>
        <v/>
      </c>
      <c r="V425" s="16"/>
      <c r="W425" s="34"/>
      <c r="X425" s="35"/>
    </row>
    <row r="426" spans="11:24">
      <c r="K426" s="89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78"/>
      <c r="P426" s="102"/>
      <c r="Q426" s="103"/>
      <c r="R426" s="103"/>
      <c r="S426" s="90"/>
      <c r="U426" s="49" t="str">
        <f t="shared" si="30"/>
        <v/>
      </c>
      <c r="V426" s="16"/>
      <c r="W426" s="34"/>
      <c r="X426" s="35"/>
    </row>
    <row r="427" spans="11:24">
      <c r="K427" s="89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78"/>
      <c r="P427" s="102"/>
      <c r="Q427" s="103"/>
      <c r="R427" s="103"/>
      <c r="S427" s="90"/>
      <c r="U427" s="49" t="str">
        <f t="shared" si="30"/>
        <v/>
      </c>
      <c r="V427" s="16"/>
      <c r="W427" s="34"/>
      <c r="X427" s="35"/>
    </row>
    <row r="428" spans="11:24">
      <c r="K428" s="89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78"/>
      <c r="P428" s="102"/>
      <c r="Q428" s="103"/>
      <c r="R428" s="103"/>
      <c r="S428" s="90"/>
      <c r="U428" s="49" t="str">
        <f t="shared" si="30"/>
        <v/>
      </c>
      <c r="V428" s="16"/>
      <c r="W428" s="34"/>
      <c r="X428" s="35"/>
    </row>
    <row r="429" spans="11:24">
      <c r="K429" s="89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78"/>
      <c r="P429" s="102"/>
      <c r="Q429" s="103"/>
      <c r="R429" s="103"/>
      <c r="S429" s="90"/>
      <c r="U429" s="49" t="str">
        <f t="shared" si="30"/>
        <v/>
      </c>
      <c r="V429" s="16"/>
      <c r="W429" s="34"/>
      <c r="X429" s="35"/>
    </row>
    <row r="430" spans="11:24">
      <c r="K430" s="89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78"/>
      <c r="P430" s="102"/>
      <c r="Q430" s="103"/>
      <c r="R430" s="103"/>
      <c r="S430" s="90"/>
      <c r="U430" s="49" t="str">
        <f t="shared" si="30"/>
        <v/>
      </c>
      <c r="V430" s="16"/>
      <c r="W430" s="34"/>
      <c r="X430" s="35"/>
    </row>
    <row r="431" spans="11:24">
      <c r="K431" s="89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78"/>
      <c r="P431" s="102"/>
      <c r="Q431" s="103"/>
      <c r="R431" s="103"/>
      <c r="S431" s="90"/>
      <c r="U431" s="49" t="str">
        <f t="shared" si="30"/>
        <v/>
      </c>
      <c r="V431" s="16"/>
      <c r="W431" s="34"/>
      <c r="X431" s="35"/>
    </row>
    <row r="432" spans="11:24">
      <c r="K432" s="89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78"/>
      <c r="P432" s="102"/>
      <c r="Q432" s="103"/>
      <c r="R432" s="103"/>
      <c r="S432" s="90"/>
      <c r="U432" s="49" t="str">
        <f t="shared" si="30"/>
        <v/>
      </c>
      <c r="V432" s="16"/>
      <c r="W432" s="34"/>
      <c r="X432" s="35"/>
    </row>
    <row r="433" spans="11:24">
      <c r="K433" s="89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78"/>
      <c r="P433" s="102"/>
      <c r="Q433" s="103"/>
      <c r="R433" s="103"/>
      <c r="S433" s="90"/>
      <c r="U433" s="49" t="str">
        <f t="shared" si="30"/>
        <v/>
      </c>
      <c r="V433" s="16"/>
      <c r="W433" s="34"/>
      <c r="X433" s="35"/>
    </row>
    <row r="434" spans="11:24">
      <c r="K434" s="89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78"/>
      <c r="P434" s="102"/>
      <c r="Q434" s="103"/>
      <c r="R434" s="103"/>
      <c r="S434" s="90"/>
      <c r="U434" s="49" t="str">
        <f t="shared" si="30"/>
        <v/>
      </c>
      <c r="V434" s="16"/>
      <c r="W434" s="34"/>
      <c r="X434" s="35"/>
    </row>
    <row r="435" spans="11:24">
      <c r="K435" s="89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78"/>
      <c r="P435" s="102"/>
      <c r="Q435" s="103"/>
      <c r="R435" s="103"/>
      <c r="S435" s="90"/>
      <c r="U435" s="49" t="str">
        <f t="shared" si="30"/>
        <v/>
      </c>
      <c r="V435" s="16"/>
      <c r="W435" s="34"/>
      <c r="X435" s="35"/>
    </row>
    <row r="436" spans="11:24">
      <c r="K436" s="89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78"/>
      <c r="P436" s="102"/>
      <c r="Q436" s="103"/>
      <c r="R436" s="103"/>
      <c r="S436" s="90"/>
      <c r="U436" s="49" t="str">
        <f t="shared" si="30"/>
        <v/>
      </c>
      <c r="V436" s="16"/>
      <c r="W436" s="34"/>
      <c r="X436" s="35"/>
    </row>
    <row r="437" spans="11:24">
      <c r="K437" s="89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78"/>
      <c r="P437" s="102"/>
      <c r="Q437" s="103"/>
      <c r="R437" s="103"/>
      <c r="S437" s="90"/>
      <c r="U437" s="49" t="str">
        <f t="shared" si="30"/>
        <v/>
      </c>
      <c r="V437" s="16"/>
      <c r="W437" s="34"/>
      <c r="X437" s="35"/>
    </row>
    <row r="438" spans="11:24">
      <c r="K438" s="89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78"/>
      <c r="P438" s="102"/>
      <c r="Q438" s="103"/>
      <c r="R438" s="103"/>
      <c r="S438" s="90"/>
      <c r="U438" s="49" t="str">
        <f t="shared" si="30"/>
        <v/>
      </c>
      <c r="V438" s="16"/>
      <c r="W438" s="34"/>
      <c r="X438" s="35"/>
    </row>
    <row r="439" spans="11:24">
      <c r="K439" s="89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78"/>
      <c r="P439" s="102"/>
      <c r="Q439" s="103"/>
      <c r="R439" s="103"/>
      <c r="S439" s="90"/>
      <c r="U439" s="49" t="str">
        <f t="shared" si="30"/>
        <v/>
      </c>
      <c r="V439" s="16"/>
      <c r="W439" s="34"/>
      <c r="X439" s="35"/>
    </row>
    <row r="440" spans="11:24">
      <c r="K440" s="89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78"/>
      <c r="P440" s="102"/>
      <c r="Q440" s="103"/>
      <c r="R440" s="103"/>
      <c r="S440" s="90"/>
      <c r="U440" s="49" t="str">
        <f t="shared" si="30"/>
        <v/>
      </c>
      <c r="V440" s="16"/>
      <c r="W440" s="34"/>
      <c r="X440" s="35"/>
    </row>
    <row r="441" spans="11:24">
      <c r="K441" s="89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78"/>
      <c r="P441" s="102"/>
      <c r="Q441" s="103"/>
      <c r="R441" s="103"/>
      <c r="S441" s="90"/>
      <c r="U441" s="49" t="str">
        <f t="shared" si="30"/>
        <v/>
      </c>
      <c r="V441" s="16"/>
      <c r="W441" s="34"/>
      <c r="X441" s="35"/>
    </row>
    <row r="442" spans="11:24">
      <c r="K442" s="89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78"/>
      <c r="P442" s="102"/>
      <c r="Q442" s="103"/>
      <c r="R442" s="103"/>
      <c r="S442" s="90"/>
      <c r="U442" s="49" t="str">
        <f t="shared" si="30"/>
        <v/>
      </c>
      <c r="V442" s="16"/>
      <c r="W442" s="34"/>
      <c r="X442" s="35"/>
    </row>
    <row r="443" spans="11:24">
      <c r="K443" s="89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78"/>
      <c r="P443" s="102"/>
      <c r="Q443" s="103"/>
      <c r="R443" s="103"/>
      <c r="S443" s="90"/>
      <c r="U443" s="49" t="str">
        <f t="shared" si="30"/>
        <v/>
      </c>
      <c r="V443" s="16"/>
      <c r="W443" s="34"/>
      <c r="X443" s="35"/>
    </row>
    <row r="444" spans="11:24">
      <c r="K444" s="89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78"/>
      <c r="P444" s="102"/>
      <c r="Q444" s="103"/>
      <c r="R444" s="103"/>
      <c r="S444" s="90"/>
      <c r="U444" s="49" t="str">
        <f t="shared" si="30"/>
        <v/>
      </c>
      <c r="V444" s="16"/>
      <c r="W444" s="34"/>
      <c r="X444" s="35"/>
    </row>
    <row r="445" spans="11:24">
      <c r="K445" s="89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78"/>
      <c r="P445" s="102"/>
      <c r="Q445" s="103"/>
      <c r="R445" s="103"/>
      <c r="S445" s="90"/>
      <c r="U445" s="49" t="str">
        <f t="shared" si="30"/>
        <v/>
      </c>
      <c r="V445" s="16"/>
      <c r="W445" s="34"/>
      <c r="X445" s="35"/>
    </row>
    <row r="446" spans="11:24">
      <c r="K446" s="89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78"/>
      <c r="P446" s="102"/>
      <c r="Q446" s="103"/>
      <c r="R446" s="103"/>
      <c r="S446" s="90"/>
      <c r="U446" s="49" t="str">
        <f t="shared" si="30"/>
        <v/>
      </c>
      <c r="V446" s="16"/>
      <c r="W446" s="34"/>
      <c r="X446" s="35"/>
    </row>
    <row r="447" spans="11:24">
      <c r="K447" s="89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78"/>
      <c r="P447" s="102"/>
      <c r="Q447" s="103"/>
      <c r="R447" s="103"/>
      <c r="S447" s="90"/>
      <c r="U447" s="49" t="str">
        <f t="shared" si="30"/>
        <v/>
      </c>
      <c r="V447" s="16"/>
      <c r="W447" s="34"/>
      <c r="X447" s="35"/>
    </row>
    <row r="448" spans="11:24">
      <c r="K448" s="89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78"/>
      <c r="P448" s="102"/>
      <c r="Q448" s="103"/>
      <c r="R448" s="103"/>
      <c r="S448" s="90"/>
      <c r="U448" s="49" t="str">
        <f t="shared" si="30"/>
        <v/>
      </c>
      <c r="V448" s="16"/>
      <c r="W448" s="34"/>
      <c r="X448" s="35"/>
    </row>
    <row r="449" spans="11:24">
      <c r="K449" s="89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78"/>
      <c r="P449" s="102"/>
      <c r="Q449" s="103"/>
      <c r="R449" s="103"/>
      <c r="S449" s="90"/>
      <c r="U449" s="49" t="str">
        <f t="shared" si="30"/>
        <v/>
      </c>
      <c r="V449" s="16"/>
      <c r="W449" s="34"/>
      <c r="X449" s="35"/>
    </row>
    <row r="450" spans="11:24">
      <c r="K450" s="89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78"/>
      <c r="P450" s="102"/>
      <c r="Q450" s="103"/>
      <c r="R450" s="103"/>
      <c r="S450" s="90"/>
      <c r="U450" s="49" t="str">
        <f t="shared" si="30"/>
        <v/>
      </c>
      <c r="V450" s="16"/>
      <c r="W450" s="34"/>
      <c r="X450" s="35"/>
    </row>
    <row r="451" spans="11:24">
      <c r="K451" s="89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78"/>
      <c r="P451" s="102"/>
      <c r="Q451" s="103"/>
      <c r="R451" s="103"/>
      <c r="S451" s="90"/>
      <c r="U451" s="49" t="str">
        <f t="shared" si="30"/>
        <v/>
      </c>
      <c r="V451" s="16"/>
      <c r="W451" s="34"/>
      <c r="X451" s="35"/>
    </row>
    <row r="452" spans="11:24">
      <c r="K452" s="89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78"/>
      <c r="P452" s="102"/>
      <c r="Q452" s="103"/>
      <c r="R452" s="103"/>
      <c r="S452" s="90"/>
      <c r="U452" s="49" t="str">
        <f t="shared" si="30"/>
        <v/>
      </c>
      <c r="V452" s="16"/>
      <c r="W452" s="34"/>
      <c r="X452" s="35"/>
    </row>
    <row r="453" spans="11:24">
      <c r="K453" s="89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78"/>
      <c r="P453" s="102"/>
      <c r="Q453" s="103"/>
      <c r="R453" s="103"/>
      <c r="S453" s="90"/>
      <c r="U453" s="49" t="str">
        <f t="shared" si="30"/>
        <v/>
      </c>
      <c r="V453" s="16"/>
      <c r="W453" s="34"/>
      <c r="X453" s="35"/>
    </row>
    <row r="454" spans="11:24">
      <c r="K454" s="89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78"/>
      <c r="P454" s="102"/>
      <c r="Q454" s="103"/>
      <c r="R454" s="103"/>
      <c r="S454" s="90"/>
      <c r="U454" s="49" t="str">
        <f t="shared" si="30"/>
        <v/>
      </c>
      <c r="V454" s="16"/>
      <c r="W454" s="34"/>
      <c r="X454" s="35"/>
    </row>
    <row r="455" spans="11:24">
      <c r="K455" s="89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78"/>
      <c r="P455" s="102"/>
      <c r="Q455" s="103"/>
      <c r="R455" s="103"/>
      <c r="S455" s="90"/>
      <c r="U455" s="49" t="str">
        <f t="shared" si="30"/>
        <v/>
      </c>
      <c r="V455" s="16"/>
      <c r="W455" s="34"/>
      <c r="X455" s="35"/>
    </row>
    <row r="456" spans="11:24">
      <c r="K456" s="89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78"/>
      <c r="P456" s="102"/>
      <c r="Q456" s="103"/>
      <c r="R456" s="103"/>
      <c r="S456" s="90"/>
      <c r="U456" s="49" t="str">
        <f t="shared" si="30"/>
        <v/>
      </c>
      <c r="V456" s="16"/>
      <c r="W456" s="34"/>
      <c r="X456" s="35"/>
    </row>
    <row r="457" spans="11:24">
      <c r="K457" s="89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78"/>
      <c r="P458" s="102"/>
      <c r="Q458" s="103"/>
      <c r="R458" s="103"/>
      <c r="S458" s="90"/>
      <c r="U458" s="49" t="str">
        <f t="shared" si="34"/>
        <v/>
      </c>
      <c r="V458" s="16"/>
      <c r="W458" s="34"/>
      <c r="X458" s="35"/>
    </row>
    <row r="459" spans="11:24">
      <c r="K459" s="89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78"/>
      <c r="P459" s="102"/>
      <c r="Q459" s="103"/>
      <c r="R459" s="103"/>
      <c r="S459" s="90"/>
      <c r="U459" s="49" t="str">
        <f t="shared" si="34"/>
        <v/>
      </c>
      <c r="V459" s="16"/>
      <c r="W459" s="34"/>
      <c r="X459" s="35"/>
    </row>
    <row r="460" spans="11:24">
      <c r="K460" s="89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78"/>
      <c r="P460" s="102"/>
      <c r="Q460" s="103"/>
      <c r="R460" s="103"/>
      <c r="S460" s="90"/>
      <c r="U460" s="49" t="str">
        <f t="shared" si="34"/>
        <v/>
      </c>
      <c r="V460" s="16"/>
      <c r="W460" s="34"/>
      <c r="X460" s="35"/>
    </row>
    <row r="461" spans="11:24">
      <c r="K461" s="89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78"/>
      <c r="P461" s="102"/>
      <c r="Q461" s="103"/>
      <c r="R461" s="103"/>
      <c r="S461" s="90"/>
      <c r="U461" s="49" t="str">
        <f t="shared" si="34"/>
        <v/>
      </c>
      <c r="V461" s="16"/>
      <c r="W461" s="34"/>
      <c r="X461" s="35"/>
    </row>
    <row r="462" spans="11:24">
      <c r="K462" s="89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78"/>
      <c r="P462" s="102"/>
      <c r="Q462" s="103"/>
      <c r="R462" s="103"/>
      <c r="S462" s="90"/>
      <c r="U462" s="49" t="str">
        <f t="shared" si="34"/>
        <v/>
      </c>
      <c r="V462" s="16"/>
      <c r="W462" s="34"/>
      <c r="X462" s="35"/>
    </row>
    <row r="463" spans="11:24">
      <c r="K463" s="89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78"/>
      <c r="P463" s="102"/>
      <c r="Q463" s="103"/>
      <c r="R463" s="103"/>
      <c r="S463" s="90"/>
      <c r="U463" s="49" t="str">
        <f t="shared" si="34"/>
        <v/>
      </c>
      <c r="V463" s="16"/>
      <c r="W463" s="34"/>
      <c r="X463" s="35"/>
    </row>
    <row r="464" spans="11:24">
      <c r="K464" s="89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78"/>
      <c r="P464" s="102"/>
      <c r="Q464" s="103"/>
      <c r="R464" s="103"/>
      <c r="S464" s="90"/>
      <c r="U464" s="49" t="str">
        <f t="shared" si="34"/>
        <v/>
      </c>
      <c r="V464" s="16"/>
      <c r="W464" s="34"/>
      <c r="X464" s="35"/>
    </row>
    <row r="465" spans="11:24">
      <c r="K465" s="89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78"/>
      <c r="P465" s="102"/>
      <c r="Q465" s="103"/>
      <c r="R465" s="103"/>
      <c r="S465" s="90"/>
      <c r="U465" s="49" t="str">
        <f t="shared" si="34"/>
        <v/>
      </c>
      <c r="V465" s="16"/>
      <c r="W465" s="34"/>
      <c r="X465" s="35"/>
    </row>
    <row r="466" spans="11:24">
      <c r="K466" s="89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78"/>
      <c r="P466" s="102"/>
      <c r="Q466" s="103"/>
      <c r="R466" s="103"/>
      <c r="S466" s="90"/>
      <c r="U466" s="49" t="str">
        <f t="shared" si="34"/>
        <v/>
      </c>
      <c r="V466" s="16"/>
      <c r="W466" s="34"/>
      <c r="X466" s="35"/>
    </row>
    <row r="467" spans="11:24">
      <c r="K467" s="89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78"/>
      <c r="P467" s="102"/>
      <c r="Q467" s="103"/>
      <c r="R467" s="103"/>
      <c r="S467" s="90"/>
      <c r="U467" s="49" t="str">
        <f t="shared" si="34"/>
        <v/>
      </c>
      <c r="V467" s="16"/>
      <c r="W467" s="34"/>
      <c r="X467" s="35"/>
    </row>
    <row r="468" spans="11:24">
      <c r="K468" s="89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78"/>
      <c r="P468" s="102"/>
      <c r="Q468" s="103"/>
      <c r="R468" s="103"/>
      <c r="S468" s="90"/>
      <c r="U468" s="49" t="str">
        <f t="shared" si="34"/>
        <v/>
      </c>
      <c r="V468" s="16"/>
      <c r="W468" s="34"/>
      <c r="X468" s="35"/>
    </row>
    <row r="469" spans="11:24">
      <c r="K469" s="89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78"/>
      <c r="P469" s="102"/>
      <c r="Q469" s="103"/>
      <c r="R469" s="103"/>
      <c r="S469" s="90"/>
      <c r="U469" s="49" t="str">
        <f t="shared" si="34"/>
        <v/>
      </c>
      <c r="V469" s="16"/>
      <c r="W469" s="34"/>
      <c r="X469" s="35"/>
    </row>
    <row r="470" spans="11:24">
      <c r="K470" s="89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78"/>
      <c r="P470" s="102"/>
      <c r="Q470" s="103"/>
      <c r="R470" s="103"/>
      <c r="S470" s="90"/>
      <c r="U470" s="49" t="str">
        <f t="shared" si="34"/>
        <v/>
      </c>
      <c r="V470" s="16"/>
      <c r="W470" s="34"/>
      <c r="X470" s="35"/>
    </row>
    <row r="471" spans="11:24">
      <c r="K471" s="89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78"/>
      <c r="P471" s="102"/>
      <c r="Q471" s="103"/>
      <c r="R471" s="103"/>
      <c r="S471" s="90"/>
      <c r="U471" s="49" t="str">
        <f t="shared" si="34"/>
        <v/>
      </c>
      <c r="V471" s="16"/>
      <c r="W471" s="34"/>
      <c r="X471" s="35"/>
    </row>
    <row r="472" spans="11:24">
      <c r="K472" s="89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78"/>
      <c r="P472" s="102"/>
      <c r="Q472" s="103"/>
      <c r="R472" s="103"/>
      <c r="S472" s="90"/>
      <c r="U472" s="49" t="str">
        <f t="shared" si="34"/>
        <v/>
      </c>
      <c r="V472" s="16"/>
      <c r="W472" s="34"/>
      <c r="X472" s="35"/>
    </row>
    <row r="473" spans="11:24">
      <c r="K473" s="89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78"/>
      <c r="P473" s="102"/>
      <c r="Q473" s="103"/>
      <c r="R473" s="103"/>
      <c r="S473" s="90"/>
      <c r="U473" s="49" t="str">
        <f t="shared" si="34"/>
        <v/>
      </c>
      <c r="V473" s="16"/>
      <c r="W473" s="34"/>
      <c r="X473" s="35"/>
    </row>
    <row r="474" spans="11:24">
      <c r="K474" s="89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78"/>
      <c r="P474" s="102"/>
      <c r="Q474" s="103"/>
      <c r="R474" s="103"/>
      <c r="S474" s="90"/>
      <c r="U474" s="49" t="str">
        <f t="shared" si="34"/>
        <v/>
      </c>
      <c r="V474" s="16"/>
      <c r="W474" s="34"/>
      <c r="X474" s="35"/>
    </row>
    <row r="475" spans="11:24">
      <c r="K475" s="89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78"/>
      <c r="P475" s="102"/>
      <c r="Q475" s="103"/>
      <c r="R475" s="103"/>
      <c r="S475" s="90"/>
      <c r="U475" s="49" t="str">
        <f t="shared" si="34"/>
        <v/>
      </c>
      <c r="V475" s="16"/>
      <c r="W475" s="34"/>
      <c r="X475" s="35"/>
    </row>
    <row r="476" spans="11:24">
      <c r="K476" s="89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78"/>
      <c r="P476" s="102"/>
      <c r="Q476" s="103"/>
      <c r="R476" s="103"/>
      <c r="S476" s="90"/>
      <c r="U476" s="49" t="str">
        <f t="shared" si="34"/>
        <v/>
      </c>
      <c r="V476" s="16"/>
      <c r="W476" s="34"/>
      <c r="X476" s="35"/>
    </row>
    <row r="477" spans="11:24">
      <c r="K477" s="89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78"/>
      <c r="P477" s="102"/>
      <c r="Q477" s="103"/>
      <c r="R477" s="103"/>
      <c r="S477" s="90"/>
      <c r="U477" s="49" t="str">
        <f t="shared" si="34"/>
        <v/>
      </c>
      <c r="V477" s="16"/>
      <c r="W477" s="34"/>
      <c r="X477" s="35"/>
    </row>
    <row r="478" spans="11:24">
      <c r="K478" s="89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78"/>
      <c r="P478" s="102"/>
      <c r="Q478" s="103"/>
      <c r="R478" s="103"/>
      <c r="S478" s="90"/>
      <c r="U478" s="49" t="str">
        <f t="shared" si="34"/>
        <v/>
      </c>
      <c r="V478" s="16"/>
      <c r="W478" s="34"/>
      <c r="X478" s="35"/>
    </row>
    <row r="479" spans="11:24">
      <c r="K479" s="89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78"/>
      <c r="P479" s="102"/>
      <c r="Q479" s="103"/>
      <c r="R479" s="103"/>
      <c r="S479" s="90"/>
      <c r="U479" s="49" t="str">
        <f t="shared" si="34"/>
        <v/>
      </c>
      <c r="V479" s="16"/>
      <c r="W479" s="34"/>
      <c r="X479" s="35"/>
    </row>
    <row r="480" spans="11:24">
      <c r="K480" s="89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78"/>
      <c r="P480" s="102"/>
      <c r="Q480" s="103"/>
      <c r="R480" s="103"/>
      <c r="S480" s="90"/>
      <c r="U480" s="49" t="str">
        <f t="shared" si="34"/>
        <v/>
      </c>
      <c r="V480" s="16"/>
      <c r="W480" s="34"/>
      <c r="X480" s="35"/>
    </row>
    <row r="481" spans="11:24">
      <c r="K481" s="89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78"/>
      <c r="P481" s="102"/>
      <c r="Q481" s="103"/>
      <c r="R481" s="103"/>
      <c r="S481" s="90"/>
      <c r="U481" s="49" t="str">
        <f t="shared" si="34"/>
        <v/>
      </c>
      <c r="V481" s="16"/>
      <c r="W481" s="34"/>
      <c r="X481" s="35"/>
    </row>
    <row r="482" spans="11:24">
      <c r="K482" s="89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78"/>
      <c r="P482" s="102"/>
      <c r="Q482" s="103"/>
      <c r="R482" s="103"/>
      <c r="S482" s="90"/>
      <c r="U482" s="49" t="str">
        <f t="shared" si="34"/>
        <v/>
      </c>
      <c r="V482" s="16"/>
      <c r="W482" s="34"/>
      <c r="X482" s="35"/>
    </row>
    <row r="483" spans="11:24">
      <c r="K483" s="89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78"/>
      <c r="P483" s="102"/>
      <c r="Q483" s="103"/>
      <c r="R483" s="103"/>
      <c r="S483" s="90"/>
      <c r="U483" s="49" t="str">
        <f t="shared" si="34"/>
        <v/>
      </c>
      <c r="V483" s="16"/>
      <c r="W483" s="34"/>
      <c r="X483" s="35"/>
    </row>
    <row r="484" spans="11:24">
      <c r="K484" s="89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78"/>
      <c r="P484" s="102"/>
      <c r="Q484" s="103"/>
      <c r="R484" s="103"/>
      <c r="S484" s="90"/>
      <c r="U484" s="49" t="str">
        <f t="shared" si="34"/>
        <v/>
      </c>
      <c r="V484" s="16"/>
      <c r="W484" s="34"/>
      <c r="X484" s="35"/>
    </row>
    <row r="485" spans="11:24">
      <c r="K485" s="89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78"/>
      <c r="P485" s="102"/>
      <c r="Q485" s="103"/>
      <c r="R485" s="103"/>
      <c r="S485" s="90"/>
      <c r="U485" s="49" t="str">
        <f t="shared" si="34"/>
        <v/>
      </c>
      <c r="V485" s="16"/>
      <c r="W485" s="34"/>
      <c r="X485" s="35"/>
    </row>
    <row r="486" spans="11:24">
      <c r="K486" s="89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78"/>
      <c r="P486" s="102"/>
      <c r="Q486" s="103"/>
      <c r="R486" s="103"/>
      <c r="S486" s="90"/>
      <c r="U486" s="49" t="str">
        <f t="shared" si="34"/>
        <v/>
      </c>
      <c r="V486" s="16"/>
      <c r="W486" s="34"/>
      <c r="X486" s="35"/>
    </row>
    <row r="487" spans="11:24">
      <c r="K487" s="89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78"/>
      <c r="P487" s="102"/>
      <c r="Q487" s="103"/>
      <c r="R487" s="103"/>
      <c r="S487" s="90"/>
      <c r="U487" s="49" t="str">
        <f t="shared" si="34"/>
        <v/>
      </c>
      <c r="V487" s="16"/>
      <c r="W487" s="34"/>
      <c r="X487" s="35"/>
    </row>
    <row r="488" spans="11:24">
      <c r="K488" s="89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78"/>
      <c r="P488" s="102"/>
      <c r="Q488" s="103"/>
      <c r="R488" s="103"/>
      <c r="S488" s="90"/>
      <c r="U488" s="49" t="str">
        <f t="shared" si="34"/>
        <v/>
      </c>
      <c r="V488" s="16"/>
      <c r="W488" s="34"/>
      <c r="X488" s="35"/>
    </row>
    <row r="489" spans="11:24">
      <c r="K489" s="89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78"/>
      <c r="P489" s="102"/>
      <c r="Q489" s="103"/>
      <c r="R489" s="103"/>
      <c r="S489" s="90"/>
      <c r="U489" s="49" t="str">
        <f t="shared" si="34"/>
        <v/>
      </c>
      <c r="V489" s="16"/>
      <c r="W489" s="34"/>
      <c r="X489" s="35"/>
    </row>
    <row r="490" spans="11:24">
      <c r="K490" s="89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78"/>
      <c r="P490" s="102"/>
      <c r="Q490" s="103"/>
      <c r="R490" s="103"/>
      <c r="S490" s="90"/>
      <c r="U490" s="49" t="str">
        <f t="shared" si="34"/>
        <v/>
      </c>
      <c r="V490" s="16"/>
      <c r="W490" s="34"/>
      <c r="X490" s="35"/>
    </row>
    <row r="491" spans="11:24">
      <c r="K491" s="89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78"/>
      <c r="P491" s="102"/>
      <c r="Q491" s="103"/>
      <c r="R491" s="103"/>
      <c r="S491" s="90"/>
      <c r="U491" s="49" t="str">
        <f t="shared" si="34"/>
        <v/>
      </c>
      <c r="V491" s="16"/>
      <c r="W491" s="34"/>
      <c r="X491" s="35"/>
    </row>
    <row r="492" spans="11:24">
      <c r="K492" s="89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78"/>
      <c r="P492" s="102"/>
      <c r="Q492" s="103"/>
      <c r="R492" s="103"/>
      <c r="S492" s="90"/>
      <c r="U492" s="49" t="str">
        <f t="shared" si="34"/>
        <v/>
      </c>
      <c r="V492" s="16"/>
      <c r="W492" s="34"/>
      <c r="X492" s="35"/>
    </row>
    <row r="493" spans="11:24">
      <c r="K493" s="89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78"/>
      <c r="P493" s="102"/>
      <c r="Q493" s="103"/>
      <c r="R493" s="103"/>
      <c r="S493" s="90"/>
      <c r="U493" s="49" t="str">
        <f t="shared" si="34"/>
        <v/>
      </c>
      <c r="V493" s="16"/>
      <c r="W493" s="34"/>
      <c r="X493" s="35"/>
    </row>
    <row r="494" spans="11:24">
      <c r="K494" s="89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78"/>
      <c r="P494" s="102"/>
      <c r="Q494" s="103"/>
      <c r="R494" s="103"/>
      <c r="S494" s="90"/>
      <c r="U494" s="49" t="str">
        <f t="shared" si="34"/>
        <v/>
      </c>
      <c r="V494" s="16"/>
      <c r="W494" s="34"/>
      <c r="X494" s="35"/>
    </row>
    <row r="495" spans="11:24">
      <c r="K495" s="89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78"/>
      <c r="P495" s="102"/>
      <c r="Q495" s="103"/>
      <c r="R495" s="103"/>
      <c r="S495" s="90"/>
      <c r="U495" s="49" t="str">
        <f t="shared" si="34"/>
        <v/>
      </c>
      <c r="V495" s="16"/>
      <c r="W495" s="34"/>
      <c r="X495" s="35"/>
    </row>
    <row r="496" spans="11:24">
      <c r="K496" s="89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78"/>
      <c r="P496" s="102"/>
      <c r="Q496" s="103"/>
      <c r="R496" s="103"/>
      <c r="S496" s="90"/>
      <c r="U496" s="49" t="str">
        <f t="shared" si="34"/>
        <v/>
      </c>
      <c r="V496" s="16"/>
      <c r="W496" s="34"/>
      <c r="X496" s="35"/>
    </row>
    <row r="497" spans="11:24">
      <c r="K497" s="89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78"/>
      <c r="P497" s="102"/>
      <c r="Q497" s="103"/>
      <c r="R497" s="103"/>
      <c r="S497" s="90"/>
      <c r="U497" s="49" t="str">
        <f t="shared" si="34"/>
        <v/>
      </c>
      <c r="V497" s="16"/>
      <c r="W497" s="34"/>
      <c r="X497" s="35"/>
    </row>
    <row r="498" spans="11:24">
      <c r="K498" s="89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78"/>
      <c r="P498" s="102"/>
      <c r="Q498" s="103"/>
      <c r="R498" s="103"/>
      <c r="S498" s="90"/>
      <c r="U498" s="49" t="str">
        <f t="shared" si="34"/>
        <v/>
      </c>
      <c r="V498" s="16"/>
      <c r="W498" s="34"/>
      <c r="X498" s="35"/>
    </row>
    <row r="499" spans="11:24">
      <c r="K499" s="89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78"/>
      <c r="P499" s="102"/>
      <c r="Q499" s="103"/>
      <c r="R499" s="103"/>
      <c r="S499" s="90"/>
      <c r="U499" s="49" t="str">
        <f t="shared" si="34"/>
        <v/>
      </c>
      <c r="V499" s="16"/>
      <c r="W499" s="34"/>
      <c r="X499" s="35"/>
    </row>
    <row r="500" spans="11:24">
      <c r="K500" s="89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78"/>
      <c r="P500" s="102"/>
      <c r="Q500" s="103"/>
      <c r="R500" s="103"/>
      <c r="S500" s="90"/>
      <c r="U500" s="49" t="str">
        <f t="shared" si="34"/>
        <v/>
      </c>
      <c r="V500" s="16"/>
      <c r="W500" s="34"/>
      <c r="X500" s="35"/>
    </row>
    <row r="501" spans="11:24">
      <c r="K501" s="89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78"/>
      <c r="P501" s="102"/>
      <c r="Q501" s="103"/>
      <c r="R501" s="103"/>
      <c r="S501" s="90"/>
      <c r="U501" s="49" t="str">
        <f t="shared" si="34"/>
        <v/>
      </c>
      <c r="V501" s="16"/>
      <c r="W501" s="34"/>
      <c r="X501" s="35"/>
    </row>
    <row r="502" spans="11:24">
      <c r="K502" s="89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78"/>
      <c r="P502" s="102"/>
      <c r="Q502" s="103"/>
      <c r="R502" s="103"/>
      <c r="S502" s="90"/>
      <c r="U502" s="49" t="str">
        <f t="shared" si="34"/>
        <v/>
      </c>
      <c r="V502" s="16"/>
      <c r="W502" s="34"/>
      <c r="X502" s="35"/>
    </row>
    <row r="503" spans="11:24">
      <c r="K503" s="89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78"/>
      <c r="P503" s="102"/>
      <c r="Q503" s="103"/>
      <c r="R503" s="103"/>
      <c r="S503" s="90"/>
      <c r="U503" s="49" t="str">
        <f t="shared" si="34"/>
        <v/>
      </c>
      <c r="V503" s="16"/>
      <c r="W503" s="34"/>
      <c r="X503" s="35"/>
    </row>
    <row r="504" spans="11:24">
      <c r="K504" s="89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78"/>
      <c r="P504" s="102"/>
      <c r="Q504" s="103"/>
      <c r="R504" s="103"/>
      <c r="S504" s="90"/>
      <c r="U504" s="49" t="str">
        <f t="shared" si="34"/>
        <v/>
      </c>
      <c r="V504" s="16"/>
      <c r="W504" s="34"/>
      <c r="X504" s="35"/>
    </row>
    <row r="505" spans="11:24">
      <c r="K505" s="89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78"/>
      <c r="P505" s="102"/>
      <c r="Q505" s="103"/>
      <c r="R505" s="103"/>
      <c r="S505" s="90"/>
      <c r="U505" s="49" t="str">
        <f t="shared" si="34"/>
        <v/>
      </c>
      <c r="V505" s="16"/>
      <c r="W505" s="34"/>
      <c r="X505" s="35"/>
    </row>
    <row r="506" spans="11:24">
      <c r="K506" s="89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78"/>
      <c r="P506" s="102"/>
      <c r="Q506" s="103"/>
      <c r="R506" s="103"/>
      <c r="S506" s="90"/>
      <c r="U506" s="49" t="str">
        <f t="shared" si="34"/>
        <v/>
      </c>
      <c r="V506" s="16"/>
      <c r="W506" s="34"/>
      <c r="X506" s="35"/>
    </row>
    <row r="507" spans="11:24">
      <c r="K507" s="89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78"/>
      <c r="P507" s="102"/>
      <c r="Q507" s="103"/>
      <c r="R507" s="103"/>
      <c r="S507" s="90"/>
      <c r="U507" s="49" t="str">
        <f t="shared" si="34"/>
        <v/>
      </c>
      <c r="V507" s="16"/>
      <c r="W507" s="34"/>
      <c r="X507" s="35"/>
    </row>
    <row r="508" spans="11:24">
      <c r="K508" s="89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78"/>
      <c r="P508" s="102"/>
      <c r="Q508" s="103"/>
      <c r="R508" s="103"/>
      <c r="S508" s="90"/>
      <c r="U508" s="49" t="str">
        <f t="shared" si="34"/>
        <v/>
      </c>
      <c r="V508" s="16"/>
      <c r="W508" s="34"/>
      <c r="X508" s="35"/>
    </row>
    <row r="509" spans="11:24">
      <c r="K509" s="89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78"/>
      <c r="P509" s="102"/>
      <c r="Q509" s="103"/>
      <c r="R509" s="103"/>
      <c r="S509" s="90"/>
      <c r="U509" s="49" t="str">
        <f t="shared" si="34"/>
        <v/>
      </c>
      <c r="V509" s="16"/>
      <c r="W509" s="34"/>
      <c r="X509" s="35"/>
    </row>
    <row r="510" spans="11:24">
      <c r="K510" s="89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78"/>
      <c r="P510" s="102"/>
      <c r="Q510" s="103"/>
      <c r="R510" s="103"/>
      <c r="S510" s="90"/>
      <c r="U510" s="49" t="str">
        <f t="shared" si="34"/>
        <v/>
      </c>
      <c r="V510" s="16"/>
      <c r="W510" s="34"/>
      <c r="X510" s="35"/>
    </row>
    <row r="511" spans="11:24">
      <c r="K511" s="89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78"/>
      <c r="P511" s="102"/>
      <c r="Q511" s="103"/>
      <c r="R511" s="103"/>
      <c r="S511" s="90"/>
      <c r="U511" s="49" t="str">
        <f t="shared" si="34"/>
        <v/>
      </c>
      <c r="V511" s="16"/>
      <c r="W511" s="34"/>
      <c r="X511" s="35"/>
    </row>
    <row r="512" spans="11:24">
      <c r="K512" s="89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78"/>
      <c r="P512" s="102"/>
      <c r="Q512" s="103"/>
      <c r="R512" s="103"/>
      <c r="S512" s="90"/>
      <c r="U512" s="49" t="str">
        <f t="shared" si="34"/>
        <v/>
      </c>
      <c r="V512" s="16"/>
      <c r="W512" s="34"/>
      <c r="X512" s="35"/>
    </row>
    <row r="513" spans="11:24">
      <c r="K513" s="89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78"/>
      <c r="P513" s="102"/>
      <c r="Q513" s="103"/>
      <c r="R513" s="103"/>
      <c r="S513" s="90"/>
      <c r="U513" s="49" t="str">
        <f t="shared" si="34"/>
        <v/>
      </c>
      <c r="V513" s="16"/>
      <c r="W513" s="34"/>
      <c r="X513" s="35"/>
    </row>
    <row r="514" spans="11:24">
      <c r="K514" s="89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78"/>
      <c r="P514" s="102"/>
      <c r="Q514" s="103"/>
      <c r="R514" s="103"/>
      <c r="S514" s="90"/>
      <c r="U514" s="49" t="str">
        <f t="shared" si="34"/>
        <v/>
      </c>
      <c r="V514" s="16"/>
      <c r="W514" s="34"/>
      <c r="X514" s="35"/>
    </row>
    <row r="515" spans="11:24">
      <c r="K515" s="89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78"/>
      <c r="P515" s="102"/>
      <c r="Q515" s="103"/>
      <c r="R515" s="103"/>
      <c r="S515" s="90"/>
      <c r="U515" s="49" t="str">
        <f t="shared" si="34"/>
        <v/>
      </c>
      <c r="V515" s="16"/>
      <c r="W515" s="34"/>
      <c r="X515" s="35"/>
    </row>
    <row r="516" spans="11:24">
      <c r="K516" s="89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78"/>
      <c r="P516" s="102"/>
      <c r="Q516" s="103"/>
      <c r="R516" s="103"/>
      <c r="S516" s="90"/>
      <c r="U516" s="49" t="str">
        <f t="shared" si="34"/>
        <v/>
      </c>
      <c r="V516" s="16"/>
      <c r="W516" s="34"/>
      <c r="X516" s="35"/>
    </row>
    <row r="517" spans="11:24">
      <c r="K517" s="89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78"/>
      <c r="P517" s="102"/>
      <c r="Q517" s="103"/>
      <c r="R517" s="103"/>
      <c r="S517" s="90"/>
      <c r="U517" s="49" t="str">
        <f t="shared" si="34"/>
        <v/>
      </c>
      <c r="V517" s="16"/>
      <c r="W517" s="34"/>
      <c r="X517" s="35"/>
    </row>
    <row r="518" spans="11:24">
      <c r="K518" s="89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78"/>
      <c r="P518" s="102"/>
      <c r="Q518" s="103"/>
      <c r="R518" s="103"/>
      <c r="S518" s="90"/>
      <c r="U518" s="49" t="str">
        <f t="shared" si="34"/>
        <v/>
      </c>
      <c r="V518" s="16"/>
      <c r="W518" s="34"/>
      <c r="X518" s="35"/>
    </row>
    <row r="519" spans="11:24">
      <c r="K519" s="89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78"/>
      <c r="P519" s="102"/>
      <c r="Q519" s="103"/>
      <c r="R519" s="103"/>
      <c r="S519" s="90"/>
      <c r="U519" s="49" t="str">
        <f t="shared" si="34"/>
        <v/>
      </c>
      <c r="V519" s="16"/>
      <c r="W519" s="34"/>
      <c r="X519" s="35"/>
    </row>
    <row r="520" spans="11:24">
      <c r="K520" s="89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78"/>
      <c r="P520" s="102"/>
      <c r="Q520" s="103"/>
      <c r="R520" s="103"/>
      <c r="S520" s="90"/>
      <c r="U520" s="49" t="str">
        <f t="shared" si="34"/>
        <v/>
      </c>
      <c r="V520" s="16"/>
      <c r="W520" s="34"/>
      <c r="X520" s="35"/>
    </row>
    <row r="521" spans="11:24">
      <c r="K521" s="89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78"/>
      <c r="P522" s="102"/>
      <c r="Q522" s="103"/>
      <c r="R522" s="103"/>
      <c r="S522" s="90"/>
      <c r="U522" s="49" t="str">
        <f t="shared" si="38"/>
        <v/>
      </c>
      <c r="V522" s="16"/>
      <c r="W522" s="34"/>
      <c r="X522" s="35"/>
    </row>
    <row r="523" spans="11:24">
      <c r="K523" s="89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78"/>
      <c r="P523" s="102"/>
      <c r="Q523" s="103"/>
      <c r="R523" s="103"/>
      <c r="S523" s="90"/>
      <c r="U523" s="49" t="str">
        <f t="shared" si="38"/>
        <v/>
      </c>
      <c r="V523" s="16"/>
      <c r="W523" s="34"/>
      <c r="X523" s="35"/>
    </row>
    <row r="524" spans="11:24">
      <c r="K524" s="89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78"/>
      <c r="P524" s="102"/>
      <c r="Q524" s="103"/>
      <c r="R524" s="103"/>
      <c r="S524" s="90"/>
      <c r="U524" s="49" t="str">
        <f t="shared" si="38"/>
        <v/>
      </c>
      <c r="V524" s="16"/>
      <c r="W524" s="34"/>
      <c r="X524" s="35"/>
    </row>
    <row r="525" spans="11:24">
      <c r="K525" s="89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78"/>
      <c r="P525" s="102"/>
      <c r="Q525" s="103"/>
      <c r="R525" s="103"/>
      <c r="S525" s="90"/>
      <c r="U525" s="49" t="str">
        <f t="shared" si="38"/>
        <v/>
      </c>
      <c r="V525" s="16"/>
      <c r="W525" s="34"/>
      <c r="X525" s="35"/>
    </row>
    <row r="526" spans="11:24">
      <c r="K526" s="89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78"/>
      <c r="P526" s="102"/>
      <c r="Q526" s="103"/>
      <c r="R526" s="103"/>
      <c r="S526" s="90"/>
      <c r="U526" s="49" t="str">
        <f t="shared" si="38"/>
        <v/>
      </c>
      <c r="V526" s="16"/>
      <c r="W526" s="34"/>
      <c r="X526" s="35"/>
    </row>
    <row r="527" spans="11:24">
      <c r="K527" s="89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78"/>
      <c r="P527" s="102"/>
      <c r="Q527" s="103"/>
      <c r="R527" s="103"/>
      <c r="S527" s="90"/>
      <c r="U527" s="49" t="str">
        <f t="shared" si="38"/>
        <v/>
      </c>
      <c r="V527" s="16"/>
      <c r="W527" s="34"/>
      <c r="X527" s="35"/>
    </row>
    <row r="528" spans="11:24">
      <c r="K528" s="89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78"/>
      <c r="P528" s="102"/>
      <c r="Q528" s="103"/>
      <c r="R528" s="103"/>
      <c r="S528" s="90"/>
      <c r="U528" s="49" t="str">
        <f t="shared" si="38"/>
        <v/>
      </c>
      <c r="V528" s="16"/>
      <c r="W528" s="34"/>
      <c r="X528" s="35"/>
    </row>
    <row r="529" spans="11:24">
      <c r="K529" s="89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78"/>
      <c r="P529" s="102"/>
      <c r="Q529" s="103"/>
      <c r="R529" s="103"/>
      <c r="S529" s="90"/>
      <c r="U529" s="49" t="str">
        <f t="shared" si="38"/>
        <v/>
      </c>
      <c r="V529" s="16"/>
      <c r="W529" s="34"/>
      <c r="X529" s="35"/>
    </row>
    <row r="530" spans="11:24">
      <c r="K530" s="89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78"/>
      <c r="P530" s="102"/>
      <c r="Q530" s="103"/>
      <c r="R530" s="103"/>
      <c r="S530" s="90"/>
      <c r="U530" s="49" t="str">
        <f t="shared" si="38"/>
        <v/>
      </c>
      <c r="V530" s="16"/>
      <c r="W530" s="34"/>
      <c r="X530" s="35"/>
    </row>
    <row r="531" spans="11:24">
      <c r="K531" s="89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78"/>
      <c r="P531" s="102"/>
      <c r="Q531" s="103"/>
      <c r="R531" s="103"/>
      <c r="S531" s="90"/>
      <c r="U531" s="49" t="str">
        <f t="shared" si="38"/>
        <v/>
      </c>
      <c r="V531" s="16"/>
      <c r="W531" s="34"/>
      <c r="X531" s="35"/>
    </row>
    <row r="532" spans="11:24">
      <c r="K532" s="89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78"/>
      <c r="P532" s="102"/>
      <c r="Q532" s="103"/>
      <c r="R532" s="103"/>
      <c r="S532" s="90"/>
      <c r="U532" s="49" t="str">
        <f t="shared" si="38"/>
        <v/>
      </c>
      <c r="V532" s="16"/>
      <c r="W532" s="34"/>
      <c r="X532" s="35"/>
    </row>
    <row r="533" spans="11:24">
      <c r="K533" s="89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78"/>
      <c r="P533" s="102"/>
      <c r="Q533" s="103"/>
      <c r="R533" s="103"/>
      <c r="S533" s="90"/>
      <c r="U533" s="49" t="str">
        <f t="shared" si="38"/>
        <v/>
      </c>
      <c r="V533" s="16"/>
      <c r="W533" s="34"/>
      <c r="X533" s="35"/>
    </row>
    <row r="534" spans="11:24">
      <c r="K534" s="89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78"/>
      <c r="P534" s="102"/>
      <c r="Q534" s="103"/>
      <c r="R534" s="103"/>
      <c r="S534" s="90"/>
      <c r="U534" s="49" t="str">
        <f t="shared" si="38"/>
        <v/>
      </c>
      <c r="V534" s="16"/>
      <c r="W534" s="34"/>
      <c r="X534" s="35"/>
    </row>
    <row r="535" spans="11:24">
      <c r="K535" s="89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78"/>
      <c r="P535" s="102"/>
      <c r="Q535" s="103"/>
      <c r="R535" s="103"/>
      <c r="S535" s="90"/>
      <c r="U535" s="49" t="str">
        <f t="shared" si="38"/>
        <v/>
      </c>
      <c r="V535" s="16"/>
      <c r="W535" s="34"/>
      <c r="X535" s="35"/>
    </row>
    <row r="536" spans="11:24">
      <c r="K536" s="89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78"/>
      <c r="P536" s="102"/>
      <c r="Q536" s="103"/>
      <c r="R536" s="103"/>
      <c r="S536" s="90"/>
      <c r="U536" s="49" t="str">
        <f t="shared" si="38"/>
        <v/>
      </c>
      <c r="V536" s="16"/>
      <c r="W536" s="34"/>
      <c r="X536" s="35"/>
    </row>
    <row r="537" spans="11:24">
      <c r="K537" s="89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78"/>
      <c r="P537" s="102"/>
      <c r="Q537" s="103"/>
      <c r="R537" s="103"/>
      <c r="S537" s="90"/>
      <c r="U537" s="49" t="str">
        <f t="shared" si="38"/>
        <v/>
      </c>
      <c r="V537" s="16"/>
      <c r="W537" s="34"/>
      <c r="X537" s="35"/>
    </row>
    <row r="538" spans="11:24">
      <c r="K538" s="89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78"/>
      <c r="P538" s="102"/>
      <c r="Q538" s="103"/>
      <c r="R538" s="103"/>
      <c r="S538" s="90"/>
      <c r="U538" s="49" t="str">
        <f t="shared" si="38"/>
        <v/>
      </c>
      <c r="V538" s="16"/>
      <c r="W538" s="34"/>
      <c r="X538" s="35"/>
    </row>
    <row r="539" spans="11:24">
      <c r="K539" s="89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78"/>
      <c r="P539" s="102"/>
      <c r="Q539" s="103"/>
      <c r="R539" s="103"/>
      <c r="S539" s="90"/>
      <c r="U539" s="49" t="str">
        <f t="shared" si="38"/>
        <v/>
      </c>
      <c r="V539" s="16"/>
      <c r="W539" s="34"/>
      <c r="X539" s="35"/>
    </row>
    <row r="540" spans="11:24">
      <c r="K540" s="89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78"/>
      <c r="P540" s="102"/>
      <c r="Q540" s="103"/>
      <c r="R540" s="103"/>
      <c r="S540" s="90"/>
      <c r="U540" s="49" t="str">
        <f t="shared" si="38"/>
        <v/>
      </c>
      <c r="V540" s="16"/>
      <c r="W540" s="34"/>
      <c r="X540" s="35"/>
    </row>
    <row r="541" spans="11:24">
      <c r="K541" s="89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78"/>
      <c r="P541" s="102"/>
      <c r="Q541" s="103"/>
      <c r="R541" s="103"/>
      <c r="S541" s="90"/>
      <c r="U541" s="49" t="str">
        <f t="shared" si="38"/>
        <v/>
      </c>
      <c r="V541" s="16"/>
      <c r="W541" s="34"/>
      <c r="X541" s="35"/>
    </row>
    <row r="542" spans="11:24">
      <c r="K542" s="89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78"/>
      <c r="P542" s="102"/>
      <c r="Q542" s="103"/>
      <c r="R542" s="103"/>
      <c r="S542" s="90"/>
      <c r="U542" s="49" t="str">
        <f t="shared" si="38"/>
        <v/>
      </c>
      <c r="V542" s="16"/>
      <c r="W542" s="34"/>
      <c r="X542" s="35"/>
    </row>
    <row r="543" spans="11:24">
      <c r="K543" s="89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78"/>
      <c r="P543" s="102"/>
      <c r="Q543" s="103"/>
      <c r="R543" s="103"/>
      <c r="S543" s="90"/>
      <c r="U543" s="49" t="str">
        <f t="shared" si="38"/>
        <v/>
      </c>
      <c r="V543" s="16"/>
      <c r="W543" s="34"/>
      <c r="X543" s="35"/>
    </row>
    <row r="544" spans="11:24">
      <c r="K544" s="89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78"/>
      <c r="P544" s="102"/>
      <c r="Q544" s="103"/>
      <c r="R544" s="103"/>
      <c r="S544" s="90"/>
      <c r="U544" s="49" t="str">
        <f t="shared" si="38"/>
        <v/>
      </c>
      <c r="V544" s="16"/>
      <c r="W544" s="34"/>
      <c r="X544" s="35"/>
    </row>
    <row r="545" spans="11:24">
      <c r="K545" s="89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78"/>
      <c r="P545" s="102"/>
      <c r="Q545" s="103"/>
      <c r="R545" s="103"/>
      <c r="S545" s="90"/>
      <c r="U545" s="49" t="str">
        <f t="shared" si="38"/>
        <v/>
      </c>
      <c r="V545" s="16"/>
      <c r="W545" s="34"/>
      <c r="X545" s="35"/>
    </row>
    <row r="546" spans="11:24">
      <c r="K546" s="89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78"/>
      <c r="P546" s="102"/>
      <c r="Q546" s="103"/>
      <c r="R546" s="103"/>
      <c r="S546" s="90"/>
      <c r="U546" s="49" t="str">
        <f t="shared" si="38"/>
        <v/>
      </c>
      <c r="V546" s="16"/>
      <c r="W546" s="34"/>
      <c r="X546" s="35"/>
    </row>
    <row r="547" spans="11:24">
      <c r="K547" s="89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78"/>
      <c r="P547" s="102"/>
      <c r="Q547" s="103"/>
      <c r="R547" s="103"/>
      <c r="S547" s="90"/>
      <c r="U547" s="49" t="str">
        <f t="shared" si="38"/>
        <v/>
      </c>
      <c r="V547" s="16"/>
      <c r="W547" s="34"/>
      <c r="X547" s="35"/>
    </row>
    <row r="548" spans="11:24">
      <c r="K548" s="89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78"/>
      <c r="P548" s="102"/>
      <c r="Q548" s="103"/>
      <c r="R548" s="103"/>
      <c r="S548" s="90"/>
      <c r="U548" s="49" t="str">
        <f t="shared" si="38"/>
        <v/>
      </c>
      <c r="V548" s="16"/>
      <c r="W548" s="34"/>
      <c r="X548" s="35"/>
    </row>
    <row r="549" spans="11:24">
      <c r="K549" s="89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78"/>
      <c r="P549" s="102"/>
      <c r="Q549" s="103"/>
      <c r="R549" s="103"/>
      <c r="S549" s="90"/>
      <c r="U549" s="49" t="str">
        <f t="shared" si="38"/>
        <v/>
      </c>
      <c r="V549" s="16"/>
      <c r="W549" s="34"/>
      <c r="X549" s="35"/>
    </row>
    <row r="550" spans="11:24">
      <c r="K550" s="89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78"/>
      <c r="P550" s="102"/>
      <c r="Q550" s="103"/>
      <c r="R550" s="103"/>
      <c r="S550" s="90"/>
      <c r="U550" s="49" t="str">
        <f t="shared" si="38"/>
        <v/>
      </c>
      <c r="V550" s="16"/>
      <c r="W550" s="34"/>
      <c r="X550" s="35"/>
    </row>
    <row r="551" spans="11:24">
      <c r="K551" s="89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78"/>
      <c r="P551" s="102"/>
      <c r="Q551" s="103"/>
      <c r="R551" s="103"/>
      <c r="S551" s="90"/>
      <c r="U551" s="49" t="str">
        <f t="shared" si="38"/>
        <v/>
      </c>
      <c r="V551" s="16"/>
      <c r="W551" s="34"/>
      <c r="X551" s="35"/>
    </row>
    <row r="552" spans="11:24">
      <c r="K552" s="89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78"/>
      <c r="P552" s="102"/>
      <c r="Q552" s="103"/>
      <c r="R552" s="103"/>
      <c r="S552" s="90"/>
      <c r="U552" s="49" t="str">
        <f t="shared" si="38"/>
        <v/>
      </c>
      <c r="V552" s="16"/>
      <c r="W552" s="34"/>
      <c r="X552" s="35"/>
    </row>
    <row r="553" spans="11:24">
      <c r="K553" s="89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78"/>
      <c r="P553" s="102"/>
      <c r="Q553" s="103"/>
      <c r="R553" s="103"/>
      <c r="S553" s="90"/>
      <c r="U553" s="49" t="str">
        <f t="shared" si="38"/>
        <v/>
      </c>
      <c r="V553" s="16"/>
      <c r="W553" s="34"/>
      <c r="X553" s="35"/>
    </row>
    <row r="554" spans="11:24">
      <c r="K554" s="89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78"/>
      <c r="P554" s="102"/>
      <c r="Q554" s="103"/>
      <c r="R554" s="103"/>
      <c r="S554" s="90"/>
      <c r="U554" s="49" t="str">
        <f t="shared" si="38"/>
        <v/>
      </c>
      <c r="V554" s="16"/>
      <c r="W554" s="34"/>
      <c r="X554" s="35"/>
    </row>
    <row r="555" spans="11:24">
      <c r="K555" s="89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78"/>
      <c r="P555" s="102"/>
      <c r="Q555" s="103"/>
      <c r="R555" s="103"/>
      <c r="S555" s="90"/>
      <c r="U555" s="49" t="str">
        <f t="shared" si="38"/>
        <v/>
      </c>
      <c r="V555" s="16"/>
      <c r="W555" s="34"/>
      <c r="X555" s="35"/>
    </row>
    <row r="556" spans="11:24">
      <c r="K556" s="89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78"/>
      <c r="P556" s="102"/>
      <c r="Q556" s="103"/>
      <c r="R556" s="103"/>
      <c r="S556" s="90"/>
      <c r="U556" s="49" t="str">
        <f t="shared" si="38"/>
        <v/>
      </c>
      <c r="V556" s="16"/>
      <c r="W556" s="34"/>
      <c r="X556" s="35"/>
    </row>
    <row r="557" spans="11:24">
      <c r="K557" s="89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78"/>
      <c r="P557" s="102"/>
      <c r="Q557" s="103"/>
      <c r="R557" s="103"/>
      <c r="S557" s="90"/>
      <c r="U557" s="49" t="str">
        <f t="shared" si="38"/>
        <v/>
      </c>
      <c r="V557" s="16"/>
      <c r="W557" s="34"/>
      <c r="X557" s="35"/>
    </row>
    <row r="558" spans="11:24">
      <c r="K558" s="89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78"/>
      <c r="P558" s="102"/>
      <c r="Q558" s="103"/>
      <c r="R558" s="103"/>
      <c r="S558" s="90"/>
      <c r="U558" s="49" t="str">
        <f t="shared" si="38"/>
        <v/>
      </c>
      <c r="V558" s="16"/>
      <c r="W558" s="34"/>
      <c r="X558" s="35"/>
    </row>
    <row r="559" spans="11:24">
      <c r="K559" s="89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78"/>
      <c r="P559" s="102"/>
      <c r="Q559" s="103"/>
      <c r="R559" s="103"/>
      <c r="S559" s="90"/>
      <c r="U559" s="49" t="str">
        <f t="shared" si="38"/>
        <v/>
      </c>
      <c r="V559" s="16"/>
      <c r="W559" s="34"/>
      <c r="X559" s="35"/>
    </row>
    <row r="560" spans="11:24">
      <c r="K560" s="89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78"/>
      <c r="P560" s="102"/>
      <c r="Q560" s="103"/>
      <c r="R560" s="103"/>
      <c r="S560" s="90"/>
      <c r="U560" s="49" t="str">
        <f t="shared" si="38"/>
        <v/>
      </c>
      <c r="V560" s="16"/>
      <c r="W560" s="34"/>
      <c r="X560" s="35"/>
    </row>
    <row r="561" spans="11:24">
      <c r="K561" s="89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78"/>
      <c r="P561" s="102"/>
      <c r="Q561" s="103"/>
      <c r="R561" s="103"/>
      <c r="S561" s="90"/>
      <c r="U561" s="49" t="str">
        <f t="shared" si="38"/>
        <v/>
      </c>
      <c r="V561" s="16"/>
      <c r="W561" s="34"/>
      <c r="X561" s="35"/>
    </row>
    <row r="562" spans="11:24">
      <c r="K562" s="89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78"/>
      <c r="P562" s="102"/>
      <c r="Q562" s="103"/>
      <c r="R562" s="103"/>
      <c r="S562" s="90"/>
      <c r="U562" s="49" t="str">
        <f t="shared" si="38"/>
        <v/>
      </c>
      <c r="V562" s="16"/>
      <c r="W562" s="34"/>
      <c r="X562" s="35"/>
    </row>
    <row r="563" spans="11:24">
      <c r="K563" s="89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78"/>
      <c r="P563" s="102"/>
      <c r="Q563" s="103"/>
      <c r="R563" s="103"/>
      <c r="S563" s="90"/>
      <c r="U563" s="49" t="str">
        <f t="shared" si="38"/>
        <v/>
      </c>
      <c r="V563" s="16"/>
      <c r="W563" s="34"/>
      <c r="X563" s="35"/>
    </row>
    <row r="564" spans="11:24">
      <c r="K564" s="89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78"/>
      <c r="P564" s="102"/>
      <c r="Q564" s="103"/>
      <c r="R564" s="103"/>
      <c r="S564" s="90"/>
      <c r="U564" s="49" t="str">
        <f t="shared" si="38"/>
        <v/>
      </c>
      <c r="V564" s="16"/>
      <c r="W564" s="34"/>
      <c r="X564" s="35"/>
    </row>
    <row r="565" spans="11:24">
      <c r="K565" s="89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78"/>
      <c r="P565" s="102"/>
      <c r="Q565" s="103"/>
      <c r="R565" s="103"/>
      <c r="S565" s="90"/>
      <c r="U565" s="49" t="str">
        <f t="shared" si="38"/>
        <v/>
      </c>
      <c r="V565" s="16"/>
      <c r="W565" s="34"/>
      <c r="X565" s="35"/>
    </row>
    <row r="566" spans="11:24">
      <c r="K566" s="89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78"/>
      <c r="P566" s="102"/>
      <c r="Q566" s="103"/>
      <c r="R566" s="103"/>
      <c r="S566" s="90"/>
      <c r="U566" s="49" t="str">
        <f t="shared" si="38"/>
        <v/>
      </c>
      <c r="V566" s="16"/>
      <c r="W566" s="34"/>
      <c r="X566" s="35"/>
    </row>
    <row r="567" spans="11:24">
      <c r="K567" s="89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78"/>
      <c r="P567" s="102"/>
      <c r="Q567" s="103"/>
      <c r="R567" s="103"/>
      <c r="S567" s="90"/>
      <c r="U567" s="49" t="str">
        <f t="shared" si="38"/>
        <v/>
      </c>
      <c r="V567" s="16"/>
      <c r="W567" s="34"/>
      <c r="X567" s="35"/>
    </row>
    <row r="568" spans="11:24">
      <c r="K568" s="89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78"/>
      <c r="P568" s="102"/>
      <c r="Q568" s="103"/>
      <c r="R568" s="103"/>
      <c r="S568" s="90"/>
      <c r="U568" s="49" t="str">
        <f t="shared" si="38"/>
        <v/>
      </c>
      <c r="V568" s="16"/>
      <c r="W568" s="34"/>
      <c r="X568" s="35"/>
    </row>
    <row r="569" spans="11:24">
      <c r="K569" s="89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78"/>
      <c r="P569" s="102"/>
      <c r="Q569" s="103"/>
      <c r="R569" s="103"/>
      <c r="S569" s="90"/>
      <c r="U569" s="49" t="str">
        <f t="shared" si="38"/>
        <v/>
      </c>
      <c r="V569" s="16"/>
      <c r="W569" s="34"/>
      <c r="X569" s="35"/>
    </row>
    <row r="570" spans="11:24">
      <c r="K570" s="89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78"/>
      <c r="P570" s="102"/>
      <c r="Q570" s="103"/>
      <c r="R570" s="103"/>
      <c r="S570" s="90"/>
      <c r="U570" s="49" t="str">
        <f t="shared" si="38"/>
        <v/>
      </c>
      <c r="V570" s="16"/>
      <c r="W570" s="34"/>
      <c r="X570" s="35"/>
    </row>
    <row r="571" spans="11:24">
      <c r="K571" s="89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78"/>
      <c r="P571" s="102"/>
      <c r="Q571" s="103"/>
      <c r="R571" s="103"/>
      <c r="S571" s="90"/>
      <c r="U571" s="49" t="str">
        <f t="shared" si="38"/>
        <v/>
      </c>
      <c r="V571" s="16"/>
      <c r="W571" s="34"/>
      <c r="X571" s="35"/>
    </row>
    <row r="572" spans="11:24">
      <c r="K572" s="89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78"/>
      <c r="P572" s="102"/>
      <c r="Q572" s="103"/>
      <c r="R572" s="103"/>
      <c r="S572" s="90"/>
      <c r="U572" s="49" t="str">
        <f t="shared" si="38"/>
        <v/>
      </c>
      <c r="V572" s="16"/>
      <c r="W572" s="34"/>
      <c r="X572" s="35"/>
    </row>
    <row r="573" spans="11:24">
      <c r="K573" s="89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78"/>
      <c r="P573" s="102"/>
      <c r="Q573" s="103"/>
      <c r="R573" s="103"/>
      <c r="S573" s="90"/>
      <c r="U573" s="49" t="str">
        <f t="shared" si="38"/>
        <v/>
      </c>
      <c r="V573" s="16"/>
      <c r="W573" s="34"/>
      <c r="X573" s="35"/>
    </row>
    <row r="574" spans="11:24">
      <c r="K574" s="89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78"/>
      <c r="P574" s="102"/>
      <c r="Q574" s="103"/>
      <c r="R574" s="103"/>
      <c r="S574" s="90"/>
      <c r="U574" s="49" t="str">
        <f t="shared" si="38"/>
        <v/>
      </c>
      <c r="V574" s="16"/>
      <c r="W574" s="34"/>
      <c r="X574" s="35"/>
    </row>
    <row r="575" spans="11:24">
      <c r="K575" s="89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78"/>
      <c r="P575" s="102"/>
      <c r="Q575" s="103"/>
      <c r="R575" s="103"/>
      <c r="S575" s="90"/>
      <c r="U575" s="49" t="str">
        <f t="shared" si="38"/>
        <v/>
      </c>
      <c r="V575" s="16"/>
      <c r="W575" s="34"/>
      <c r="X575" s="35"/>
    </row>
    <row r="576" spans="11:24">
      <c r="K576" s="89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78"/>
      <c r="P576" s="102"/>
      <c r="Q576" s="103"/>
      <c r="R576" s="103"/>
      <c r="S576" s="90"/>
      <c r="U576" s="49" t="str">
        <f t="shared" si="38"/>
        <v/>
      </c>
      <c r="V576" s="16"/>
      <c r="W576" s="34"/>
      <c r="X576" s="35"/>
    </row>
    <row r="577" spans="11:24">
      <c r="K577" s="89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78"/>
      <c r="P577" s="102"/>
      <c r="Q577" s="103"/>
      <c r="R577" s="103"/>
      <c r="S577" s="90"/>
      <c r="U577" s="49" t="str">
        <f t="shared" si="38"/>
        <v/>
      </c>
      <c r="V577" s="16"/>
      <c r="W577" s="34"/>
      <c r="X577" s="35"/>
    </row>
    <row r="578" spans="11:24">
      <c r="K578" s="89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78"/>
      <c r="P578" s="102"/>
      <c r="Q578" s="103"/>
      <c r="R578" s="103"/>
      <c r="S578" s="90"/>
      <c r="U578" s="49" t="str">
        <f t="shared" si="38"/>
        <v/>
      </c>
      <c r="V578" s="16"/>
      <c r="W578" s="34"/>
      <c r="X578" s="35"/>
    </row>
    <row r="579" spans="11:24">
      <c r="K579" s="89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78"/>
      <c r="P579" s="102"/>
      <c r="Q579" s="103"/>
      <c r="R579" s="103"/>
      <c r="S579" s="90"/>
      <c r="U579" s="49" t="str">
        <f t="shared" si="38"/>
        <v/>
      </c>
      <c r="V579" s="16"/>
      <c r="W579" s="34"/>
      <c r="X579" s="35"/>
    </row>
    <row r="580" spans="11:24">
      <c r="K580" s="89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78"/>
      <c r="P580" s="102"/>
      <c r="Q580" s="103"/>
      <c r="R580" s="103"/>
      <c r="S580" s="90"/>
      <c r="U580" s="49" t="str">
        <f t="shared" si="38"/>
        <v/>
      </c>
      <c r="V580" s="16"/>
      <c r="W580" s="34"/>
      <c r="X580" s="35"/>
    </row>
    <row r="581" spans="11:24">
      <c r="K581" s="89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78"/>
      <c r="P581" s="102"/>
      <c r="Q581" s="103"/>
      <c r="R581" s="103"/>
      <c r="S581" s="90"/>
      <c r="U581" s="49" t="str">
        <f t="shared" si="38"/>
        <v/>
      </c>
      <c r="V581" s="16"/>
      <c r="W581" s="34"/>
      <c r="X581" s="35"/>
    </row>
    <row r="582" spans="11:24">
      <c r="K582" s="89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78"/>
      <c r="P582" s="102"/>
      <c r="Q582" s="103"/>
      <c r="R582" s="103"/>
      <c r="S582" s="90"/>
      <c r="U582" s="49" t="str">
        <f t="shared" si="38"/>
        <v/>
      </c>
      <c r="V582" s="16"/>
      <c r="W582" s="34"/>
      <c r="X582" s="35"/>
    </row>
    <row r="583" spans="11:24">
      <c r="K583" s="89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78"/>
      <c r="P583" s="102"/>
      <c r="Q583" s="103"/>
      <c r="R583" s="103"/>
      <c r="S583" s="90"/>
      <c r="U583" s="49" t="str">
        <f t="shared" si="38"/>
        <v/>
      </c>
      <c r="V583" s="16"/>
      <c r="W583" s="34"/>
      <c r="X583" s="35"/>
    </row>
    <row r="584" spans="11:24">
      <c r="K584" s="89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78"/>
      <c r="P584" s="102"/>
      <c r="Q584" s="103"/>
      <c r="R584" s="103"/>
      <c r="S584" s="90"/>
      <c r="U584" s="49" t="str">
        <f t="shared" si="38"/>
        <v/>
      </c>
      <c r="V584" s="16"/>
      <c r="W584" s="34"/>
      <c r="X584" s="35"/>
    </row>
    <row r="585" spans="11:24">
      <c r="K585" s="89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78"/>
      <c r="P586" s="102"/>
      <c r="Q586" s="103"/>
      <c r="R586" s="103"/>
      <c r="S586" s="90"/>
      <c r="U586" s="49" t="str">
        <f t="shared" si="42"/>
        <v/>
      </c>
      <c r="V586" s="16"/>
      <c r="W586" s="34"/>
      <c r="X586" s="35"/>
    </row>
    <row r="587" spans="11:24">
      <c r="K587" s="89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78"/>
      <c r="P587" s="102"/>
      <c r="Q587" s="103"/>
      <c r="R587" s="103"/>
      <c r="S587" s="90"/>
      <c r="U587" s="49" t="str">
        <f t="shared" si="42"/>
        <v/>
      </c>
      <c r="V587" s="16"/>
      <c r="W587" s="34"/>
      <c r="X587" s="35"/>
    </row>
    <row r="588" spans="11:24">
      <c r="K588" s="89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78"/>
      <c r="P588" s="102"/>
      <c r="Q588" s="103"/>
      <c r="R588" s="103"/>
      <c r="S588" s="90"/>
      <c r="U588" s="49" t="str">
        <f t="shared" si="42"/>
        <v/>
      </c>
      <c r="V588" s="16"/>
      <c r="W588" s="34"/>
      <c r="X588" s="35"/>
    </row>
    <row r="589" spans="11:24">
      <c r="K589" s="89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78"/>
      <c r="P589" s="102"/>
      <c r="Q589" s="103"/>
      <c r="R589" s="103"/>
      <c r="S589" s="90"/>
      <c r="U589" s="49" t="str">
        <f t="shared" si="42"/>
        <v/>
      </c>
      <c r="V589" s="16"/>
      <c r="W589" s="34"/>
      <c r="X589" s="35"/>
    </row>
    <row r="590" spans="11:24">
      <c r="K590" s="89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78"/>
      <c r="P590" s="102"/>
      <c r="Q590" s="103"/>
      <c r="R590" s="103"/>
      <c r="S590" s="90"/>
      <c r="U590" s="49" t="str">
        <f t="shared" si="42"/>
        <v/>
      </c>
      <c r="V590" s="16"/>
      <c r="W590" s="34"/>
      <c r="X590" s="35"/>
    </row>
    <row r="591" spans="11:24">
      <c r="K591" s="89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78"/>
      <c r="P591" s="102"/>
      <c r="Q591" s="103"/>
      <c r="R591" s="103"/>
      <c r="S591" s="90"/>
      <c r="U591" s="49" t="str">
        <f t="shared" si="42"/>
        <v/>
      </c>
      <c r="V591" s="16"/>
      <c r="W591" s="34"/>
      <c r="X591" s="35"/>
    </row>
    <row r="592" spans="11:24">
      <c r="K592" s="89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78"/>
      <c r="P592" s="102"/>
      <c r="Q592" s="103"/>
      <c r="R592" s="103"/>
      <c r="S592" s="90"/>
      <c r="U592" s="49" t="str">
        <f t="shared" si="42"/>
        <v/>
      </c>
      <c r="V592" s="16"/>
      <c r="W592" s="34"/>
      <c r="X592" s="35"/>
    </row>
    <row r="593" spans="11:24">
      <c r="K593" s="89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78"/>
      <c r="P593" s="102"/>
      <c r="Q593" s="103"/>
      <c r="R593" s="103"/>
      <c r="S593" s="90"/>
      <c r="U593" s="49" t="str">
        <f t="shared" si="42"/>
        <v/>
      </c>
      <c r="V593" s="16"/>
      <c r="W593" s="34"/>
      <c r="X593" s="35"/>
    </row>
    <row r="594" spans="11:24">
      <c r="K594" s="89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78"/>
      <c r="P594" s="102"/>
      <c r="Q594" s="103"/>
      <c r="R594" s="103"/>
      <c r="S594" s="90"/>
      <c r="U594" s="49" t="str">
        <f t="shared" si="42"/>
        <v/>
      </c>
      <c r="V594" s="16"/>
      <c r="W594" s="34"/>
      <c r="X594" s="35"/>
    </row>
    <row r="595" spans="11:24">
      <c r="K595" s="89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78"/>
      <c r="P595" s="102"/>
      <c r="Q595" s="103"/>
      <c r="R595" s="103"/>
      <c r="S595" s="90"/>
      <c r="U595" s="49" t="str">
        <f t="shared" si="42"/>
        <v/>
      </c>
      <c r="V595" s="16"/>
      <c r="W595" s="34"/>
      <c r="X595" s="35"/>
    </row>
    <row r="596" spans="11:24">
      <c r="K596" s="89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78"/>
      <c r="P596" s="102"/>
      <c r="Q596" s="103"/>
      <c r="R596" s="103"/>
      <c r="S596" s="90"/>
      <c r="U596" s="49" t="str">
        <f t="shared" si="42"/>
        <v/>
      </c>
      <c r="V596" s="16"/>
      <c r="W596" s="34"/>
      <c r="X596" s="35"/>
    </row>
    <row r="597" spans="11:24">
      <c r="K597" s="89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78"/>
      <c r="P597" s="102"/>
      <c r="Q597" s="103"/>
      <c r="R597" s="103"/>
      <c r="S597" s="90"/>
      <c r="U597" s="49" t="str">
        <f t="shared" si="42"/>
        <v/>
      </c>
      <c r="V597" s="16"/>
      <c r="W597" s="34"/>
      <c r="X597" s="35"/>
    </row>
    <row r="598" spans="11:24">
      <c r="K598" s="89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78"/>
      <c r="P598" s="102"/>
      <c r="Q598" s="103"/>
      <c r="R598" s="103"/>
      <c r="S598" s="90"/>
      <c r="U598" s="49" t="str">
        <f t="shared" si="42"/>
        <v/>
      </c>
      <c r="V598" s="16"/>
      <c r="W598" s="34"/>
      <c r="X598" s="35"/>
    </row>
    <row r="599" spans="11:24">
      <c r="K599" s="89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78"/>
      <c r="P599" s="102"/>
      <c r="Q599" s="103"/>
      <c r="R599" s="103"/>
      <c r="S599" s="90"/>
      <c r="U599" s="49" t="str">
        <f t="shared" si="42"/>
        <v/>
      </c>
      <c r="V599" s="16"/>
      <c r="W599" s="34"/>
      <c r="X599" s="35"/>
    </row>
    <row r="600" spans="11:24">
      <c r="K600" s="89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78"/>
      <c r="P600" s="102"/>
      <c r="Q600" s="103"/>
      <c r="R600" s="103"/>
      <c r="S600" s="90"/>
      <c r="U600" s="49" t="str">
        <f t="shared" si="42"/>
        <v/>
      </c>
      <c r="V600" s="16"/>
      <c r="W600" s="34"/>
      <c r="X600" s="35"/>
    </row>
    <row r="601" spans="11:24">
      <c r="K601" s="89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78"/>
      <c r="P601" s="102"/>
      <c r="Q601" s="103"/>
      <c r="R601" s="103"/>
      <c r="S601" s="90"/>
      <c r="U601" s="49" t="str">
        <f t="shared" si="42"/>
        <v/>
      </c>
      <c r="V601" s="16"/>
      <c r="W601" s="34"/>
      <c r="X601" s="35"/>
    </row>
    <row r="602" spans="11:24">
      <c r="K602" s="89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78"/>
      <c r="P602" s="102"/>
      <c r="Q602" s="103"/>
      <c r="R602" s="103"/>
      <c r="S602" s="90"/>
      <c r="U602" s="49" t="str">
        <f t="shared" si="42"/>
        <v/>
      </c>
      <c r="V602" s="16"/>
      <c r="W602" s="34"/>
      <c r="X602" s="35"/>
    </row>
    <row r="603" spans="11:24">
      <c r="K603" s="89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78"/>
      <c r="P603" s="102"/>
      <c r="Q603" s="103"/>
      <c r="R603" s="103"/>
      <c r="S603" s="90"/>
      <c r="U603" s="49" t="str">
        <f t="shared" si="42"/>
        <v/>
      </c>
      <c r="V603" s="16"/>
      <c r="W603" s="34"/>
      <c r="X603" s="35"/>
    </row>
    <row r="604" spans="11:24">
      <c r="K604" s="89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78"/>
      <c r="P604" s="102"/>
      <c r="Q604" s="103"/>
      <c r="R604" s="103"/>
      <c r="S604" s="90"/>
      <c r="U604" s="49" t="str">
        <f t="shared" si="42"/>
        <v/>
      </c>
      <c r="V604" s="16"/>
      <c r="W604" s="34"/>
      <c r="X604" s="35"/>
    </row>
    <row r="605" spans="11:24">
      <c r="K605" s="89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78"/>
      <c r="P605" s="102"/>
      <c r="Q605" s="103"/>
      <c r="R605" s="103"/>
      <c r="S605" s="90"/>
      <c r="U605" s="49" t="str">
        <f t="shared" si="42"/>
        <v/>
      </c>
      <c r="V605" s="16"/>
      <c r="W605" s="34"/>
      <c r="X605" s="35"/>
    </row>
    <row r="606" spans="11:24">
      <c r="K606" s="89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78"/>
      <c r="P606" s="102"/>
      <c r="Q606" s="103"/>
      <c r="R606" s="103"/>
      <c r="S606" s="90"/>
      <c r="U606" s="49" t="str">
        <f t="shared" si="42"/>
        <v/>
      </c>
      <c r="V606" s="16"/>
      <c r="W606" s="34"/>
      <c r="X606" s="35"/>
    </row>
    <row r="607" spans="11:24">
      <c r="K607" s="89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78"/>
      <c r="P607" s="102"/>
      <c r="Q607" s="103"/>
      <c r="R607" s="103"/>
      <c r="S607" s="90"/>
      <c r="U607" s="49" t="str">
        <f t="shared" si="42"/>
        <v/>
      </c>
      <c r="V607" s="16"/>
      <c r="W607" s="34"/>
      <c r="X607" s="35"/>
    </row>
    <row r="608" spans="11:24">
      <c r="K608" s="89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78"/>
      <c r="P608" s="102"/>
      <c r="Q608" s="103"/>
      <c r="R608" s="103"/>
      <c r="S608" s="90"/>
      <c r="U608" s="49" t="str">
        <f t="shared" si="42"/>
        <v/>
      </c>
      <c r="V608" s="16"/>
      <c r="W608" s="34"/>
      <c r="X608" s="35"/>
    </row>
    <row r="609" spans="11:24">
      <c r="K609" s="89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78"/>
      <c r="P609" s="102"/>
      <c r="Q609" s="103"/>
      <c r="R609" s="103"/>
      <c r="S609" s="90"/>
      <c r="U609" s="49" t="str">
        <f t="shared" si="42"/>
        <v/>
      </c>
      <c r="V609" s="16"/>
      <c r="W609" s="34"/>
      <c r="X609" s="35"/>
    </row>
    <row r="610" spans="11:24">
      <c r="K610" s="89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78"/>
      <c r="P610" s="102"/>
      <c r="Q610" s="103"/>
      <c r="R610" s="103"/>
      <c r="S610" s="90"/>
      <c r="U610" s="49" t="str">
        <f t="shared" si="42"/>
        <v/>
      </c>
      <c r="V610" s="16"/>
      <c r="W610" s="34"/>
      <c r="X610" s="35"/>
    </row>
    <row r="611" spans="11:24">
      <c r="K611" s="89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78"/>
      <c r="P611" s="102"/>
      <c r="Q611" s="103"/>
      <c r="R611" s="103"/>
      <c r="S611" s="90"/>
      <c r="U611" s="49" t="str">
        <f t="shared" si="42"/>
        <v/>
      </c>
      <c r="V611" s="16"/>
      <c r="W611" s="34"/>
      <c r="X611" s="35"/>
    </row>
    <row r="612" spans="11:24">
      <c r="K612" s="89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78"/>
      <c r="P612" s="102"/>
      <c r="Q612" s="103"/>
      <c r="R612" s="103"/>
      <c r="S612" s="90"/>
      <c r="U612" s="49" t="str">
        <f t="shared" si="42"/>
        <v/>
      </c>
      <c r="V612" s="16"/>
      <c r="W612" s="34"/>
      <c r="X612" s="35"/>
    </row>
    <row r="613" spans="11:24">
      <c r="K613" s="89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78"/>
      <c r="P613" s="102"/>
      <c r="Q613" s="103"/>
      <c r="R613" s="103"/>
      <c r="S613" s="90"/>
      <c r="U613" s="49" t="str">
        <f t="shared" si="42"/>
        <v/>
      </c>
      <c r="V613" s="16"/>
      <c r="W613" s="34"/>
      <c r="X613" s="35"/>
    </row>
    <row r="614" spans="11:24">
      <c r="K614" s="89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78"/>
      <c r="P614" s="102"/>
      <c r="Q614" s="103"/>
      <c r="R614" s="103"/>
      <c r="S614" s="90"/>
      <c r="U614" s="49" t="str">
        <f t="shared" si="42"/>
        <v/>
      </c>
      <c r="V614" s="16"/>
      <c r="W614" s="34"/>
      <c r="X614" s="35"/>
    </row>
    <row r="615" spans="11:24">
      <c r="K615" s="89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78"/>
      <c r="P615" s="102"/>
      <c r="Q615" s="103"/>
      <c r="R615" s="103"/>
      <c r="S615" s="90"/>
      <c r="U615" s="49" t="str">
        <f t="shared" si="42"/>
        <v/>
      </c>
      <c r="V615" s="16"/>
      <c r="W615" s="34"/>
      <c r="X615" s="35"/>
    </row>
    <row r="616" spans="11:24">
      <c r="K616" s="89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78"/>
      <c r="P616" s="102"/>
      <c r="Q616" s="103"/>
      <c r="R616" s="103"/>
      <c r="S616" s="90"/>
      <c r="U616" s="49" t="str">
        <f t="shared" si="42"/>
        <v/>
      </c>
      <c r="V616" s="16"/>
      <c r="W616" s="34"/>
      <c r="X616" s="35"/>
    </row>
    <row r="617" spans="11:24">
      <c r="K617" s="89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78"/>
      <c r="P617" s="102"/>
      <c r="Q617" s="103"/>
      <c r="R617" s="103"/>
      <c r="S617" s="90"/>
      <c r="U617" s="49" t="str">
        <f t="shared" si="42"/>
        <v/>
      </c>
      <c r="V617" s="16"/>
      <c r="W617" s="34"/>
      <c r="X617" s="35"/>
    </row>
    <row r="618" spans="11:24">
      <c r="K618" s="89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78"/>
      <c r="P618" s="102"/>
      <c r="Q618" s="103"/>
      <c r="R618" s="103"/>
      <c r="S618" s="90"/>
      <c r="U618" s="49" t="str">
        <f t="shared" si="42"/>
        <v/>
      </c>
      <c r="V618" s="16"/>
      <c r="W618" s="34"/>
      <c r="X618" s="35"/>
    </row>
    <row r="619" spans="11:24">
      <c r="K619" s="89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78"/>
      <c r="P619" s="102"/>
      <c r="Q619" s="103"/>
      <c r="R619" s="103"/>
      <c r="S619" s="90"/>
      <c r="U619" s="49" t="str">
        <f t="shared" si="42"/>
        <v/>
      </c>
      <c r="V619" s="16"/>
      <c r="W619" s="34"/>
      <c r="X619" s="35"/>
    </row>
    <row r="620" spans="11:24">
      <c r="K620" s="89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78"/>
      <c r="P620" s="102"/>
      <c r="Q620" s="103"/>
      <c r="R620" s="103"/>
      <c r="S620" s="90"/>
      <c r="U620" s="49" t="str">
        <f t="shared" si="42"/>
        <v/>
      </c>
      <c r="V620" s="16"/>
      <c r="W620" s="34"/>
      <c r="X620" s="35"/>
    </row>
    <row r="621" spans="11:24">
      <c r="K621" s="89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78"/>
      <c r="P621" s="102"/>
      <c r="Q621" s="103"/>
      <c r="R621" s="103"/>
      <c r="S621" s="90"/>
      <c r="U621" s="49" t="str">
        <f t="shared" si="42"/>
        <v/>
      </c>
      <c r="V621" s="16"/>
      <c r="W621" s="34"/>
      <c r="X621" s="35"/>
    </row>
    <row r="622" spans="11:24">
      <c r="K622" s="89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78"/>
      <c r="P622" s="102"/>
      <c r="Q622" s="103"/>
      <c r="R622" s="103"/>
      <c r="S622" s="90"/>
      <c r="U622" s="49" t="str">
        <f t="shared" si="42"/>
        <v/>
      </c>
      <c r="V622" s="16"/>
      <c r="W622" s="34"/>
      <c r="X622" s="35"/>
    </row>
    <row r="623" spans="11:24">
      <c r="K623" s="89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78"/>
      <c r="P623" s="102"/>
      <c r="Q623" s="103"/>
      <c r="R623" s="103"/>
      <c r="S623" s="90"/>
      <c r="U623" s="49" t="str">
        <f t="shared" si="42"/>
        <v/>
      </c>
      <c r="V623" s="16"/>
      <c r="W623" s="34"/>
      <c r="X623" s="35"/>
    </row>
    <row r="624" spans="11:24">
      <c r="K624" s="89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78"/>
      <c r="P624" s="102"/>
      <c r="Q624" s="103"/>
      <c r="R624" s="103"/>
      <c r="S624" s="90"/>
      <c r="U624" s="49" t="str">
        <f t="shared" si="42"/>
        <v/>
      </c>
      <c r="V624" s="16"/>
      <c r="W624" s="34"/>
      <c r="X624" s="35"/>
    </row>
    <row r="625" spans="11:24">
      <c r="K625" s="89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78"/>
      <c r="P625" s="102"/>
      <c r="Q625" s="103"/>
      <c r="R625" s="103"/>
      <c r="S625" s="90"/>
      <c r="U625" s="49" t="str">
        <f t="shared" si="42"/>
        <v/>
      </c>
      <c r="V625" s="16"/>
      <c r="W625" s="34"/>
      <c r="X625" s="35"/>
    </row>
    <row r="626" spans="11:24">
      <c r="K626" s="89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78"/>
      <c r="P626" s="102"/>
      <c r="Q626" s="103"/>
      <c r="R626" s="103"/>
      <c r="S626" s="90"/>
      <c r="U626" s="49" t="str">
        <f t="shared" si="42"/>
        <v/>
      </c>
      <c r="V626" s="16"/>
      <c r="W626" s="34"/>
      <c r="X626" s="35"/>
    </row>
    <row r="627" spans="11:24">
      <c r="K627" s="89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78"/>
      <c r="P627" s="102"/>
      <c r="Q627" s="103"/>
      <c r="R627" s="103"/>
      <c r="S627" s="90"/>
      <c r="U627" s="49" t="str">
        <f t="shared" si="42"/>
        <v/>
      </c>
      <c r="V627" s="16"/>
      <c r="W627" s="34"/>
      <c r="X627" s="35"/>
    </row>
    <row r="628" spans="11:24">
      <c r="K628" s="89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78"/>
      <c r="P628" s="102"/>
      <c r="Q628" s="103"/>
      <c r="R628" s="103"/>
      <c r="S628" s="90"/>
      <c r="U628" s="49" t="str">
        <f t="shared" si="42"/>
        <v/>
      </c>
      <c r="V628" s="16"/>
      <c r="W628" s="34"/>
      <c r="X628" s="35"/>
    </row>
    <row r="629" spans="11:24">
      <c r="K629" s="89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78"/>
      <c r="P629" s="102"/>
      <c r="Q629" s="103"/>
      <c r="R629" s="103"/>
      <c r="S629" s="90"/>
      <c r="U629" s="49" t="str">
        <f t="shared" si="42"/>
        <v/>
      </c>
      <c r="V629" s="16"/>
      <c r="W629" s="34"/>
      <c r="X629" s="35"/>
    </row>
    <row r="630" spans="11:24">
      <c r="K630" s="89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78"/>
      <c r="P630" s="102"/>
      <c r="Q630" s="103"/>
      <c r="R630" s="103"/>
      <c r="S630" s="90"/>
      <c r="U630" s="49" t="str">
        <f t="shared" si="42"/>
        <v/>
      </c>
      <c r="V630" s="16"/>
      <c r="W630" s="34"/>
      <c r="X630" s="35"/>
    </row>
    <row r="631" spans="11:24">
      <c r="K631" s="89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78"/>
      <c r="P631" s="102"/>
      <c r="Q631" s="103"/>
      <c r="R631" s="103"/>
      <c r="S631" s="90"/>
      <c r="U631" s="49" t="str">
        <f t="shared" si="42"/>
        <v/>
      </c>
      <c r="V631" s="16"/>
      <c r="W631" s="34"/>
      <c r="X631" s="35"/>
    </row>
    <row r="632" spans="11:24">
      <c r="K632" s="89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78"/>
      <c r="P632" s="102"/>
      <c r="Q632" s="103"/>
      <c r="R632" s="103"/>
      <c r="S632" s="90"/>
      <c r="U632" s="49" t="str">
        <f t="shared" si="42"/>
        <v/>
      </c>
      <c r="V632" s="16"/>
      <c r="W632" s="34"/>
      <c r="X632" s="35"/>
    </row>
    <row r="633" spans="11:24">
      <c r="K633" s="89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78"/>
      <c r="P633" s="102"/>
      <c r="Q633" s="103"/>
      <c r="R633" s="103"/>
      <c r="S633" s="90"/>
      <c r="U633" s="49" t="str">
        <f t="shared" si="42"/>
        <v/>
      </c>
      <c r="V633" s="16"/>
      <c r="W633" s="34"/>
      <c r="X633" s="35"/>
    </row>
    <row r="634" spans="11:24">
      <c r="K634" s="89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78"/>
      <c r="P634" s="102"/>
      <c r="Q634" s="103"/>
      <c r="R634" s="103"/>
      <c r="S634" s="90"/>
      <c r="U634" s="49" t="str">
        <f t="shared" si="42"/>
        <v/>
      </c>
      <c r="V634" s="16"/>
      <c r="W634" s="34"/>
      <c r="X634" s="35"/>
    </row>
    <row r="635" spans="11:24">
      <c r="K635" s="89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78"/>
      <c r="P635" s="102"/>
      <c r="Q635" s="103"/>
      <c r="R635" s="103"/>
      <c r="S635" s="90"/>
      <c r="U635" s="49" t="str">
        <f t="shared" si="42"/>
        <v/>
      </c>
      <c r="V635" s="16"/>
      <c r="W635" s="34"/>
      <c r="X635" s="35"/>
    </row>
    <row r="636" spans="11:24">
      <c r="K636" s="89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78"/>
      <c r="P636" s="102"/>
      <c r="Q636" s="103"/>
      <c r="R636" s="103"/>
      <c r="S636" s="90"/>
      <c r="U636" s="49" t="str">
        <f t="shared" si="42"/>
        <v/>
      </c>
      <c r="V636" s="16"/>
      <c r="W636" s="34"/>
      <c r="X636" s="35"/>
    </row>
    <row r="637" spans="11:24">
      <c r="K637" s="89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78"/>
      <c r="P637" s="102"/>
      <c r="Q637" s="103"/>
      <c r="R637" s="103"/>
      <c r="S637" s="90"/>
      <c r="U637" s="49" t="str">
        <f t="shared" si="42"/>
        <v/>
      </c>
      <c r="V637" s="16"/>
      <c r="W637" s="34"/>
      <c r="X637" s="35"/>
    </row>
    <row r="638" spans="11:24">
      <c r="K638" s="89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78"/>
      <c r="P638" s="102"/>
      <c r="Q638" s="103"/>
      <c r="R638" s="103"/>
      <c r="S638" s="90"/>
      <c r="U638" s="49" t="str">
        <f t="shared" si="42"/>
        <v/>
      </c>
      <c r="V638" s="16"/>
      <c r="W638" s="34"/>
      <c r="X638" s="35"/>
    </row>
    <row r="639" spans="11:24">
      <c r="K639" s="89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78"/>
      <c r="P639" s="102"/>
      <c r="Q639" s="103"/>
      <c r="R639" s="103"/>
      <c r="S639" s="90"/>
      <c r="U639" s="49" t="str">
        <f t="shared" si="42"/>
        <v/>
      </c>
      <c r="V639" s="16"/>
      <c r="W639" s="34"/>
      <c r="X639" s="35"/>
    </row>
    <row r="640" spans="11:24">
      <c r="K640" s="89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78"/>
      <c r="P640" s="102"/>
      <c r="Q640" s="103"/>
      <c r="R640" s="103"/>
      <c r="S640" s="90"/>
      <c r="U640" s="49" t="str">
        <f t="shared" si="42"/>
        <v/>
      </c>
      <c r="V640" s="16"/>
      <c r="W640" s="34"/>
      <c r="X640" s="35"/>
    </row>
    <row r="641" spans="11:24">
      <c r="K641" s="89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78"/>
      <c r="P641" s="102"/>
      <c r="Q641" s="103"/>
      <c r="R641" s="103"/>
      <c r="S641" s="90"/>
      <c r="U641" s="49" t="str">
        <f t="shared" si="42"/>
        <v/>
      </c>
      <c r="V641" s="16"/>
      <c r="W641" s="34"/>
      <c r="X641" s="35"/>
    </row>
    <row r="642" spans="11:24">
      <c r="K642" s="89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78"/>
      <c r="P642" s="102"/>
      <c r="Q642" s="103"/>
      <c r="R642" s="103"/>
      <c r="S642" s="90"/>
      <c r="U642" s="49" t="str">
        <f t="shared" si="42"/>
        <v/>
      </c>
      <c r="V642" s="16"/>
      <c r="W642" s="34"/>
      <c r="X642" s="35"/>
    </row>
    <row r="643" spans="11:24">
      <c r="K643" s="89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78"/>
      <c r="P643" s="102"/>
      <c r="Q643" s="103"/>
      <c r="R643" s="103"/>
      <c r="S643" s="90"/>
      <c r="U643" s="49" t="str">
        <f t="shared" si="42"/>
        <v/>
      </c>
      <c r="V643" s="16"/>
      <c r="W643" s="34"/>
      <c r="X643" s="35"/>
    </row>
    <row r="644" spans="11:24">
      <c r="K644" s="89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78"/>
      <c r="P644" s="102"/>
      <c r="Q644" s="103"/>
      <c r="R644" s="103"/>
      <c r="S644" s="90"/>
      <c r="U644" s="49" t="str">
        <f t="shared" si="42"/>
        <v/>
      </c>
      <c r="V644" s="16"/>
      <c r="W644" s="34"/>
      <c r="X644" s="35"/>
    </row>
    <row r="645" spans="11:24">
      <c r="K645" s="89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78"/>
      <c r="P645" s="102"/>
      <c r="Q645" s="103"/>
      <c r="R645" s="103"/>
      <c r="S645" s="90"/>
      <c r="U645" s="49" t="str">
        <f t="shared" si="42"/>
        <v/>
      </c>
      <c r="V645" s="16"/>
      <c r="W645" s="34"/>
      <c r="X645" s="35"/>
    </row>
    <row r="646" spans="11:24">
      <c r="K646" s="89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78"/>
      <c r="P646" s="102"/>
      <c r="Q646" s="103"/>
      <c r="R646" s="103"/>
      <c r="S646" s="90"/>
      <c r="U646" s="49" t="str">
        <f t="shared" si="42"/>
        <v/>
      </c>
      <c r="V646" s="16"/>
      <c r="W646" s="34"/>
      <c r="X646" s="35"/>
    </row>
    <row r="647" spans="11:24">
      <c r="K647" s="89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78"/>
      <c r="P647" s="102"/>
      <c r="Q647" s="103"/>
      <c r="R647" s="103"/>
      <c r="S647" s="90"/>
      <c r="U647" s="49" t="str">
        <f t="shared" si="42"/>
        <v/>
      </c>
      <c r="V647" s="16"/>
      <c r="W647" s="34"/>
      <c r="X647" s="35"/>
    </row>
    <row r="648" spans="11:24">
      <c r="K648" s="89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78"/>
      <c r="P648" s="102"/>
      <c r="Q648" s="103"/>
      <c r="R648" s="103"/>
      <c r="S648" s="90"/>
      <c r="U648" s="49" t="str">
        <f t="shared" si="42"/>
        <v/>
      </c>
      <c r="V648" s="16"/>
      <c r="W648" s="34"/>
      <c r="X648" s="35"/>
    </row>
    <row r="649" spans="11:24">
      <c r="K649" s="89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78"/>
      <c r="P650" s="102"/>
      <c r="Q650" s="103"/>
      <c r="R650" s="103"/>
      <c r="S650" s="90"/>
      <c r="U650" s="49" t="str">
        <f t="shared" si="46"/>
        <v/>
      </c>
      <c r="V650" s="16"/>
      <c r="W650" s="34"/>
      <c r="X650" s="35"/>
    </row>
    <row r="651" spans="11:24">
      <c r="K651" s="89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78"/>
      <c r="P651" s="102"/>
      <c r="Q651" s="103"/>
      <c r="R651" s="103"/>
      <c r="S651" s="90"/>
      <c r="U651" s="49" t="str">
        <f t="shared" si="46"/>
        <v/>
      </c>
      <c r="V651" s="16"/>
      <c r="W651" s="34"/>
      <c r="X651" s="35"/>
    </row>
    <row r="652" spans="11:24">
      <c r="K652" s="89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78"/>
      <c r="P652" s="102"/>
      <c r="Q652" s="103"/>
      <c r="R652" s="103"/>
      <c r="S652" s="90"/>
      <c r="U652" s="49" t="str">
        <f t="shared" si="46"/>
        <v/>
      </c>
      <c r="V652" s="16"/>
      <c r="W652" s="34"/>
      <c r="X652" s="35"/>
    </row>
    <row r="653" spans="11:24">
      <c r="K653" s="89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78"/>
      <c r="P653" s="102"/>
      <c r="Q653" s="103"/>
      <c r="R653" s="103"/>
      <c r="S653" s="90"/>
      <c r="U653" s="49" t="str">
        <f t="shared" si="46"/>
        <v/>
      </c>
      <c r="V653" s="16"/>
      <c r="W653" s="34"/>
      <c r="X653" s="35"/>
    </row>
    <row r="654" spans="11:24">
      <c r="K654" s="89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78"/>
      <c r="P654" s="102"/>
      <c r="Q654" s="103"/>
      <c r="R654" s="103"/>
      <c r="S654" s="90"/>
      <c r="U654" s="49" t="str">
        <f t="shared" si="46"/>
        <v/>
      </c>
      <c r="V654" s="16"/>
      <c r="W654" s="34"/>
      <c r="X654" s="35"/>
    </row>
    <row r="655" spans="11:24">
      <c r="K655" s="89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78"/>
      <c r="P655" s="102"/>
      <c r="Q655" s="103"/>
      <c r="R655" s="103"/>
      <c r="S655" s="90"/>
      <c r="U655" s="49" t="str">
        <f t="shared" si="46"/>
        <v/>
      </c>
      <c r="V655" s="16"/>
      <c r="W655" s="34"/>
      <c r="X655" s="35"/>
    </row>
    <row r="656" spans="11:24">
      <c r="K656" s="89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78"/>
      <c r="P656" s="102"/>
      <c r="Q656" s="103"/>
      <c r="R656" s="103"/>
      <c r="S656" s="90"/>
      <c r="U656" s="49" t="str">
        <f t="shared" si="46"/>
        <v/>
      </c>
      <c r="V656" s="16"/>
      <c r="W656" s="34"/>
      <c r="X656" s="35"/>
    </row>
    <row r="657" spans="11:24">
      <c r="K657" s="89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78"/>
      <c r="P657" s="102"/>
      <c r="Q657" s="103"/>
      <c r="R657" s="103"/>
      <c r="S657" s="90"/>
      <c r="U657" s="49" t="str">
        <f t="shared" si="46"/>
        <v/>
      </c>
      <c r="V657" s="16"/>
      <c r="W657" s="34"/>
      <c r="X657" s="35"/>
    </row>
    <row r="658" spans="11:24">
      <c r="K658" s="89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78"/>
      <c r="P658" s="102"/>
      <c r="Q658" s="103"/>
      <c r="R658" s="103"/>
      <c r="S658" s="90"/>
      <c r="U658" s="49" t="str">
        <f t="shared" si="46"/>
        <v/>
      </c>
      <c r="V658" s="16"/>
      <c r="W658" s="34"/>
      <c r="X658" s="35"/>
    </row>
    <row r="659" spans="11:24">
      <c r="K659" s="89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78"/>
      <c r="P659" s="102"/>
      <c r="Q659" s="103"/>
      <c r="R659" s="103"/>
      <c r="S659" s="90"/>
      <c r="U659" s="49" t="str">
        <f t="shared" si="46"/>
        <v/>
      </c>
      <c r="V659" s="16"/>
      <c r="W659" s="34"/>
      <c r="X659" s="35"/>
    </row>
    <row r="660" spans="11:24">
      <c r="K660" s="89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78"/>
      <c r="P660" s="102"/>
      <c r="Q660" s="103"/>
      <c r="R660" s="103"/>
      <c r="S660" s="90"/>
      <c r="U660" s="49" t="str">
        <f t="shared" si="46"/>
        <v/>
      </c>
      <c r="V660" s="16"/>
      <c r="W660" s="34"/>
      <c r="X660" s="35"/>
    </row>
    <row r="661" spans="11:24">
      <c r="K661" s="89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78"/>
      <c r="P661" s="102"/>
      <c r="Q661" s="103"/>
      <c r="R661" s="103"/>
      <c r="S661" s="90"/>
      <c r="U661" s="49" t="str">
        <f t="shared" si="46"/>
        <v/>
      </c>
      <c r="V661" s="16"/>
      <c r="W661" s="34"/>
      <c r="X661" s="35"/>
    </row>
    <row r="662" spans="11:24">
      <c r="K662" s="89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78"/>
      <c r="P662" s="102"/>
      <c r="Q662" s="103"/>
      <c r="R662" s="103"/>
      <c r="S662" s="90"/>
      <c r="U662" s="49" t="str">
        <f t="shared" si="46"/>
        <v/>
      </c>
      <c r="V662" s="16"/>
      <c r="W662" s="34"/>
      <c r="X662" s="35"/>
    </row>
    <row r="663" spans="11:24">
      <c r="K663" s="89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78"/>
      <c r="P663" s="102"/>
      <c r="Q663" s="103"/>
      <c r="R663" s="103"/>
      <c r="S663" s="90"/>
      <c r="U663" s="49" t="str">
        <f t="shared" si="46"/>
        <v/>
      </c>
      <c r="V663" s="16"/>
      <c r="W663" s="34"/>
      <c r="X663" s="35"/>
    </row>
    <row r="664" spans="11:24">
      <c r="K664" s="89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78"/>
      <c r="P664" s="102"/>
      <c r="Q664" s="103"/>
      <c r="R664" s="103"/>
      <c r="S664" s="90"/>
      <c r="U664" s="49" t="str">
        <f t="shared" si="46"/>
        <v/>
      </c>
      <c r="V664" s="16"/>
      <c r="W664" s="34"/>
      <c r="X664" s="35"/>
    </row>
    <row r="665" spans="11:24">
      <c r="K665" s="89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78"/>
      <c r="P665" s="102"/>
      <c r="Q665" s="103"/>
      <c r="R665" s="103"/>
      <c r="S665" s="90"/>
      <c r="U665" s="49" t="str">
        <f t="shared" si="46"/>
        <v/>
      </c>
      <c r="V665" s="16"/>
      <c r="W665" s="34"/>
      <c r="X665" s="35"/>
    </row>
    <row r="666" spans="11:24">
      <c r="K666" s="89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78"/>
      <c r="P666" s="102"/>
      <c r="Q666" s="103"/>
      <c r="R666" s="103"/>
      <c r="S666" s="90"/>
      <c r="U666" s="49" t="str">
        <f t="shared" si="46"/>
        <v/>
      </c>
      <c r="V666" s="16"/>
      <c r="W666" s="34"/>
      <c r="X666" s="35"/>
    </row>
    <row r="667" spans="11:24">
      <c r="K667" s="89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78"/>
      <c r="P667" s="102"/>
      <c r="Q667" s="103"/>
      <c r="R667" s="103"/>
      <c r="S667" s="90"/>
      <c r="U667" s="49" t="str">
        <f t="shared" si="46"/>
        <v/>
      </c>
      <c r="V667" s="16"/>
      <c r="W667" s="34"/>
      <c r="X667" s="35"/>
    </row>
    <row r="668" spans="11:24">
      <c r="K668" s="89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78"/>
      <c r="P668" s="102"/>
      <c r="Q668" s="103"/>
      <c r="R668" s="103"/>
      <c r="S668" s="90"/>
      <c r="U668" s="49" t="str">
        <f t="shared" si="46"/>
        <v/>
      </c>
      <c r="V668" s="16"/>
      <c r="W668" s="34"/>
      <c r="X668" s="35"/>
    </row>
    <row r="669" spans="11:24">
      <c r="K669" s="89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78"/>
      <c r="P669" s="102"/>
      <c r="Q669" s="103"/>
      <c r="R669" s="103"/>
      <c r="S669" s="90"/>
      <c r="U669" s="49" t="str">
        <f t="shared" si="46"/>
        <v/>
      </c>
      <c r="V669" s="16"/>
      <c r="W669" s="34"/>
      <c r="X669" s="35"/>
    </row>
    <row r="670" spans="11:24">
      <c r="K670" s="89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78"/>
      <c r="P670" s="102"/>
      <c r="Q670" s="103"/>
      <c r="R670" s="103"/>
      <c r="S670" s="90"/>
      <c r="U670" s="49" t="str">
        <f t="shared" si="46"/>
        <v/>
      </c>
      <c r="V670" s="16"/>
      <c r="W670" s="34"/>
      <c r="X670" s="35"/>
    </row>
    <row r="671" spans="11:24">
      <c r="K671" s="89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78"/>
      <c r="P671" s="102"/>
      <c r="Q671" s="103"/>
      <c r="R671" s="103"/>
      <c r="S671" s="90"/>
      <c r="U671" s="49" t="str">
        <f t="shared" si="46"/>
        <v/>
      </c>
      <c r="V671" s="16"/>
      <c r="W671" s="34"/>
      <c r="X671" s="35"/>
    </row>
    <row r="672" spans="11:24">
      <c r="K672" s="89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78"/>
      <c r="P672" s="102"/>
      <c r="Q672" s="103"/>
      <c r="R672" s="103"/>
      <c r="S672" s="90"/>
      <c r="U672" s="49" t="str">
        <f t="shared" si="46"/>
        <v/>
      </c>
      <c r="V672" s="16"/>
      <c r="W672" s="34"/>
      <c r="X672" s="35"/>
    </row>
    <row r="673" spans="11:24">
      <c r="K673" s="89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78"/>
      <c r="P673" s="102"/>
      <c r="Q673" s="103"/>
      <c r="R673" s="103"/>
      <c r="S673" s="90"/>
      <c r="U673" s="49" t="str">
        <f t="shared" si="46"/>
        <v/>
      </c>
      <c r="V673" s="16"/>
      <c r="W673" s="34"/>
      <c r="X673" s="35"/>
    </row>
    <row r="674" spans="11:24">
      <c r="K674" s="89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78"/>
      <c r="P674" s="102"/>
      <c r="Q674" s="103"/>
      <c r="R674" s="103"/>
      <c r="S674" s="90"/>
      <c r="U674" s="49" t="str">
        <f t="shared" si="46"/>
        <v/>
      </c>
      <c r="V674" s="16"/>
      <c r="W674" s="34"/>
      <c r="X674" s="35"/>
    </row>
    <row r="675" spans="11:24">
      <c r="K675" s="89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78"/>
      <c r="P675" s="102"/>
      <c r="Q675" s="103"/>
      <c r="R675" s="103"/>
      <c r="S675" s="90"/>
      <c r="U675" s="49" t="str">
        <f t="shared" si="46"/>
        <v/>
      </c>
      <c r="V675" s="16"/>
      <c r="W675" s="34"/>
      <c r="X675" s="35"/>
    </row>
    <row r="676" spans="11:24">
      <c r="K676" s="89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78"/>
      <c r="P676" s="102"/>
      <c r="Q676" s="103"/>
      <c r="R676" s="103"/>
      <c r="S676" s="90"/>
      <c r="U676" s="49" t="str">
        <f t="shared" si="46"/>
        <v/>
      </c>
      <c r="V676" s="16"/>
      <c r="W676" s="34"/>
      <c r="X676" s="35"/>
    </row>
    <row r="677" spans="11:24">
      <c r="K677" s="89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78"/>
      <c r="P677" s="102"/>
      <c r="Q677" s="103"/>
      <c r="R677" s="103"/>
      <c r="S677" s="90"/>
      <c r="U677" s="49" t="str">
        <f t="shared" si="46"/>
        <v/>
      </c>
      <c r="V677" s="16"/>
      <c r="W677" s="34"/>
      <c r="X677" s="35"/>
    </row>
    <row r="678" spans="11:24">
      <c r="K678" s="89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78"/>
      <c r="P678" s="102"/>
      <c r="Q678" s="103"/>
      <c r="R678" s="103"/>
      <c r="S678" s="90"/>
      <c r="U678" s="49" t="str">
        <f t="shared" si="46"/>
        <v/>
      </c>
      <c r="V678" s="16"/>
      <c r="W678" s="34"/>
      <c r="X678" s="35"/>
    </row>
    <row r="679" spans="11:24">
      <c r="K679" s="89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78"/>
      <c r="P679" s="102"/>
      <c r="Q679" s="103"/>
      <c r="R679" s="103"/>
      <c r="S679" s="90"/>
      <c r="U679" s="49" t="str">
        <f t="shared" si="46"/>
        <v/>
      </c>
      <c r="V679" s="16"/>
      <c r="W679" s="34"/>
      <c r="X679" s="35"/>
    </row>
    <row r="680" spans="11:24">
      <c r="K680" s="89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78"/>
      <c r="P680" s="102"/>
      <c r="Q680" s="103"/>
      <c r="R680" s="103"/>
      <c r="S680" s="90"/>
      <c r="U680" s="49" t="str">
        <f t="shared" si="46"/>
        <v/>
      </c>
      <c r="V680" s="16"/>
      <c r="W680" s="34"/>
      <c r="X680" s="35"/>
    </row>
    <row r="681" spans="11:24">
      <c r="K681" s="89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78"/>
      <c r="P681" s="102"/>
      <c r="Q681" s="103"/>
      <c r="R681" s="103"/>
      <c r="S681" s="90"/>
      <c r="U681" s="49" t="str">
        <f t="shared" si="46"/>
        <v/>
      </c>
      <c r="V681" s="16"/>
      <c r="W681" s="34"/>
      <c r="X681" s="35"/>
    </row>
    <row r="682" spans="11:24">
      <c r="K682" s="89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78"/>
      <c r="P682" s="102"/>
      <c r="Q682" s="103"/>
      <c r="R682" s="103"/>
      <c r="S682" s="90"/>
      <c r="U682" s="49" t="str">
        <f t="shared" si="46"/>
        <v/>
      </c>
      <c r="V682" s="16"/>
      <c r="W682" s="34"/>
      <c r="X682" s="35"/>
    </row>
    <row r="683" spans="11:24">
      <c r="K683" s="89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78"/>
      <c r="P683" s="102"/>
      <c r="Q683" s="103"/>
      <c r="R683" s="103"/>
      <c r="S683" s="90"/>
      <c r="U683" s="49" t="str">
        <f t="shared" si="46"/>
        <v/>
      </c>
      <c r="V683" s="16"/>
      <c r="W683" s="34"/>
      <c r="X683" s="35"/>
    </row>
    <row r="684" spans="11:24">
      <c r="K684" s="89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78"/>
      <c r="P684" s="102"/>
      <c r="Q684" s="103"/>
      <c r="R684" s="103"/>
      <c r="S684" s="90"/>
      <c r="U684" s="49" t="str">
        <f t="shared" si="46"/>
        <v/>
      </c>
      <c r="V684" s="16"/>
      <c r="W684" s="34"/>
      <c r="X684" s="35"/>
    </row>
    <row r="685" spans="11:24">
      <c r="K685" s="89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78"/>
      <c r="P685" s="102"/>
      <c r="Q685" s="103"/>
      <c r="R685" s="103"/>
      <c r="S685" s="90"/>
      <c r="U685" s="49" t="str">
        <f t="shared" si="46"/>
        <v/>
      </c>
      <c r="V685" s="16"/>
      <c r="W685" s="34"/>
      <c r="X685" s="35"/>
    </row>
    <row r="686" spans="11:24">
      <c r="K686" s="89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78"/>
      <c r="P686" s="102"/>
      <c r="Q686" s="103"/>
      <c r="R686" s="103"/>
      <c r="S686" s="90"/>
      <c r="U686" s="49" t="str">
        <f t="shared" si="46"/>
        <v/>
      </c>
      <c r="V686" s="16"/>
      <c r="W686" s="34"/>
      <c r="X686" s="35"/>
    </row>
    <row r="687" spans="11:24">
      <c r="K687" s="89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78"/>
      <c r="P687" s="102"/>
      <c r="Q687" s="103"/>
      <c r="R687" s="103"/>
      <c r="S687" s="90"/>
      <c r="U687" s="49" t="str">
        <f t="shared" si="46"/>
        <v/>
      </c>
      <c r="V687" s="16"/>
      <c r="W687" s="34"/>
      <c r="X687" s="35"/>
    </row>
    <row r="688" spans="11:24">
      <c r="K688" s="89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78"/>
      <c r="P688" s="102"/>
      <c r="Q688" s="103"/>
      <c r="R688" s="103"/>
      <c r="S688" s="90"/>
      <c r="U688" s="49" t="str">
        <f t="shared" si="46"/>
        <v/>
      </c>
      <c r="V688" s="16"/>
      <c r="W688" s="34"/>
      <c r="X688" s="35"/>
    </row>
    <row r="689" spans="11:24">
      <c r="K689" s="89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78"/>
      <c r="P689" s="102"/>
      <c r="Q689" s="103"/>
      <c r="R689" s="103"/>
      <c r="S689" s="90"/>
      <c r="U689" s="49" t="str">
        <f t="shared" si="46"/>
        <v/>
      </c>
      <c r="V689" s="16"/>
      <c r="W689" s="34"/>
      <c r="X689" s="35"/>
    </row>
    <row r="690" spans="11:24">
      <c r="K690" s="89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78"/>
      <c r="P690" s="102"/>
      <c r="Q690" s="103"/>
      <c r="R690" s="103"/>
      <c r="S690" s="90"/>
      <c r="U690" s="49" t="str">
        <f t="shared" si="46"/>
        <v/>
      </c>
      <c r="V690" s="16"/>
      <c r="W690" s="34"/>
      <c r="X690" s="35"/>
    </row>
    <row r="691" spans="11:24">
      <c r="K691" s="89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78"/>
      <c r="P691" s="102"/>
      <c r="Q691" s="103"/>
      <c r="R691" s="103"/>
      <c r="S691" s="90"/>
      <c r="U691" s="49" t="str">
        <f t="shared" si="46"/>
        <v/>
      </c>
      <c r="V691" s="16"/>
      <c r="W691" s="34"/>
      <c r="X691" s="35"/>
    </row>
    <row r="692" spans="11:24">
      <c r="K692" s="89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78"/>
      <c r="P692" s="102"/>
      <c r="Q692" s="103"/>
      <c r="R692" s="103"/>
      <c r="S692" s="90"/>
      <c r="U692" s="49" t="str">
        <f t="shared" si="46"/>
        <v/>
      </c>
      <c r="V692" s="16"/>
      <c r="W692" s="34"/>
      <c r="X692" s="35"/>
    </row>
    <row r="693" spans="11:24">
      <c r="K693" s="89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78"/>
      <c r="P693" s="102"/>
      <c r="Q693" s="103"/>
      <c r="R693" s="103"/>
      <c r="S693" s="90"/>
      <c r="U693" s="49" t="str">
        <f t="shared" si="46"/>
        <v/>
      </c>
      <c r="V693" s="16"/>
      <c r="W693" s="34"/>
      <c r="X693" s="35"/>
    </row>
    <row r="694" spans="11:24">
      <c r="K694" s="89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78"/>
      <c r="P694" s="102"/>
      <c r="Q694" s="103"/>
      <c r="R694" s="103"/>
      <c r="S694" s="90"/>
      <c r="U694" s="49" t="str">
        <f t="shared" si="46"/>
        <v/>
      </c>
      <c r="V694" s="16"/>
      <c r="W694" s="34"/>
      <c r="X694" s="35"/>
    </row>
    <row r="695" spans="11:24">
      <c r="K695" s="89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78"/>
      <c r="P695" s="102"/>
      <c r="Q695" s="103"/>
      <c r="R695" s="103"/>
      <c r="S695" s="90"/>
      <c r="U695" s="49" t="str">
        <f t="shared" si="46"/>
        <v/>
      </c>
      <c r="V695" s="16"/>
      <c r="W695" s="34"/>
      <c r="X695" s="35"/>
    </row>
    <row r="696" spans="11:24">
      <c r="K696" s="89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78"/>
      <c r="P696" s="102"/>
      <c r="Q696" s="103"/>
      <c r="R696" s="103"/>
      <c r="S696" s="90"/>
      <c r="U696" s="49" t="str">
        <f t="shared" si="46"/>
        <v/>
      </c>
      <c r="V696" s="16"/>
      <c r="W696" s="34"/>
      <c r="X696" s="35"/>
    </row>
    <row r="697" spans="11:24">
      <c r="K697" s="89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78"/>
      <c r="P697" s="102"/>
      <c r="Q697" s="103"/>
      <c r="R697" s="103"/>
      <c r="S697" s="90"/>
      <c r="U697" s="49" t="str">
        <f t="shared" si="46"/>
        <v/>
      </c>
      <c r="V697" s="16"/>
      <c r="W697" s="34"/>
      <c r="X697" s="35"/>
    </row>
    <row r="698" spans="11:24">
      <c r="K698" s="89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78"/>
      <c r="P698" s="102"/>
      <c r="Q698" s="103"/>
      <c r="R698" s="103"/>
      <c r="S698" s="90"/>
      <c r="U698" s="49" t="str">
        <f t="shared" si="46"/>
        <v/>
      </c>
      <c r="V698" s="16"/>
      <c r="W698" s="34"/>
      <c r="X698" s="35"/>
    </row>
    <row r="699" spans="11:24">
      <c r="K699" s="89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78"/>
      <c r="P699" s="102"/>
      <c r="Q699" s="103"/>
      <c r="R699" s="103"/>
      <c r="S699" s="90"/>
      <c r="U699" s="49" t="str">
        <f t="shared" si="46"/>
        <v/>
      </c>
      <c r="V699" s="16"/>
      <c r="W699" s="34"/>
      <c r="X699" s="35"/>
    </row>
    <row r="700" spans="11:24">
      <c r="K700" s="89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78"/>
      <c r="P700" s="102"/>
      <c r="Q700" s="103"/>
      <c r="R700" s="103"/>
      <c r="S700" s="90"/>
      <c r="U700" s="49" t="str">
        <f t="shared" si="46"/>
        <v/>
      </c>
      <c r="V700" s="16"/>
      <c r="W700" s="34"/>
      <c r="X700" s="35"/>
    </row>
    <row r="701" spans="11:24">
      <c r="K701" s="89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78"/>
      <c r="P701" s="102"/>
      <c r="Q701" s="103"/>
      <c r="R701" s="103"/>
      <c r="S701" s="90"/>
      <c r="U701" s="49" t="str">
        <f t="shared" si="46"/>
        <v/>
      </c>
      <c r="V701" s="16"/>
      <c r="W701" s="34"/>
      <c r="X701" s="35"/>
    </row>
    <row r="702" spans="11:24">
      <c r="K702" s="89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78"/>
      <c r="P702" s="102"/>
      <c r="Q702" s="103"/>
      <c r="R702" s="103"/>
      <c r="S702" s="90"/>
      <c r="U702" s="49" t="str">
        <f t="shared" si="46"/>
        <v/>
      </c>
      <c r="V702" s="16"/>
      <c r="W702" s="34"/>
      <c r="X702" s="35"/>
    </row>
    <row r="703" spans="11:24">
      <c r="K703" s="89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78"/>
      <c r="P703" s="102"/>
      <c r="Q703" s="103"/>
      <c r="R703" s="103"/>
      <c r="S703" s="90"/>
      <c r="U703" s="49" t="str">
        <f t="shared" si="46"/>
        <v/>
      </c>
      <c r="V703" s="16"/>
      <c r="W703" s="34"/>
      <c r="X703" s="35"/>
    </row>
    <row r="704" spans="11:24">
      <c r="K704" s="89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78"/>
      <c r="P704" s="102"/>
      <c r="Q704" s="103"/>
      <c r="R704" s="103"/>
      <c r="S704" s="90"/>
      <c r="U704" s="49" t="str">
        <f t="shared" si="46"/>
        <v/>
      </c>
      <c r="V704" s="16"/>
      <c r="W704" s="34"/>
      <c r="X704" s="35"/>
    </row>
    <row r="705" spans="11:24">
      <c r="K705" s="89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78"/>
      <c r="P705" s="102"/>
      <c r="Q705" s="103"/>
      <c r="R705" s="103"/>
      <c r="S705" s="90"/>
      <c r="U705" s="49" t="str">
        <f t="shared" si="46"/>
        <v/>
      </c>
      <c r="V705" s="16"/>
      <c r="W705" s="34"/>
      <c r="X705" s="35"/>
    </row>
    <row r="706" spans="11:24">
      <c r="K706" s="89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78"/>
      <c r="P706" s="102"/>
      <c r="Q706" s="103"/>
      <c r="R706" s="103"/>
      <c r="S706" s="90"/>
      <c r="U706" s="49" t="str">
        <f t="shared" si="46"/>
        <v/>
      </c>
      <c r="V706" s="16"/>
      <c r="W706" s="34"/>
      <c r="X706" s="35"/>
    </row>
    <row r="707" spans="11:24">
      <c r="K707" s="89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78"/>
      <c r="P707" s="102"/>
      <c r="Q707" s="103"/>
      <c r="R707" s="103"/>
      <c r="S707" s="90"/>
      <c r="U707" s="49" t="str">
        <f t="shared" si="46"/>
        <v/>
      </c>
      <c r="V707" s="16"/>
      <c r="W707" s="34"/>
      <c r="X707" s="35"/>
    </row>
    <row r="708" spans="11:24">
      <c r="K708" s="89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78"/>
      <c r="P708" s="102"/>
      <c r="Q708" s="103"/>
      <c r="R708" s="103"/>
      <c r="S708" s="90"/>
      <c r="U708" s="49" t="str">
        <f t="shared" si="46"/>
        <v/>
      </c>
      <c r="V708" s="16"/>
      <c r="W708" s="34"/>
      <c r="X708" s="35"/>
    </row>
    <row r="709" spans="11:24">
      <c r="K709" s="89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78"/>
      <c r="P709" s="102"/>
      <c r="Q709" s="103"/>
      <c r="R709" s="103"/>
      <c r="S709" s="90"/>
      <c r="U709" s="49" t="str">
        <f t="shared" si="46"/>
        <v/>
      </c>
      <c r="V709" s="16"/>
      <c r="W709" s="34"/>
      <c r="X709" s="35"/>
    </row>
    <row r="710" spans="11:24">
      <c r="K710" s="89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78"/>
      <c r="P710" s="102"/>
      <c r="Q710" s="103"/>
      <c r="R710" s="103"/>
      <c r="S710" s="90"/>
      <c r="U710" s="49" t="str">
        <f t="shared" si="46"/>
        <v/>
      </c>
      <c r="V710" s="16"/>
      <c r="W710" s="34"/>
      <c r="X710" s="35"/>
    </row>
    <row r="711" spans="11:24">
      <c r="K711" s="89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78"/>
      <c r="P711" s="102"/>
      <c r="Q711" s="103"/>
      <c r="R711" s="103"/>
      <c r="S711" s="90"/>
      <c r="U711" s="49" t="str">
        <f t="shared" si="46"/>
        <v/>
      </c>
      <c r="V711" s="16"/>
      <c r="W711" s="34"/>
      <c r="X711" s="35"/>
    </row>
    <row r="712" spans="11:24">
      <c r="K712" s="89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78"/>
      <c r="P712" s="102"/>
      <c r="Q712" s="103"/>
      <c r="R712" s="103"/>
      <c r="S712" s="90"/>
      <c r="U712" s="49" t="str">
        <f t="shared" si="46"/>
        <v/>
      </c>
      <c r="V712" s="16"/>
      <c r="W712" s="34"/>
      <c r="X712" s="35"/>
    </row>
    <row r="713" spans="11:24">
      <c r="K713" s="89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78"/>
      <c r="P714" s="102"/>
      <c r="Q714" s="103"/>
      <c r="R714" s="103"/>
      <c r="S714" s="90"/>
      <c r="U714" s="49" t="str">
        <f t="shared" si="50"/>
        <v/>
      </c>
      <c r="V714" s="16"/>
      <c r="W714" s="34"/>
      <c r="X714" s="35"/>
    </row>
    <row r="715" spans="11:24">
      <c r="K715" s="89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78"/>
      <c r="P715" s="102"/>
      <c r="Q715" s="103"/>
      <c r="R715" s="103"/>
      <c r="S715" s="90"/>
      <c r="U715" s="49" t="str">
        <f t="shared" si="50"/>
        <v/>
      </c>
      <c r="V715" s="16"/>
      <c r="W715" s="34"/>
      <c r="X715" s="35"/>
    </row>
    <row r="716" spans="11:24">
      <c r="K716" s="89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78"/>
      <c r="P716" s="102"/>
      <c r="Q716" s="103"/>
      <c r="R716" s="103"/>
      <c r="S716" s="90"/>
      <c r="U716" s="49" t="str">
        <f t="shared" si="50"/>
        <v/>
      </c>
      <c r="V716" s="16"/>
      <c r="W716" s="34"/>
      <c r="X716" s="35"/>
    </row>
    <row r="717" spans="11:24">
      <c r="K717" s="89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78"/>
      <c r="P717" s="102"/>
      <c r="Q717" s="103"/>
      <c r="R717" s="103"/>
      <c r="S717" s="90"/>
      <c r="U717" s="49" t="str">
        <f t="shared" si="50"/>
        <v/>
      </c>
      <c r="V717" s="16"/>
      <c r="W717" s="34"/>
      <c r="X717" s="35"/>
    </row>
    <row r="718" spans="11:24">
      <c r="K718" s="89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78"/>
      <c r="P718" s="102"/>
      <c r="Q718" s="103"/>
      <c r="R718" s="103"/>
      <c r="S718" s="90"/>
      <c r="U718" s="49" t="str">
        <f t="shared" si="50"/>
        <v/>
      </c>
      <c r="V718" s="16"/>
      <c r="W718" s="34"/>
      <c r="X718" s="35"/>
    </row>
    <row r="719" spans="11:24">
      <c r="K719" s="89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78"/>
      <c r="P719" s="102"/>
      <c r="Q719" s="103"/>
      <c r="R719" s="103"/>
      <c r="S719" s="90"/>
      <c r="U719" s="49" t="str">
        <f t="shared" si="50"/>
        <v/>
      </c>
      <c r="V719" s="16"/>
      <c r="W719" s="34"/>
      <c r="X719" s="35"/>
    </row>
    <row r="720" spans="11:24">
      <c r="K720" s="89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78"/>
      <c r="P720" s="102"/>
      <c r="Q720" s="103"/>
      <c r="R720" s="103"/>
      <c r="S720" s="90"/>
      <c r="U720" s="49" t="str">
        <f t="shared" si="50"/>
        <v/>
      </c>
      <c r="V720" s="16"/>
      <c r="W720" s="34"/>
      <c r="X720" s="35"/>
    </row>
    <row r="721" spans="11:24">
      <c r="K721" s="89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78"/>
      <c r="P721" s="102"/>
      <c r="Q721" s="103"/>
      <c r="R721" s="103"/>
      <c r="S721" s="90"/>
      <c r="U721" s="49" t="str">
        <f t="shared" si="50"/>
        <v/>
      </c>
      <c r="V721" s="16"/>
      <c r="W721" s="34"/>
      <c r="X721" s="35"/>
    </row>
    <row r="722" spans="11:24">
      <c r="K722" s="89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78"/>
      <c r="P722" s="102"/>
      <c r="Q722" s="103"/>
      <c r="R722" s="103"/>
      <c r="S722" s="90"/>
      <c r="U722" s="49" t="str">
        <f t="shared" si="50"/>
        <v/>
      </c>
      <c r="V722" s="16"/>
      <c r="W722" s="34"/>
      <c r="X722" s="35"/>
    </row>
    <row r="723" spans="11:24">
      <c r="K723" s="89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78"/>
      <c r="P723" s="102"/>
      <c r="Q723" s="103"/>
      <c r="R723" s="103"/>
      <c r="S723" s="90"/>
      <c r="U723" s="49" t="str">
        <f t="shared" si="50"/>
        <v/>
      </c>
      <c r="V723" s="16"/>
      <c r="W723" s="34"/>
      <c r="X723" s="35"/>
    </row>
    <row r="724" spans="11:24">
      <c r="K724" s="89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78"/>
      <c r="P724" s="102"/>
      <c r="Q724" s="103"/>
      <c r="R724" s="103"/>
      <c r="S724" s="90"/>
      <c r="U724" s="49" t="str">
        <f t="shared" si="50"/>
        <v/>
      </c>
      <c r="V724" s="16"/>
      <c r="W724" s="34"/>
      <c r="X724" s="35"/>
    </row>
    <row r="725" spans="11:24">
      <c r="K725" s="89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78"/>
      <c r="P725" s="102"/>
      <c r="Q725" s="103"/>
      <c r="R725" s="103"/>
      <c r="S725" s="90"/>
      <c r="U725" s="49" t="str">
        <f t="shared" si="50"/>
        <v/>
      </c>
      <c r="V725" s="16"/>
      <c r="W725" s="34"/>
      <c r="X725" s="35"/>
    </row>
    <row r="726" spans="11:24">
      <c r="K726" s="89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78"/>
      <c r="P726" s="102"/>
      <c r="Q726" s="103"/>
      <c r="R726" s="103"/>
      <c r="S726" s="90"/>
      <c r="U726" s="49" t="str">
        <f t="shared" si="50"/>
        <v/>
      </c>
      <c r="V726" s="16"/>
      <c r="W726" s="34"/>
      <c r="X726" s="35"/>
    </row>
    <row r="727" spans="11:24">
      <c r="K727" s="89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78"/>
      <c r="P727" s="102"/>
      <c r="Q727" s="103"/>
      <c r="R727" s="103"/>
      <c r="S727" s="90"/>
      <c r="U727" s="49" t="str">
        <f t="shared" si="50"/>
        <v/>
      </c>
      <c r="V727" s="16"/>
      <c r="W727" s="34"/>
      <c r="X727" s="35"/>
    </row>
    <row r="728" spans="11:24">
      <c r="K728" s="89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78"/>
      <c r="P728" s="102"/>
      <c r="Q728" s="103"/>
      <c r="R728" s="103"/>
      <c r="S728" s="90"/>
      <c r="U728" s="49" t="str">
        <f t="shared" si="50"/>
        <v/>
      </c>
      <c r="V728" s="16"/>
      <c r="W728" s="34"/>
      <c r="X728" s="35"/>
    </row>
    <row r="729" spans="11:24">
      <c r="K729" s="89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78"/>
      <c r="P729" s="102"/>
      <c r="Q729" s="103"/>
      <c r="R729" s="103"/>
      <c r="S729" s="90"/>
      <c r="U729" s="49" t="str">
        <f t="shared" si="50"/>
        <v/>
      </c>
      <c r="V729" s="16"/>
      <c r="W729" s="34"/>
      <c r="X729" s="35"/>
    </row>
    <row r="730" spans="11:24">
      <c r="K730" s="89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78"/>
      <c r="P730" s="102"/>
      <c r="Q730" s="103"/>
      <c r="R730" s="103"/>
      <c r="S730" s="90"/>
      <c r="U730" s="49" t="str">
        <f t="shared" si="50"/>
        <v/>
      </c>
      <c r="V730" s="16"/>
      <c r="W730" s="34"/>
      <c r="X730" s="35"/>
    </row>
    <row r="731" spans="11:24">
      <c r="K731" s="89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78"/>
      <c r="P731" s="102"/>
      <c r="Q731" s="103"/>
      <c r="R731" s="103"/>
      <c r="S731" s="90"/>
      <c r="U731" s="49" t="str">
        <f t="shared" si="50"/>
        <v/>
      </c>
      <c r="V731" s="16"/>
      <c r="W731" s="34"/>
      <c r="X731" s="35"/>
    </row>
    <row r="732" spans="11:24">
      <c r="K732" s="89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78"/>
      <c r="P732" s="102"/>
      <c r="Q732" s="103"/>
      <c r="R732" s="103"/>
      <c r="S732" s="90"/>
      <c r="U732" s="49" t="str">
        <f t="shared" si="50"/>
        <v/>
      </c>
      <c r="V732" s="16"/>
      <c r="W732" s="34"/>
      <c r="X732" s="35"/>
    </row>
    <row r="733" spans="11:24">
      <c r="K733" s="89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78"/>
      <c r="P733" s="102"/>
      <c r="Q733" s="103"/>
      <c r="R733" s="103"/>
      <c r="S733" s="90"/>
      <c r="U733" s="49" t="str">
        <f t="shared" si="50"/>
        <v/>
      </c>
      <c r="V733" s="16"/>
      <c r="W733" s="34"/>
      <c r="X733" s="35"/>
    </row>
    <row r="734" spans="11:24">
      <c r="K734" s="89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78"/>
      <c r="P734" s="102"/>
      <c r="Q734" s="103"/>
      <c r="R734" s="103"/>
      <c r="S734" s="90"/>
      <c r="U734" s="49" t="str">
        <f t="shared" si="50"/>
        <v/>
      </c>
      <c r="V734" s="16"/>
      <c r="W734" s="34"/>
      <c r="X734" s="35"/>
    </row>
    <row r="735" spans="11:24">
      <c r="K735" s="89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78"/>
      <c r="P735" s="102"/>
      <c r="Q735" s="103"/>
      <c r="R735" s="103"/>
      <c r="S735" s="90"/>
      <c r="U735" s="49" t="str">
        <f t="shared" si="50"/>
        <v/>
      </c>
      <c r="V735" s="16"/>
      <c r="W735" s="34"/>
      <c r="X735" s="35"/>
    </row>
    <row r="736" spans="11:24">
      <c r="K736" s="89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78"/>
      <c r="P736" s="102"/>
      <c r="Q736" s="103"/>
      <c r="R736" s="103"/>
      <c r="S736" s="90"/>
      <c r="U736" s="49" t="str">
        <f t="shared" si="50"/>
        <v/>
      </c>
      <c r="V736" s="16"/>
      <c r="W736" s="34"/>
      <c r="X736" s="35"/>
    </row>
    <row r="737" spans="11:24">
      <c r="K737" s="89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78"/>
      <c r="P737" s="102"/>
      <c r="Q737" s="103"/>
      <c r="R737" s="103"/>
      <c r="S737" s="90"/>
      <c r="U737" s="49" t="str">
        <f t="shared" si="50"/>
        <v/>
      </c>
      <c r="V737" s="16"/>
      <c r="W737" s="34"/>
      <c r="X737" s="35"/>
    </row>
    <row r="738" spans="11:24">
      <c r="K738" s="89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78"/>
      <c r="P738" s="102"/>
      <c r="Q738" s="103"/>
      <c r="R738" s="103"/>
      <c r="S738" s="90"/>
      <c r="U738" s="49" t="str">
        <f t="shared" si="50"/>
        <v/>
      </c>
      <c r="V738" s="16"/>
      <c r="W738" s="34"/>
      <c r="X738" s="35"/>
    </row>
    <row r="739" spans="11:24">
      <c r="K739" s="89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78"/>
      <c r="P739" s="102"/>
      <c r="Q739" s="103"/>
      <c r="R739" s="103"/>
      <c r="S739" s="90"/>
      <c r="U739" s="49" t="str">
        <f t="shared" si="50"/>
        <v/>
      </c>
      <c r="V739" s="16"/>
      <c r="W739" s="34"/>
      <c r="X739" s="35"/>
    </row>
    <row r="740" spans="11:24">
      <c r="K740" s="89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78"/>
      <c r="P740" s="102"/>
      <c r="Q740" s="103"/>
      <c r="R740" s="103"/>
      <c r="S740" s="90"/>
      <c r="U740" s="49" t="str">
        <f t="shared" si="50"/>
        <v/>
      </c>
      <c r="V740" s="16"/>
      <c r="W740" s="34"/>
      <c r="X740" s="35"/>
    </row>
    <row r="741" spans="11:24">
      <c r="K741" s="89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78"/>
      <c r="P741" s="102"/>
      <c r="Q741" s="103"/>
      <c r="R741" s="103"/>
      <c r="S741" s="90"/>
      <c r="U741" s="49" t="str">
        <f t="shared" si="50"/>
        <v/>
      </c>
      <c r="V741" s="16"/>
      <c r="W741" s="34"/>
      <c r="X741" s="35"/>
    </row>
    <row r="742" spans="11:24">
      <c r="K742" s="89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78"/>
      <c r="P742" s="102"/>
      <c r="Q742" s="103"/>
      <c r="R742" s="103"/>
      <c r="S742" s="90"/>
      <c r="U742" s="49" t="str">
        <f t="shared" si="50"/>
        <v/>
      </c>
      <c r="V742" s="16"/>
      <c r="W742" s="34"/>
      <c r="X742" s="35"/>
    </row>
    <row r="743" spans="11:24">
      <c r="K743" s="89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78"/>
      <c r="P743" s="102"/>
      <c r="Q743" s="103"/>
      <c r="R743" s="103"/>
      <c r="S743" s="90"/>
      <c r="U743" s="49" t="str">
        <f t="shared" si="50"/>
        <v/>
      </c>
      <c r="V743" s="16"/>
      <c r="W743" s="34"/>
      <c r="X743" s="35"/>
    </row>
    <row r="744" spans="11:24">
      <c r="K744" s="89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78"/>
      <c r="P744" s="102"/>
      <c r="Q744" s="103"/>
      <c r="R744" s="103"/>
      <c r="S744" s="90"/>
      <c r="U744" s="49" t="str">
        <f t="shared" si="50"/>
        <v/>
      </c>
      <c r="V744" s="16"/>
      <c r="W744" s="34"/>
      <c r="X744" s="35"/>
    </row>
    <row r="745" spans="11:24">
      <c r="K745" s="89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78"/>
      <c r="P745" s="102"/>
      <c r="Q745" s="103"/>
      <c r="R745" s="103"/>
      <c r="S745" s="90"/>
      <c r="U745" s="49" t="str">
        <f t="shared" si="50"/>
        <v/>
      </c>
      <c r="V745" s="16"/>
      <c r="W745" s="34"/>
      <c r="X745" s="35"/>
    </row>
    <row r="746" spans="11:24">
      <c r="K746" s="89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78"/>
      <c r="P746" s="102"/>
      <c r="Q746" s="103"/>
      <c r="R746" s="103"/>
      <c r="S746" s="90"/>
      <c r="U746" s="49" t="str">
        <f t="shared" si="50"/>
        <v/>
      </c>
      <c r="V746" s="16"/>
      <c r="W746" s="34"/>
      <c r="X746" s="35"/>
    </row>
    <row r="747" spans="11:24">
      <c r="K747" s="89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78"/>
      <c r="P747" s="102"/>
      <c r="Q747" s="103"/>
      <c r="R747" s="103"/>
      <c r="S747" s="90"/>
      <c r="U747" s="49" t="str">
        <f t="shared" si="50"/>
        <v/>
      </c>
      <c r="V747" s="16"/>
      <c r="W747" s="34"/>
      <c r="X747" s="35"/>
    </row>
    <row r="748" spans="11:24">
      <c r="K748" s="89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78"/>
      <c r="P748" s="102"/>
      <c r="Q748" s="103"/>
      <c r="R748" s="103"/>
      <c r="S748" s="90"/>
      <c r="U748" s="49" t="str">
        <f t="shared" si="50"/>
        <v/>
      </c>
      <c r="V748" s="16"/>
      <c r="W748" s="34"/>
      <c r="X748" s="35"/>
    </row>
    <row r="749" spans="11:24">
      <c r="K749" s="89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78"/>
      <c r="P749" s="102"/>
      <c r="Q749" s="103"/>
      <c r="R749" s="103"/>
      <c r="S749" s="90"/>
      <c r="U749" s="49" t="str">
        <f t="shared" si="50"/>
        <v/>
      </c>
      <c r="V749" s="16"/>
      <c r="W749" s="34"/>
      <c r="X749" s="35"/>
    </row>
    <row r="750" spans="11:24">
      <c r="K750" s="89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78"/>
      <c r="P750" s="102"/>
      <c r="Q750" s="103"/>
      <c r="R750" s="103"/>
      <c r="S750" s="90"/>
      <c r="U750" s="49" t="str">
        <f t="shared" si="50"/>
        <v/>
      </c>
      <c r="V750" s="16"/>
      <c r="W750" s="34"/>
      <c r="X750" s="35"/>
    </row>
    <row r="751" spans="11:24">
      <c r="K751" s="89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78"/>
      <c r="P751" s="102"/>
      <c r="Q751" s="103"/>
      <c r="R751" s="103"/>
      <c r="S751" s="90"/>
      <c r="U751" s="49" t="str">
        <f t="shared" si="50"/>
        <v/>
      </c>
      <c r="V751" s="16"/>
      <c r="W751" s="34"/>
      <c r="X751" s="35"/>
    </row>
    <row r="752" spans="11:24">
      <c r="K752" s="89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78"/>
      <c r="P752" s="102"/>
      <c r="Q752" s="103"/>
      <c r="R752" s="103"/>
      <c r="S752" s="90"/>
      <c r="U752" s="49" t="str">
        <f t="shared" si="50"/>
        <v/>
      </c>
      <c r="V752" s="16"/>
      <c r="W752" s="34"/>
      <c r="X752" s="35"/>
    </row>
    <row r="753" spans="11:24">
      <c r="K753" s="89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78"/>
      <c r="P753" s="102"/>
      <c r="Q753" s="103"/>
      <c r="R753" s="103"/>
      <c r="S753" s="90"/>
      <c r="U753" s="49" t="str">
        <f t="shared" si="50"/>
        <v/>
      </c>
      <c r="V753" s="16"/>
      <c r="W753" s="34"/>
      <c r="X753" s="35"/>
    </row>
    <row r="754" spans="11:24">
      <c r="K754" s="89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78"/>
      <c r="P754" s="102"/>
      <c r="Q754" s="103"/>
      <c r="R754" s="103"/>
      <c r="S754" s="90"/>
      <c r="U754" s="49" t="str">
        <f t="shared" si="50"/>
        <v/>
      </c>
      <c r="V754" s="16"/>
      <c r="W754" s="34"/>
      <c r="X754" s="35"/>
    </row>
    <row r="755" spans="11:24">
      <c r="K755" s="89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78"/>
      <c r="P755" s="102"/>
      <c r="Q755" s="103"/>
      <c r="R755" s="103"/>
      <c r="S755" s="90"/>
      <c r="U755" s="49" t="str">
        <f t="shared" si="50"/>
        <v/>
      </c>
      <c r="V755" s="16"/>
      <c r="W755" s="34"/>
      <c r="X755" s="35"/>
    </row>
    <row r="756" spans="11:24">
      <c r="K756" s="89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78"/>
      <c r="P756" s="102"/>
      <c r="Q756" s="103"/>
      <c r="R756" s="103"/>
      <c r="S756" s="90"/>
      <c r="U756" s="49" t="str">
        <f t="shared" si="50"/>
        <v/>
      </c>
      <c r="V756" s="16"/>
      <c r="W756" s="34"/>
      <c r="X756" s="35"/>
    </row>
    <row r="757" spans="11:24">
      <c r="K757" s="89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78"/>
      <c r="P757" s="102"/>
      <c r="Q757" s="103"/>
      <c r="R757" s="103"/>
      <c r="S757" s="90"/>
      <c r="U757" s="49" t="str">
        <f t="shared" si="50"/>
        <v/>
      </c>
      <c r="V757" s="16"/>
      <c r="W757" s="34"/>
      <c r="X757" s="35"/>
    </row>
    <row r="758" spans="11:24">
      <c r="K758" s="89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78"/>
      <c r="P758" s="102"/>
      <c r="Q758" s="103"/>
      <c r="R758" s="103"/>
      <c r="S758" s="90"/>
      <c r="U758" s="49" t="str">
        <f t="shared" si="50"/>
        <v/>
      </c>
      <c r="V758" s="16"/>
      <c r="W758" s="34"/>
      <c r="X758" s="35"/>
    </row>
    <row r="759" spans="11:24">
      <c r="K759" s="89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78"/>
      <c r="P759" s="102"/>
      <c r="Q759" s="103"/>
      <c r="R759" s="103"/>
      <c r="S759" s="90"/>
      <c r="U759" s="49" t="str">
        <f t="shared" si="50"/>
        <v/>
      </c>
      <c r="V759" s="16"/>
      <c r="W759" s="34"/>
      <c r="X759" s="35"/>
    </row>
    <row r="760" spans="11:24">
      <c r="K760" s="89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78"/>
      <c r="P760" s="102"/>
      <c r="Q760" s="103"/>
      <c r="R760" s="103"/>
      <c r="S760" s="90"/>
      <c r="U760" s="49" t="str">
        <f t="shared" si="50"/>
        <v/>
      </c>
      <c r="V760" s="16"/>
      <c r="W760" s="34"/>
      <c r="X760" s="35"/>
    </row>
    <row r="761" spans="11:24">
      <c r="K761" s="89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78"/>
      <c r="P761" s="102"/>
      <c r="Q761" s="103"/>
      <c r="R761" s="103"/>
      <c r="S761" s="90"/>
      <c r="U761" s="49" t="str">
        <f t="shared" si="50"/>
        <v/>
      </c>
      <c r="V761" s="16"/>
      <c r="W761" s="34"/>
      <c r="X761" s="35"/>
    </row>
    <row r="762" spans="11:24">
      <c r="K762" s="89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78"/>
      <c r="P762" s="102"/>
      <c r="Q762" s="103"/>
      <c r="R762" s="103"/>
      <c r="S762" s="90"/>
      <c r="U762" s="49" t="str">
        <f t="shared" si="50"/>
        <v/>
      </c>
      <c r="V762" s="16"/>
      <c r="W762" s="34"/>
      <c r="X762" s="35"/>
    </row>
    <row r="763" spans="11:24">
      <c r="K763" s="89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78"/>
      <c r="P763" s="102"/>
      <c r="Q763" s="103"/>
      <c r="R763" s="103"/>
      <c r="S763" s="90"/>
      <c r="U763" s="49" t="str">
        <f t="shared" si="50"/>
        <v/>
      </c>
      <c r="V763" s="16"/>
      <c r="W763" s="34"/>
      <c r="X763" s="35"/>
    </row>
    <row r="764" spans="11:24">
      <c r="K764" s="89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78"/>
      <c r="P764" s="102"/>
      <c r="Q764" s="103"/>
      <c r="R764" s="103"/>
      <c r="S764" s="90"/>
      <c r="U764" s="49" t="str">
        <f t="shared" si="50"/>
        <v/>
      </c>
      <c r="V764" s="16"/>
      <c r="W764" s="34"/>
      <c r="X764" s="35"/>
    </row>
    <row r="765" spans="11:24">
      <c r="K765" s="89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78"/>
      <c r="P765" s="102"/>
      <c r="Q765" s="103"/>
      <c r="R765" s="103"/>
      <c r="S765" s="90"/>
      <c r="U765" s="49" t="str">
        <f t="shared" si="50"/>
        <v/>
      </c>
      <c r="V765" s="16"/>
      <c r="W765" s="34"/>
      <c r="X765" s="35"/>
    </row>
    <row r="766" spans="11:24">
      <c r="K766" s="89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78"/>
      <c r="P766" s="102"/>
      <c r="Q766" s="103"/>
      <c r="R766" s="103"/>
      <c r="S766" s="90"/>
      <c r="U766" s="49" t="str">
        <f t="shared" si="50"/>
        <v/>
      </c>
      <c r="V766" s="16"/>
      <c r="W766" s="34"/>
      <c r="X766" s="35"/>
    </row>
    <row r="767" spans="11:24">
      <c r="K767" s="89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78"/>
      <c r="P767" s="102"/>
      <c r="Q767" s="103"/>
      <c r="R767" s="103"/>
      <c r="S767" s="90"/>
      <c r="U767" s="49" t="str">
        <f t="shared" si="50"/>
        <v/>
      </c>
      <c r="V767" s="16"/>
      <c r="W767" s="34"/>
      <c r="X767" s="35"/>
    </row>
    <row r="768" spans="11:24">
      <c r="K768" s="89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78"/>
      <c r="P768" s="102"/>
      <c r="Q768" s="103"/>
      <c r="R768" s="103"/>
      <c r="S768" s="90"/>
      <c r="U768" s="49" t="str">
        <f t="shared" si="50"/>
        <v/>
      </c>
      <c r="V768" s="16"/>
      <c r="W768" s="34"/>
      <c r="X768" s="35"/>
    </row>
    <row r="769" spans="11:24">
      <c r="K769" s="89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78"/>
      <c r="P769" s="102"/>
      <c r="Q769" s="103"/>
      <c r="R769" s="103"/>
      <c r="S769" s="90"/>
      <c r="U769" s="49" t="str">
        <f t="shared" si="50"/>
        <v/>
      </c>
      <c r="V769" s="16"/>
      <c r="W769" s="34"/>
      <c r="X769" s="35"/>
    </row>
    <row r="770" spans="11:24">
      <c r="K770" s="89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78"/>
      <c r="P770" s="102"/>
      <c r="Q770" s="103"/>
      <c r="R770" s="103"/>
      <c r="S770" s="90"/>
      <c r="U770" s="49" t="str">
        <f t="shared" si="50"/>
        <v/>
      </c>
      <c r="V770" s="16"/>
      <c r="W770" s="34"/>
      <c r="X770" s="35"/>
    </row>
    <row r="771" spans="11:24">
      <c r="K771" s="89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78"/>
      <c r="P771" s="102"/>
      <c r="Q771" s="103"/>
      <c r="R771" s="103"/>
      <c r="S771" s="90"/>
      <c r="U771" s="49" t="str">
        <f t="shared" si="50"/>
        <v/>
      </c>
      <c r="V771" s="16"/>
      <c r="W771" s="34"/>
      <c r="X771" s="35"/>
    </row>
    <row r="772" spans="11:24">
      <c r="K772" s="89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78"/>
      <c r="P772" s="102"/>
      <c r="Q772" s="103"/>
      <c r="R772" s="103"/>
      <c r="S772" s="90"/>
      <c r="U772" s="49" t="str">
        <f t="shared" si="50"/>
        <v/>
      </c>
      <c r="V772" s="16"/>
      <c r="W772" s="34"/>
      <c r="X772" s="35"/>
    </row>
    <row r="773" spans="11:24">
      <c r="K773" s="89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78"/>
      <c r="P773" s="102"/>
      <c r="Q773" s="103"/>
      <c r="R773" s="103"/>
      <c r="S773" s="90"/>
      <c r="U773" s="49" t="str">
        <f t="shared" si="50"/>
        <v/>
      </c>
      <c r="V773" s="16"/>
      <c r="W773" s="34"/>
      <c r="X773" s="35"/>
    </row>
    <row r="774" spans="11:24">
      <c r="K774" s="89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78"/>
      <c r="P774" s="102"/>
      <c r="Q774" s="103"/>
      <c r="R774" s="103"/>
      <c r="S774" s="90"/>
      <c r="U774" s="49" t="str">
        <f t="shared" si="50"/>
        <v/>
      </c>
      <c r="V774" s="16"/>
      <c r="W774" s="34"/>
      <c r="X774" s="35"/>
    </row>
    <row r="775" spans="11:24">
      <c r="K775" s="89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78"/>
      <c r="P775" s="102"/>
      <c r="Q775" s="103"/>
      <c r="R775" s="103"/>
      <c r="S775" s="90"/>
      <c r="U775" s="49" t="str">
        <f t="shared" si="50"/>
        <v/>
      </c>
      <c r="V775" s="16"/>
      <c r="W775" s="34"/>
      <c r="X775" s="35"/>
    </row>
    <row r="776" spans="11:24">
      <c r="K776" s="89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78"/>
      <c r="P776" s="102"/>
      <c r="Q776" s="103"/>
      <c r="R776" s="103"/>
      <c r="S776" s="90"/>
      <c r="U776" s="49" t="str">
        <f t="shared" si="50"/>
        <v/>
      </c>
      <c r="V776" s="16"/>
      <c r="W776" s="34"/>
      <c r="X776" s="35"/>
    </row>
    <row r="777" spans="11:24">
      <c r="K777" s="89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78"/>
      <c r="P778" s="102"/>
      <c r="Q778" s="103"/>
      <c r="R778" s="103"/>
      <c r="S778" s="90"/>
      <c r="U778" s="49" t="str">
        <f t="shared" si="54"/>
        <v/>
      </c>
      <c r="V778" s="16"/>
      <c r="W778" s="34"/>
      <c r="X778" s="35"/>
    </row>
    <row r="779" spans="11:24">
      <c r="K779" s="89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78"/>
      <c r="P779" s="102"/>
      <c r="Q779" s="103"/>
      <c r="R779" s="103"/>
      <c r="S779" s="90"/>
      <c r="U779" s="49" t="str">
        <f t="shared" si="54"/>
        <v/>
      </c>
      <c r="V779" s="16"/>
      <c r="W779" s="34"/>
      <c r="X779" s="35"/>
    </row>
    <row r="780" spans="11:24">
      <c r="K780" s="89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78"/>
      <c r="P780" s="102"/>
      <c r="Q780" s="103"/>
      <c r="R780" s="103"/>
      <c r="S780" s="90"/>
      <c r="U780" s="49" t="str">
        <f t="shared" si="54"/>
        <v/>
      </c>
      <c r="V780" s="16"/>
      <c r="W780" s="34"/>
      <c r="X780" s="35"/>
    </row>
    <row r="781" spans="11:24">
      <c r="K781" s="89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78"/>
      <c r="P781" s="102"/>
      <c r="Q781" s="103"/>
      <c r="R781" s="103"/>
      <c r="S781" s="90"/>
      <c r="U781" s="49" t="str">
        <f t="shared" si="54"/>
        <v/>
      </c>
      <c r="V781" s="16"/>
      <c r="W781" s="34"/>
      <c r="X781" s="35"/>
    </row>
    <row r="782" spans="11:24">
      <c r="K782" s="89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78"/>
      <c r="P782" s="102"/>
      <c r="Q782" s="103"/>
      <c r="R782" s="103"/>
      <c r="S782" s="90"/>
      <c r="U782" s="49" t="str">
        <f t="shared" si="54"/>
        <v/>
      </c>
      <c r="V782" s="16"/>
      <c r="W782" s="34"/>
      <c r="X782" s="35"/>
    </row>
    <row r="783" spans="11:24">
      <c r="K783" s="89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78"/>
      <c r="P783" s="102"/>
      <c r="Q783" s="103"/>
      <c r="R783" s="103"/>
      <c r="S783" s="90"/>
      <c r="U783" s="49" t="str">
        <f t="shared" si="54"/>
        <v/>
      </c>
      <c r="V783" s="16"/>
      <c r="W783" s="34"/>
      <c r="X783" s="35"/>
    </row>
    <row r="784" spans="11:24">
      <c r="K784" s="89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78"/>
      <c r="P784" s="102"/>
      <c r="Q784" s="103"/>
      <c r="R784" s="103"/>
      <c r="S784" s="90"/>
      <c r="U784" s="49" t="str">
        <f t="shared" si="54"/>
        <v/>
      </c>
      <c r="V784" s="16"/>
      <c r="W784" s="34"/>
      <c r="X784" s="35"/>
    </row>
    <row r="785" spans="11:24">
      <c r="K785" s="89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78"/>
      <c r="P785" s="102"/>
      <c r="Q785" s="103"/>
      <c r="R785" s="103"/>
      <c r="S785" s="90"/>
      <c r="U785" s="49" t="str">
        <f t="shared" si="54"/>
        <v/>
      </c>
      <c r="V785" s="16"/>
      <c r="W785" s="34"/>
      <c r="X785" s="35"/>
    </row>
    <row r="786" spans="11:24">
      <c r="K786" s="89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78"/>
      <c r="P786" s="102"/>
      <c r="Q786" s="103"/>
      <c r="R786" s="103"/>
      <c r="S786" s="90"/>
      <c r="U786" s="49" t="str">
        <f t="shared" si="54"/>
        <v/>
      </c>
      <c r="V786" s="16"/>
      <c r="W786" s="34"/>
      <c r="X786" s="35"/>
    </row>
    <row r="787" spans="11:24">
      <c r="K787" s="89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78"/>
      <c r="P787" s="102"/>
      <c r="Q787" s="103"/>
      <c r="R787" s="103"/>
      <c r="S787" s="90"/>
      <c r="U787" s="49" t="str">
        <f t="shared" si="54"/>
        <v/>
      </c>
      <c r="V787" s="16"/>
      <c r="W787" s="34"/>
      <c r="X787" s="35"/>
    </row>
    <row r="788" spans="11:24">
      <c r="K788" s="89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78"/>
      <c r="P788" s="102"/>
      <c r="Q788" s="103"/>
      <c r="R788" s="103"/>
      <c r="S788" s="90"/>
      <c r="U788" s="49" t="str">
        <f t="shared" si="54"/>
        <v/>
      </c>
      <c r="V788" s="16"/>
      <c r="W788" s="34"/>
      <c r="X788" s="35"/>
    </row>
    <row r="789" spans="11:24">
      <c r="K789" s="89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78"/>
      <c r="P789" s="102"/>
      <c r="Q789" s="103"/>
      <c r="R789" s="103"/>
      <c r="S789" s="90"/>
      <c r="U789" s="49" t="str">
        <f t="shared" si="54"/>
        <v/>
      </c>
      <c r="V789" s="16"/>
      <c r="W789" s="34"/>
      <c r="X789" s="35"/>
    </row>
    <row r="790" spans="11:24">
      <c r="K790" s="89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78"/>
      <c r="P790" s="102"/>
      <c r="Q790" s="103"/>
      <c r="R790" s="103"/>
      <c r="S790" s="90"/>
      <c r="U790" s="49" t="str">
        <f t="shared" si="54"/>
        <v/>
      </c>
      <c r="V790" s="16"/>
      <c r="W790" s="34"/>
      <c r="X790" s="35"/>
    </row>
    <row r="791" spans="11:24">
      <c r="K791" s="89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78"/>
      <c r="P791" s="102"/>
      <c r="Q791" s="103"/>
      <c r="R791" s="103"/>
      <c r="S791" s="90"/>
      <c r="U791" s="49" t="str">
        <f t="shared" si="54"/>
        <v/>
      </c>
      <c r="V791" s="16"/>
      <c r="W791" s="34"/>
      <c r="X791" s="35"/>
    </row>
    <row r="792" spans="11:24">
      <c r="K792" s="89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78"/>
      <c r="P792" s="102"/>
      <c r="Q792" s="103"/>
      <c r="R792" s="103"/>
      <c r="S792" s="90"/>
      <c r="U792" s="49" t="str">
        <f t="shared" si="54"/>
        <v/>
      </c>
      <c r="V792" s="16"/>
      <c r="W792" s="34"/>
      <c r="X792" s="35"/>
    </row>
    <row r="793" spans="11:24">
      <c r="K793" s="89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78"/>
      <c r="P793" s="102"/>
      <c r="Q793" s="103"/>
      <c r="R793" s="103"/>
      <c r="S793" s="90"/>
      <c r="U793" s="49" t="str">
        <f t="shared" si="54"/>
        <v/>
      </c>
      <c r="V793" s="16"/>
      <c r="W793" s="34"/>
      <c r="X793" s="35"/>
    </row>
    <row r="794" spans="11:24">
      <c r="K794" s="89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78"/>
      <c r="P794" s="102"/>
      <c r="Q794" s="103"/>
      <c r="R794" s="103"/>
      <c r="S794" s="90"/>
      <c r="U794" s="49" t="str">
        <f t="shared" si="54"/>
        <v/>
      </c>
      <c r="V794" s="16"/>
      <c r="W794" s="34"/>
      <c r="X794" s="35"/>
    </row>
    <row r="795" spans="11:24">
      <c r="K795" s="89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78"/>
      <c r="P795" s="102"/>
      <c r="Q795" s="103"/>
      <c r="R795" s="103"/>
      <c r="S795" s="90"/>
      <c r="U795" s="49" t="str">
        <f t="shared" si="54"/>
        <v/>
      </c>
      <c r="V795" s="16"/>
      <c r="W795" s="34"/>
      <c r="X795" s="35"/>
    </row>
    <row r="796" spans="11:24">
      <c r="K796" s="89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78"/>
      <c r="P796" s="102"/>
      <c r="Q796" s="103"/>
      <c r="R796" s="103"/>
      <c r="S796" s="90"/>
      <c r="U796" s="49" t="str">
        <f t="shared" si="54"/>
        <v/>
      </c>
      <c r="V796" s="16"/>
      <c r="W796" s="34"/>
      <c r="X796" s="35"/>
    </row>
    <row r="797" spans="11:24">
      <c r="K797" s="89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78"/>
      <c r="P797" s="102"/>
      <c r="Q797" s="103"/>
      <c r="R797" s="103"/>
      <c r="S797" s="90"/>
      <c r="U797" s="49" t="str">
        <f t="shared" si="54"/>
        <v/>
      </c>
      <c r="V797" s="16"/>
      <c r="W797" s="34"/>
      <c r="X797" s="35"/>
    </row>
    <row r="798" spans="11:24">
      <c r="K798" s="89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78"/>
      <c r="P798" s="102"/>
      <c r="Q798" s="103"/>
      <c r="R798" s="103"/>
      <c r="S798" s="90"/>
      <c r="U798" s="49" t="str">
        <f t="shared" si="54"/>
        <v/>
      </c>
      <c r="V798" s="16"/>
      <c r="W798" s="34"/>
      <c r="X798" s="35"/>
    </row>
    <row r="799" spans="11:24">
      <c r="K799" s="89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78"/>
      <c r="P799" s="102"/>
      <c r="Q799" s="103"/>
      <c r="R799" s="103"/>
      <c r="S799" s="90"/>
      <c r="U799" s="49" t="str">
        <f t="shared" si="54"/>
        <v/>
      </c>
      <c r="V799" s="16"/>
      <c r="W799" s="34"/>
      <c r="X799" s="35"/>
    </row>
    <row r="800" spans="11:24">
      <c r="K800" s="89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78"/>
      <c r="P800" s="102"/>
      <c r="Q800" s="103"/>
      <c r="R800" s="103"/>
      <c r="S800" s="90"/>
      <c r="U800" s="49" t="str">
        <f t="shared" si="54"/>
        <v/>
      </c>
      <c r="V800" s="16"/>
      <c r="W800" s="34"/>
      <c r="X800" s="35"/>
    </row>
    <row r="801" spans="11:24">
      <c r="K801" s="89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78"/>
      <c r="P801" s="102"/>
      <c r="Q801" s="103"/>
      <c r="R801" s="103"/>
      <c r="S801" s="90"/>
      <c r="U801" s="49" t="str">
        <f t="shared" si="54"/>
        <v/>
      </c>
      <c r="V801" s="16"/>
      <c r="W801" s="34"/>
      <c r="X801" s="35"/>
    </row>
    <row r="802" spans="11:24">
      <c r="K802" s="89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78"/>
      <c r="P802" s="102"/>
      <c r="Q802" s="103"/>
      <c r="R802" s="103"/>
      <c r="S802" s="90"/>
      <c r="U802" s="49" t="str">
        <f t="shared" si="54"/>
        <v/>
      </c>
      <c r="V802" s="16"/>
      <c r="W802" s="34"/>
      <c r="X802" s="35"/>
    </row>
    <row r="803" spans="11:24">
      <c r="K803" s="89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78"/>
      <c r="P803" s="102"/>
      <c r="Q803" s="103"/>
      <c r="R803" s="103"/>
      <c r="S803" s="90"/>
      <c r="U803" s="49" t="str">
        <f t="shared" si="54"/>
        <v/>
      </c>
      <c r="V803" s="16"/>
      <c r="W803" s="34"/>
      <c r="X803" s="35"/>
    </row>
    <row r="804" spans="11:24">
      <c r="K804" s="89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78"/>
      <c r="P804" s="102"/>
      <c r="Q804" s="103"/>
      <c r="R804" s="103"/>
      <c r="S804" s="90"/>
      <c r="U804" s="49" t="str">
        <f t="shared" si="54"/>
        <v/>
      </c>
      <c r="V804" s="16"/>
      <c r="W804" s="34"/>
      <c r="X804" s="35"/>
    </row>
    <row r="805" spans="11:24">
      <c r="K805" s="89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78"/>
      <c r="P805" s="102"/>
      <c r="Q805" s="103"/>
      <c r="R805" s="103"/>
      <c r="S805" s="90"/>
      <c r="U805" s="49" t="str">
        <f t="shared" si="54"/>
        <v/>
      </c>
      <c r="V805" s="16"/>
      <c r="W805" s="34"/>
      <c r="X805" s="35"/>
    </row>
    <row r="806" spans="11:24">
      <c r="K806" s="89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78"/>
      <c r="P806" s="102"/>
      <c r="Q806" s="103"/>
      <c r="R806" s="103"/>
      <c r="S806" s="90"/>
      <c r="U806" s="49" t="str">
        <f t="shared" si="54"/>
        <v/>
      </c>
      <c r="V806" s="16"/>
      <c r="W806" s="34"/>
      <c r="X806" s="35"/>
    </row>
    <row r="807" spans="11:24">
      <c r="K807" s="89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78"/>
      <c r="P807" s="102"/>
      <c r="Q807" s="103"/>
      <c r="R807" s="103"/>
      <c r="S807" s="90"/>
      <c r="U807" s="49" t="str">
        <f t="shared" si="54"/>
        <v/>
      </c>
      <c r="V807" s="16"/>
      <c r="W807" s="34"/>
      <c r="X807" s="35"/>
    </row>
    <row r="808" spans="11:24">
      <c r="K808" s="89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78"/>
      <c r="P808" s="102"/>
      <c r="Q808" s="103"/>
      <c r="R808" s="103"/>
      <c r="S808" s="90"/>
      <c r="U808" s="49" t="str">
        <f t="shared" si="54"/>
        <v/>
      </c>
      <c r="V808" s="16"/>
      <c r="W808" s="34"/>
      <c r="X808" s="35"/>
    </row>
    <row r="809" spans="11:24">
      <c r="K809" s="89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78"/>
      <c r="P809" s="102"/>
      <c r="Q809" s="103"/>
      <c r="R809" s="103"/>
      <c r="S809" s="90"/>
      <c r="U809" s="49" t="str">
        <f t="shared" si="54"/>
        <v/>
      </c>
      <c r="V809" s="16"/>
      <c r="W809" s="34"/>
      <c r="X809" s="35"/>
    </row>
    <row r="810" spans="11:24">
      <c r="K810" s="89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78"/>
      <c r="P810" s="102"/>
      <c r="Q810" s="103"/>
      <c r="R810" s="103"/>
      <c r="S810" s="90"/>
      <c r="U810" s="49" t="str">
        <f t="shared" si="54"/>
        <v/>
      </c>
      <c r="V810" s="16"/>
      <c r="W810" s="34"/>
      <c r="X810" s="35"/>
    </row>
    <row r="811" spans="11:24">
      <c r="K811" s="89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78"/>
      <c r="P811" s="102"/>
      <c r="Q811" s="103"/>
      <c r="R811" s="103"/>
      <c r="S811" s="90"/>
      <c r="U811" s="49" t="str">
        <f t="shared" si="54"/>
        <v/>
      </c>
      <c r="V811" s="16"/>
      <c r="W811" s="34"/>
      <c r="X811" s="35"/>
    </row>
    <row r="812" spans="11:24">
      <c r="K812" s="89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78"/>
      <c r="P812" s="102"/>
      <c r="Q812" s="103"/>
      <c r="R812" s="103"/>
      <c r="S812" s="90"/>
      <c r="U812" s="49" t="str">
        <f t="shared" si="54"/>
        <v/>
      </c>
      <c r="V812" s="16"/>
      <c r="W812" s="34"/>
      <c r="X812" s="35"/>
    </row>
    <row r="813" spans="11:24">
      <c r="K813" s="89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78"/>
      <c r="P813" s="102"/>
      <c r="Q813" s="103"/>
      <c r="R813" s="103"/>
      <c r="S813" s="90"/>
      <c r="U813" s="49" t="str">
        <f t="shared" si="54"/>
        <v/>
      </c>
      <c r="V813" s="16"/>
      <c r="W813" s="34"/>
      <c r="X813" s="35"/>
    </row>
    <row r="814" spans="11:24">
      <c r="K814" s="89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78"/>
      <c r="P814" s="102"/>
      <c r="Q814" s="103"/>
      <c r="R814" s="103"/>
      <c r="S814" s="90"/>
      <c r="U814" s="49" t="str">
        <f t="shared" si="54"/>
        <v/>
      </c>
      <c r="V814" s="16"/>
      <c r="W814" s="34"/>
      <c r="X814" s="35"/>
    </row>
    <row r="815" spans="11:24">
      <c r="K815" s="89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78"/>
      <c r="P815" s="102"/>
      <c r="Q815" s="103"/>
      <c r="R815" s="103"/>
      <c r="S815" s="90"/>
      <c r="U815" s="49" t="str">
        <f t="shared" si="54"/>
        <v/>
      </c>
      <c r="V815" s="16"/>
      <c r="W815" s="34"/>
      <c r="X815" s="35"/>
    </row>
    <row r="816" spans="11:24">
      <c r="K816" s="89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78"/>
      <c r="P816" s="102"/>
      <c r="Q816" s="103"/>
      <c r="R816" s="103"/>
      <c r="S816" s="90"/>
      <c r="U816" s="49" t="str">
        <f t="shared" si="54"/>
        <v/>
      </c>
      <c r="V816" s="16"/>
      <c r="W816" s="34"/>
      <c r="X816" s="35"/>
    </row>
    <row r="817" spans="11:24">
      <c r="K817" s="89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78"/>
      <c r="P817" s="102"/>
      <c r="Q817" s="103"/>
      <c r="R817" s="103"/>
      <c r="S817" s="90"/>
      <c r="U817" s="49" t="str">
        <f t="shared" si="54"/>
        <v/>
      </c>
      <c r="V817" s="16"/>
      <c r="W817" s="34"/>
      <c r="X817" s="35"/>
    </row>
    <row r="818" spans="11:24">
      <c r="K818" s="89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78"/>
      <c r="P818" s="102"/>
      <c r="Q818" s="103"/>
      <c r="R818" s="103"/>
      <c r="S818" s="90"/>
      <c r="U818" s="49" t="str">
        <f t="shared" si="54"/>
        <v/>
      </c>
      <c r="V818" s="16"/>
      <c r="W818" s="34"/>
      <c r="X818" s="35"/>
    </row>
    <row r="819" spans="11:24">
      <c r="K819" s="89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78"/>
      <c r="P819" s="102"/>
      <c r="Q819" s="103"/>
      <c r="R819" s="103"/>
      <c r="S819" s="90"/>
      <c r="U819" s="49" t="str">
        <f t="shared" si="54"/>
        <v/>
      </c>
      <c r="V819" s="16"/>
      <c r="W819" s="34"/>
      <c r="X819" s="35"/>
    </row>
    <row r="820" spans="11:24">
      <c r="K820" s="89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78"/>
      <c r="P820" s="102"/>
      <c r="Q820" s="103"/>
      <c r="R820" s="103"/>
      <c r="S820" s="90"/>
      <c r="U820" s="49" t="str">
        <f t="shared" si="54"/>
        <v/>
      </c>
      <c r="V820" s="16"/>
      <c r="W820" s="34"/>
      <c r="X820" s="35"/>
    </row>
    <row r="821" spans="11:24">
      <c r="K821" s="89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78"/>
      <c r="P821" s="102"/>
      <c r="Q821" s="103"/>
      <c r="R821" s="103"/>
      <c r="S821" s="90"/>
      <c r="U821" s="49" t="str">
        <f t="shared" si="54"/>
        <v/>
      </c>
      <c r="V821" s="16"/>
      <c r="W821" s="34"/>
      <c r="X821" s="35"/>
    </row>
    <row r="822" spans="11:24">
      <c r="K822" s="89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78"/>
      <c r="P822" s="102"/>
      <c r="Q822" s="103"/>
      <c r="R822" s="103"/>
      <c r="S822" s="90"/>
      <c r="U822" s="49" t="str">
        <f t="shared" si="54"/>
        <v/>
      </c>
      <c r="V822" s="16"/>
      <c r="W822" s="34"/>
      <c r="X822" s="35"/>
    </row>
    <row r="823" spans="11:24">
      <c r="K823" s="89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78"/>
      <c r="P823" s="102"/>
      <c r="Q823" s="103"/>
      <c r="R823" s="103"/>
      <c r="S823" s="90"/>
      <c r="U823" s="49" t="str">
        <f t="shared" si="54"/>
        <v/>
      </c>
      <c r="V823" s="16"/>
      <c r="W823" s="34"/>
      <c r="X823" s="35"/>
    </row>
    <row r="824" spans="11:24">
      <c r="K824" s="89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78"/>
      <c r="P824" s="102"/>
      <c r="Q824" s="103"/>
      <c r="R824" s="103"/>
      <c r="S824" s="90"/>
      <c r="U824" s="49" t="str">
        <f t="shared" si="54"/>
        <v/>
      </c>
      <c r="V824" s="16"/>
      <c r="W824" s="34"/>
      <c r="X824" s="35"/>
    </row>
    <row r="825" spans="11:24">
      <c r="K825" s="89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78"/>
      <c r="P825" s="102"/>
      <c r="Q825" s="103"/>
      <c r="R825" s="103"/>
      <c r="S825" s="90"/>
      <c r="U825" s="49" t="str">
        <f t="shared" si="54"/>
        <v/>
      </c>
      <c r="V825" s="16"/>
      <c r="W825" s="34"/>
      <c r="X825" s="35"/>
    </row>
    <row r="826" spans="11:24">
      <c r="K826" s="89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78"/>
      <c r="P826" s="102"/>
      <c r="Q826" s="103"/>
      <c r="R826" s="103"/>
      <c r="S826" s="90"/>
      <c r="U826" s="49" t="str">
        <f t="shared" si="54"/>
        <v/>
      </c>
      <c r="V826" s="16"/>
      <c r="W826" s="34"/>
      <c r="X826" s="35"/>
    </row>
    <row r="827" spans="11:24">
      <c r="K827" s="89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78"/>
      <c r="P827" s="102"/>
      <c r="Q827" s="103"/>
      <c r="R827" s="103"/>
      <c r="S827" s="90"/>
      <c r="U827" s="49" t="str">
        <f t="shared" si="54"/>
        <v/>
      </c>
      <c r="V827" s="16"/>
      <c r="W827" s="34"/>
      <c r="X827" s="35"/>
    </row>
    <row r="828" spans="11:24">
      <c r="K828" s="89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78"/>
      <c r="P828" s="102"/>
      <c r="Q828" s="103"/>
      <c r="R828" s="103"/>
      <c r="S828" s="90"/>
      <c r="U828" s="49" t="str">
        <f t="shared" si="54"/>
        <v/>
      </c>
      <c r="V828" s="16"/>
      <c r="W828" s="34"/>
      <c r="X828" s="35"/>
    </row>
    <row r="829" spans="11:24">
      <c r="K829" s="89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78"/>
      <c r="P829" s="102"/>
      <c r="Q829" s="103"/>
      <c r="R829" s="103"/>
      <c r="S829" s="90"/>
      <c r="U829" s="49" t="str">
        <f t="shared" si="54"/>
        <v/>
      </c>
      <c r="V829" s="16"/>
      <c r="W829" s="34"/>
      <c r="X829" s="35"/>
    </row>
    <row r="830" spans="11:24">
      <c r="K830" s="89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78"/>
      <c r="P830" s="102"/>
      <c r="Q830" s="103"/>
      <c r="R830" s="103"/>
      <c r="S830" s="90"/>
      <c r="U830" s="49" t="str">
        <f t="shared" si="54"/>
        <v/>
      </c>
      <c r="V830" s="16"/>
      <c r="W830" s="34"/>
      <c r="X830" s="35"/>
    </row>
    <row r="831" spans="11:24">
      <c r="K831" s="89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78"/>
      <c r="P831" s="102"/>
      <c r="Q831" s="103"/>
      <c r="R831" s="103"/>
      <c r="S831" s="90"/>
      <c r="U831" s="49" t="str">
        <f t="shared" si="54"/>
        <v/>
      </c>
      <c r="V831" s="16"/>
      <c r="W831" s="34"/>
      <c r="X831" s="35"/>
    </row>
    <row r="832" spans="11:24">
      <c r="K832" s="89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78"/>
      <c r="P832" s="102"/>
      <c r="Q832" s="103"/>
      <c r="R832" s="103"/>
      <c r="S832" s="90"/>
      <c r="U832" s="49" t="str">
        <f t="shared" si="54"/>
        <v/>
      </c>
      <c r="V832" s="16"/>
      <c r="W832" s="34"/>
      <c r="X832" s="35"/>
    </row>
    <row r="833" spans="11:24">
      <c r="K833" s="89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78"/>
      <c r="P833" s="102"/>
      <c r="Q833" s="103"/>
      <c r="R833" s="103"/>
      <c r="S833" s="90"/>
      <c r="U833" s="49" t="str">
        <f t="shared" si="54"/>
        <v/>
      </c>
      <c r="V833" s="16"/>
      <c r="W833" s="34"/>
      <c r="X833" s="35"/>
    </row>
    <row r="834" spans="11:24">
      <c r="K834" s="89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78"/>
      <c r="P834" s="102"/>
      <c r="Q834" s="103"/>
      <c r="R834" s="103"/>
      <c r="S834" s="90"/>
      <c r="U834" s="49" t="str">
        <f t="shared" si="54"/>
        <v/>
      </c>
      <c r="V834" s="16"/>
      <c r="W834" s="34"/>
      <c r="X834" s="35"/>
    </row>
    <row r="835" spans="11:24">
      <c r="K835" s="89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78"/>
      <c r="P835" s="102"/>
      <c r="Q835" s="103"/>
      <c r="R835" s="103"/>
      <c r="S835" s="90"/>
      <c r="U835" s="49" t="str">
        <f t="shared" si="54"/>
        <v/>
      </c>
      <c r="V835" s="16"/>
      <c r="W835" s="34"/>
      <c r="X835" s="35"/>
    </row>
    <row r="836" spans="11:24">
      <c r="K836" s="89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78"/>
      <c r="P836" s="102"/>
      <c r="Q836" s="103"/>
      <c r="R836" s="103"/>
      <c r="S836" s="90"/>
      <c r="U836" s="49" t="str">
        <f t="shared" si="54"/>
        <v/>
      </c>
      <c r="V836" s="16"/>
      <c r="W836" s="34"/>
      <c r="X836" s="35"/>
    </row>
    <row r="837" spans="11:24">
      <c r="K837" s="89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78"/>
      <c r="P837" s="102"/>
      <c r="Q837" s="103"/>
      <c r="R837" s="103"/>
      <c r="S837" s="90"/>
      <c r="U837" s="49" t="str">
        <f t="shared" si="54"/>
        <v/>
      </c>
      <c r="V837" s="16"/>
      <c r="W837" s="34"/>
      <c r="X837" s="35"/>
    </row>
    <row r="838" spans="11:24">
      <c r="K838" s="89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78"/>
      <c r="P838" s="102"/>
      <c r="Q838" s="103"/>
      <c r="R838" s="103"/>
      <c r="S838" s="90"/>
      <c r="U838" s="49" t="str">
        <f t="shared" si="54"/>
        <v/>
      </c>
      <c r="V838" s="16"/>
      <c r="W838" s="34"/>
      <c r="X838" s="35"/>
    </row>
    <row r="839" spans="11:24">
      <c r="K839" s="89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78"/>
      <c r="P839" s="102"/>
      <c r="Q839" s="103"/>
      <c r="R839" s="103"/>
      <c r="S839" s="90"/>
      <c r="U839" s="49" t="str">
        <f t="shared" si="54"/>
        <v/>
      </c>
      <c r="V839" s="16"/>
      <c r="W839" s="34"/>
      <c r="X839" s="35"/>
    </row>
    <row r="840" spans="11:24">
      <c r="K840" s="89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78"/>
      <c r="P840" s="102"/>
      <c r="Q840" s="103"/>
      <c r="R840" s="103"/>
      <c r="S840" s="90"/>
      <c r="U840" s="49" t="str">
        <f t="shared" si="54"/>
        <v/>
      </c>
      <c r="V840" s="16"/>
      <c r="W840" s="34"/>
      <c r="X840" s="35"/>
    </row>
    <row r="841" spans="11:24">
      <c r="K841" s="89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78"/>
      <c r="P842" s="102"/>
      <c r="Q842" s="103"/>
      <c r="R842" s="103"/>
      <c r="S842" s="90"/>
      <c r="U842" s="49" t="str">
        <f t="shared" si="58"/>
        <v/>
      </c>
      <c r="V842" s="16"/>
      <c r="W842" s="34"/>
      <c r="X842" s="35"/>
    </row>
    <row r="843" spans="11:24">
      <c r="K843" s="89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78"/>
      <c r="P843" s="102"/>
      <c r="Q843" s="103"/>
      <c r="R843" s="103"/>
      <c r="S843" s="90"/>
      <c r="U843" s="49" t="str">
        <f t="shared" si="58"/>
        <v/>
      </c>
      <c r="V843" s="16"/>
      <c r="W843" s="34"/>
      <c r="X843" s="35"/>
    </row>
    <row r="844" spans="11:24">
      <c r="K844" s="89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78"/>
      <c r="P844" s="102"/>
      <c r="Q844" s="103"/>
      <c r="R844" s="103"/>
      <c r="S844" s="90"/>
      <c r="U844" s="49" t="str">
        <f t="shared" si="58"/>
        <v/>
      </c>
      <c r="V844" s="16"/>
      <c r="W844" s="34"/>
      <c r="X844" s="35"/>
    </row>
    <row r="845" spans="11:24">
      <c r="K845" s="89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78"/>
      <c r="P845" s="102"/>
      <c r="Q845" s="103"/>
      <c r="R845" s="103"/>
      <c r="S845" s="90"/>
      <c r="U845" s="49" t="str">
        <f t="shared" si="58"/>
        <v/>
      </c>
      <c r="V845" s="16"/>
      <c r="W845" s="34"/>
      <c r="X845" s="35"/>
    </row>
    <row r="846" spans="11:24">
      <c r="K846" s="89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78"/>
      <c r="P846" s="102"/>
      <c r="Q846" s="103"/>
      <c r="R846" s="103"/>
      <c r="S846" s="90"/>
      <c r="U846" s="49" t="str">
        <f t="shared" si="58"/>
        <v/>
      </c>
      <c r="V846" s="16"/>
      <c r="W846" s="34"/>
      <c r="X846" s="35"/>
    </row>
    <row r="847" spans="11:24">
      <c r="K847" s="89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78"/>
      <c r="P847" s="102"/>
      <c r="Q847" s="103"/>
      <c r="R847" s="103"/>
      <c r="S847" s="90"/>
      <c r="U847" s="49" t="str">
        <f t="shared" si="58"/>
        <v/>
      </c>
      <c r="V847" s="16"/>
      <c r="W847" s="34"/>
      <c r="X847" s="35"/>
    </row>
    <row r="848" spans="11:24">
      <c r="K848" s="89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78"/>
      <c r="P848" s="102"/>
      <c r="Q848" s="103"/>
      <c r="R848" s="103"/>
      <c r="S848" s="90"/>
      <c r="U848" s="49" t="str">
        <f t="shared" si="58"/>
        <v/>
      </c>
      <c r="V848" s="16"/>
      <c r="W848" s="34"/>
      <c r="X848" s="35"/>
    </row>
    <row r="849" spans="11:24">
      <c r="K849" s="89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78"/>
      <c r="P849" s="102"/>
      <c r="Q849" s="103"/>
      <c r="R849" s="103"/>
      <c r="S849" s="90"/>
      <c r="U849" s="49" t="str">
        <f t="shared" si="58"/>
        <v/>
      </c>
      <c r="V849" s="16"/>
      <c r="W849" s="34"/>
      <c r="X849" s="35"/>
    </row>
    <row r="850" spans="11:24">
      <c r="K850" s="89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78"/>
      <c r="P850" s="102"/>
      <c r="Q850" s="103"/>
      <c r="R850" s="103"/>
      <c r="S850" s="90"/>
      <c r="U850" s="49" t="str">
        <f t="shared" si="58"/>
        <v/>
      </c>
      <c r="V850" s="16"/>
      <c r="W850" s="34"/>
      <c r="X850" s="35"/>
    </row>
    <row r="851" spans="11:24">
      <c r="K851" s="89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78"/>
      <c r="P851" s="102"/>
      <c r="Q851" s="103"/>
      <c r="R851" s="103"/>
      <c r="S851" s="90"/>
      <c r="U851" s="49" t="str">
        <f t="shared" si="58"/>
        <v/>
      </c>
      <c r="V851" s="16"/>
      <c r="W851" s="34"/>
      <c r="X851" s="35"/>
    </row>
    <row r="852" spans="11:24">
      <c r="K852" s="89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78"/>
      <c r="P852" s="102"/>
      <c r="Q852" s="103"/>
      <c r="R852" s="103"/>
      <c r="S852" s="90"/>
      <c r="U852" s="49" t="str">
        <f t="shared" si="58"/>
        <v/>
      </c>
      <c r="V852" s="16"/>
      <c r="W852" s="34"/>
      <c r="X852" s="35"/>
    </row>
    <row r="853" spans="11:24">
      <c r="K853" s="89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78"/>
      <c r="P853" s="102"/>
      <c r="Q853" s="103"/>
      <c r="R853" s="103"/>
      <c r="S853" s="90"/>
      <c r="U853" s="49" t="str">
        <f t="shared" si="58"/>
        <v/>
      </c>
      <c r="V853" s="16"/>
      <c r="W853" s="34"/>
      <c r="X853" s="35"/>
    </row>
    <row r="854" spans="11:24">
      <c r="K854" s="89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78"/>
      <c r="P854" s="102"/>
      <c r="Q854" s="103"/>
      <c r="R854" s="103"/>
      <c r="S854" s="90"/>
      <c r="U854" s="49" t="str">
        <f t="shared" si="58"/>
        <v/>
      </c>
      <c r="V854" s="16"/>
      <c r="W854" s="34"/>
      <c r="X854" s="35"/>
    </row>
    <row r="855" spans="11:24">
      <c r="K855" s="89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78"/>
      <c r="P855" s="102"/>
      <c r="Q855" s="103"/>
      <c r="R855" s="103"/>
      <c r="S855" s="90"/>
      <c r="U855" s="49" t="str">
        <f t="shared" si="58"/>
        <v/>
      </c>
      <c r="V855" s="16"/>
      <c r="W855" s="34"/>
      <c r="X855" s="35"/>
    </row>
    <row r="856" spans="11:24">
      <c r="K856" s="89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78"/>
      <c r="P856" s="102"/>
      <c r="Q856" s="103"/>
      <c r="R856" s="103"/>
      <c r="S856" s="90"/>
      <c r="U856" s="49" t="str">
        <f t="shared" si="58"/>
        <v/>
      </c>
      <c r="V856" s="16"/>
      <c r="W856" s="34"/>
      <c r="X856" s="35"/>
    </row>
    <row r="857" spans="11:24">
      <c r="K857" s="89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78"/>
      <c r="P857" s="102"/>
      <c r="Q857" s="103"/>
      <c r="R857" s="103"/>
      <c r="S857" s="90"/>
      <c r="U857" s="49" t="str">
        <f t="shared" si="58"/>
        <v/>
      </c>
      <c r="V857" s="16"/>
      <c r="W857" s="34"/>
      <c r="X857" s="35"/>
    </row>
    <row r="858" spans="11:24">
      <c r="K858" s="89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78"/>
      <c r="P858" s="102"/>
      <c r="Q858" s="103"/>
      <c r="R858" s="103"/>
      <c r="S858" s="90"/>
      <c r="U858" s="49" t="str">
        <f t="shared" si="58"/>
        <v/>
      </c>
      <c r="V858" s="16"/>
      <c r="W858" s="34"/>
      <c r="X858" s="35"/>
    </row>
    <row r="859" spans="11:24">
      <c r="K859" s="89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78"/>
      <c r="P859" s="102"/>
      <c r="Q859" s="103"/>
      <c r="R859" s="103"/>
      <c r="S859" s="90"/>
      <c r="U859" s="49" t="str">
        <f t="shared" si="58"/>
        <v/>
      </c>
      <c r="V859" s="16"/>
      <c r="W859" s="34"/>
      <c r="X859" s="35"/>
    </row>
    <row r="860" spans="11:24">
      <c r="K860" s="89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78"/>
      <c r="P860" s="102"/>
      <c r="Q860" s="103"/>
      <c r="R860" s="103"/>
      <c r="S860" s="90"/>
      <c r="U860" s="49" t="str">
        <f t="shared" si="58"/>
        <v/>
      </c>
      <c r="V860" s="16"/>
      <c r="W860" s="34"/>
      <c r="X860" s="35"/>
    </row>
    <row r="861" spans="11:24">
      <c r="K861" s="89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78"/>
      <c r="P861" s="102"/>
      <c r="Q861" s="103"/>
      <c r="R861" s="103"/>
      <c r="S861" s="90"/>
      <c r="U861" s="49" t="str">
        <f t="shared" si="58"/>
        <v/>
      </c>
      <c r="V861" s="16"/>
      <c r="W861" s="34"/>
      <c r="X861" s="35"/>
    </row>
    <row r="862" spans="11:24">
      <c r="K862" s="89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78"/>
      <c r="P862" s="102"/>
      <c r="Q862" s="103"/>
      <c r="R862" s="103"/>
      <c r="S862" s="90"/>
      <c r="U862" s="49" t="str">
        <f t="shared" si="58"/>
        <v/>
      </c>
      <c r="V862" s="16"/>
      <c r="W862" s="34"/>
      <c r="X862" s="35"/>
    </row>
    <row r="863" spans="11:24">
      <c r="K863" s="89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78"/>
      <c r="P863" s="102"/>
      <c r="Q863" s="103"/>
      <c r="R863" s="103"/>
      <c r="S863" s="90"/>
      <c r="U863" s="49" t="str">
        <f t="shared" si="58"/>
        <v/>
      </c>
      <c r="V863" s="16"/>
      <c r="W863" s="34"/>
      <c r="X863" s="35"/>
    </row>
    <row r="864" spans="11:24">
      <c r="K864" s="89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78"/>
      <c r="P864" s="102"/>
      <c r="Q864" s="103"/>
      <c r="R864" s="103"/>
      <c r="S864" s="90"/>
      <c r="U864" s="49" t="str">
        <f t="shared" si="58"/>
        <v/>
      </c>
      <c r="V864" s="16"/>
      <c r="W864" s="34"/>
      <c r="X864" s="35"/>
    </row>
    <row r="865" spans="11:24">
      <c r="K865" s="89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78"/>
      <c r="P865" s="102"/>
      <c r="Q865" s="103"/>
      <c r="R865" s="103"/>
      <c r="S865" s="90"/>
      <c r="U865" s="49" t="str">
        <f t="shared" si="58"/>
        <v/>
      </c>
      <c r="V865" s="16"/>
      <c r="W865" s="34"/>
      <c r="X865" s="35"/>
    </row>
    <row r="866" spans="11:24">
      <c r="K866" s="89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78"/>
      <c r="P866" s="102"/>
      <c r="Q866" s="103"/>
      <c r="R866" s="103"/>
      <c r="S866" s="90"/>
      <c r="U866" s="49" t="str">
        <f t="shared" si="58"/>
        <v/>
      </c>
      <c r="V866" s="16"/>
      <c r="W866" s="34"/>
      <c r="X866" s="35"/>
    </row>
    <row r="867" spans="11:24">
      <c r="K867" s="89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78"/>
      <c r="P867" s="102"/>
      <c r="Q867" s="103"/>
      <c r="R867" s="103"/>
      <c r="S867" s="90"/>
      <c r="U867" s="49" t="str">
        <f t="shared" si="58"/>
        <v/>
      </c>
      <c r="V867" s="16"/>
      <c r="W867" s="34"/>
      <c r="X867" s="35"/>
    </row>
    <row r="868" spans="11:24">
      <c r="K868" s="89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78"/>
      <c r="P868" s="102"/>
      <c r="Q868" s="103"/>
      <c r="R868" s="103"/>
      <c r="S868" s="90"/>
      <c r="U868" s="49" t="str">
        <f t="shared" si="58"/>
        <v/>
      </c>
      <c r="V868" s="16"/>
      <c r="W868" s="34"/>
      <c r="X868" s="35"/>
    </row>
    <row r="869" spans="11:24">
      <c r="K869" s="89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78"/>
      <c r="P869" s="102"/>
      <c r="Q869" s="103"/>
      <c r="R869" s="103"/>
      <c r="S869" s="90"/>
      <c r="U869" s="49" t="str">
        <f t="shared" si="58"/>
        <v/>
      </c>
      <c r="V869" s="16"/>
      <c r="W869" s="34"/>
      <c r="X869" s="35"/>
    </row>
    <row r="870" spans="11:24">
      <c r="K870" s="89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78"/>
      <c r="P870" s="102"/>
      <c r="Q870" s="103"/>
      <c r="R870" s="103"/>
      <c r="S870" s="90"/>
      <c r="U870" s="49" t="str">
        <f t="shared" si="58"/>
        <v/>
      </c>
      <c r="V870" s="16"/>
      <c r="W870" s="34"/>
      <c r="X870" s="35"/>
    </row>
    <row r="871" spans="11:24">
      <c r="K871" s="89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78"/>
      <c r="P871" s="102"/>
      <c r="Q871" s="103"/>
      <c r="R871" s="103"/>
      <c r="S871" s="90"/>
      <c r="U871" s="49" t="str">
        <f t="shared" si="58"/>
        <v/>
      </c>
      <c r="V871" s="16"/>
      <c r="W871" s="34"/>
      <c r="X871" s="35"/>
    </row>
    <row r="872" spans="11:24">
      <c r="K872" s="89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78"/>
      <c r="P872" s="102"/>
      <c r="Q872" s="103"/>
      <c r="R872" s="103"/>
      <c r="S872" s="90"/>
      <c r="U872" s="49" t="str">
        <f t="shared" si="58"/>
        <v/>
      </c>
      <c r="V872" s="16"/>
      <c r="W872" s="34"/>
      <c r="X872" s="35"/>
    </row>
    <row r="873" spans="11:24">
      <c r="K873" s="89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78"/>
      <c r="P873" s="102"/>
      <c r="Q873" s="103"/>
      <c r="R873" s="103"/>
      <c r="S873" s="90"/>
      <c r="U873" s="49" t="str">
        <f t="shared" si="58"/>
        <v/>
      </c>
      <c r="V873" s="16"/>
      <c r="W873" s="34"/>
      <c r="X873" s="35"/>
    </row>
    <row r="874" spans="11:24">
      <c r="K874" s="89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78"/>
      <c r="P874" s="102"/>
      <c r="Q874" s="103"/>
      <c r="R874" s="103"/>
      <c r="S874" s="90"/>
      <c r="U874" s="49" t="str">
        <f t="shared" si="58"/>
        <v/>
      </c>
      <c r="V874" s="16"/>
      <c r="W874" s="34"/>
      <c r="X874" s="35"/>
    </row>
    <row r="875" spans="11:24">
      <c r="K875" s="89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78"/>
      <c r="P875" s="102"/>
      <c r="Q875" s="103"/>
      <c r="R875" s="103"/>
      <c r="S875" s="90"/>
      <c r="U875" s="49" t="str">
        <f t="shared" si="58"/>
        <v/>
      </c>
      <c r="V875" s="16"/>
      <c r="W875" s="34"/>
      <c r="X875" s="35"/>
    </row>
    <row r="876" spans="11:24">
      <c r="K876" s="89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78"/>
      <c r="P876" s="102"/>
      <c r="Q876" s="103"/>
      <c r="R876" s="103"/>
      <c r="S876" s="90"/>
      <c r="U876" s="49" t="str">
        <f t="shared" si="58"/>
        <v/>
      </c>
      <c r="V876" s="16"/>
      <c r="W876" s="34"/>
      <c r="X876" s="35"/>
    </row>
    <row r="877" spans="11:24">
      <c r="K877" s="89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78"/>
      <c r="P877" s="102"/>
      <c r="Q877" s="103"/>
      <c r="R877" s="103"/>
      <c r="S877" s="90"/>
      <c r="U877" s="49" t="str">
        <f t="shared" si="58"/>
        <v/>
      </c>
      <c r="V877" s="16"/>
      <c r="W877" s="34"/>
      <c r="X877" s="35"/>
    </row>
    <row r="878" spans="11:24">
      <c r="K878" s="89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78"/>
      <c r="P878" s="102"/>
      <c r="Q878" s="103"/>
      <c r="R878" s="103"/>
      <c r="S878" s="90"/>
      <c r="U878" s="49" t="str">
        <f t="shared" si="58"/>
        <v/>
      </c>
      <c r="V878" s="16"/>
      <c r="W878" s="34"/>
      <c r="X878" s="35"/>
    </row>
    <row r="879" spans="11:24">
      <c r="K879" s="89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78"/>
      <c r="P879" s="102"/>
      <c r="Q879" s="103"/>
      <c r="R879" s="103"/>
      <c r="S879" s="90"/>
      <c r="U879" s="49" t="str">
        <f t="shared" si="58"/>
        <v/>
      </c>
      <c r="V879" s="16"/>
      <c r="W879" s="34"/>
      <c r="X879" s="35"/>
    </row>
    <row r="880" spans="11:24">
      <c r="K880" s="89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78"/>
      <c r="P880" s="102"/>
      <c r="Q880" s="103"/>
      <c r="R880" s="103"/>
      <c r="S880" s="90"/>
      <c r="U880" s="49" t="str">
        <f t="shared" si="58"/>
        <v/>
      </c>
      <c r="V880" s="16"/>
      <c r="W880" s="34"/>
      <c r="X880" s="35"/>
    </row>
    <row r="881" spans="11:24">
      <c r="K881" s="89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78"/>
      <c r="P881" s="102"/>
      <c r="Q881" s="103"/>
      <c r="R881" s="103"/>
      <c r="S881" s="90"/>
      <c r="U881" s="49" t="str">
        <f t="shared" si="58"/>
        <v/>
      </c>
      <c r="V881" s="16"/>
      <c r="W881" s="34"/>
      <c r="X881" s="35"/>
    </row>
    <row r="882" spans="11:24">
      <c r="K882" s="89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78"/>
      <c r="P882" s="102"/>
      <c r="Q882" s="103"/>
      <c r="R882" s="103"/>
      <c r="S882" s="90"/>
      <c r="U882" s="49" t="str">
        <f t="shared" si="58"/>
        <v/>
      </c>
      <c r="V882" s="16"/>
      <c r="W882" s="34"/>
      <c r="X882" s="35"/>
    </row>
    <row r="883" spans="11:24">
      <c r="K883" s="89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78"/>
      <c r="P883" s="102"/>
      <c r="Q883" s="103"/>
      <c r="R883" s="103"/>
      <c r="S883" s="90"/>
      <c r="U883" s="49" t="str">
        <f t="shared" si="58"/>
        <v/>
      </c>
      <c r="V883" s="16"/>
      <c r="W883" s="34"/>
      <c r="X883" s="35"/>
    </row>
    <row r="884" spans="11:24">
      <c r="K884" s="89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78"/>
      <c r="P884" s="102"/>
      <c r="Q884" s="103"/>
      <c r="R884" s="103"/>
      <c r="S884" s="90"/>
      <c r="U884" s="49" t="str">
        <f t="shared" si="58"/>
        <v/>
      </c>
      <c r="V884" s="16"/>
      <c r="W884" s="34"/>
      <c r="X884" s="35"/>
    </row>
    <row r="885" spans="11:24">
      <c r="K885" s="89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78"/>
      <c r="P885" s="102"/>
      <c r="Q885" s="103"/>
      <c r="R885" s="103"/>
      <c r="S885" s="90"/>
      <c r="U885" s="49" t="str">
        <f t="shared" si="58"/>
        <v/>
      </c>
      <c r="V885" s="16"/>
      <c r="W885" s="34"/>
      <c r="X885" s="35"/>
    </row>
    <row r="886" spans="11:24">
      <c r="K886" s="89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78"/>
      <c r="P886" s="102"/>
      <c r="Q886" s="103"/>
      <c r="R886" s="103"/>
      <c r="S886" s="90"/>
      <c r="U886" s="49" t="str">
        <f t="shared" si="58"/>
        <v/>
      </c>
      <c r="V886" s="16"/>
      <c r="W886" s="34"/>
      <c r="X886" s="35"/>
    </row>
    <row r="887" spans="11:24">
      <c r="K887" s="89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78"/>
      <c r="P887" s="102"/>
      <c r="Q887" s="103"/>
      <c r="R887" s="103"/>
      <c r="S887" s="90"/>
      <c r="U887" s="49" t="str">
        <f t="shared" si="58"/>
        <v/>
      </c>
      <c r="V887" s="16"/>
      <c r="W887" s="34"/>
      <c r="X887" s="35"/>
    </row>
    <row r="888" spans="11:24">
      <c r="K888" s="89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78"/>
      <c r="P888" s="102"/>
      <c r="Q888" s="103"/>
      <c r="R888" s="103"/>
      <c r="S888" s="90"/>
      <c r="U888" s="49" t="str">
        <f t="shared" si="58"/>
        <v/>
      </c>
      <c r="V888" s="16"/>
      <c r="W888" s="34"/>
      <c r="X888" s="35"/>
    </row>
    <row r="889" spans="11:24">
      <c r="K889" s="89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78"/>
      <c r="P889" s="102"/>
      <c r="Q889" s="103"/>
      <c r="R889" s="103"/>
      <c r="S889" s="90"/>
      <c r="U889" s="49" t="str">
        <f t="shared" si="58"/>
        <v/>
      </c>
      <c r="V889" s="16"/>
      <c r="W889" s="34"/>
      <c r="X889" s="35"/>
    </row>
    <row r="890" spans="11:24">
      <c r="K890" s="89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78"/>
      <c r="P890" s="102"/>
      <c r="Q890" s="103"/>
      <c r="R890" s="103"/>
      <c r="S890" s="90"/>
      <c r="U890" s="49" t="str">
        <f t="shared" si="58"/>
        <v/>
      </c>
      <c r="V890" s="16"/>
      <c r="W890" s="34"/>
      <c r="X890" s="35"/>
    </row>
    <row r="891" spans="11:24">
      <c r="K891" s="89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78"/>
      <c r="P891" s="102"/>
      <c r="Q891" s="103"/>
      <c r="R891" s="103"/>
      <c r="S891" s="90"/>
      <c r="U891" s="49" t="str">
        <f t="shared" si="58"/>
        <v/>
      </c>
      <c r="V891" s="16"/>
      <c r="W891" s="34"/>
      <c r="X891" s="35"/>
    </row>
    <row r="892" spans="11:24">
      <c r="K892" s="89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78"/>
      <c r="P892" s="102"/>
      <c r="Q892" s="103"/>
      <c r="R892" s="103"/>
      <c r="S892" s="90"/>
      <c r="U892" s="49" t="str">
        <f t="shared" si="58"/>
        <v/>
      </c>
      <c r="V892" s="16"/>
      <c r="W892" s="34"/>
      <c r="X892" s="35"/>
    </row>
    <row r="893" spans="11:24">
      <c r="K893" s="89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78"/>
      <c r="P893" s="102"/>
      <c r="Q893" s="103"/>
      <c r="R893" s="103"/>
      <c r="S893" s="90"/>
      <c r="U893" s="49" t="str">
        <f t="shared" si="58"/>
        <v/>
      </c>
      <c r="V893" s="16"/>
      <c r="W893" s="34"/>
      <c r="X893" s="35"/>
    </row>
    <row r="894" spans="11:24">
      <c r="K894" s="89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78"/>
      <c r="P894" s="102"/>
      <c r="Q894" s="103"/>
      <c r="R894" s="103"/>
      <c r="S894" s="90"/>
      <c r="U894" s="49" t="str">
        <f t="shared" si="58"/>
        <v/>
      </c>
      <c r="V894" s="16"/>
      <c r="W894" s="34"/>
      <c r="X894" s="35"/>
    </row>
    <row r="895" spans="11:24">
      <c r="K895" s="89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78"/>
      <c r="P895" s="102"/>
      <c r="Q895" s="103"/>
      <c r="R895" s="103"/>
      <c r="S895" s="90"/>
      <c r="U895" s="49" t="str">
        <f t="shared" si="58"/>
        <v/>
      </c>
      <c r="V895" s="16"/>
      <c r="W895" s="34"/>
      <c r="X895" s="35"/>
    </row>
    <row r="896" spans="11:24">
      <c r="K896" s="89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78"/>
      <c r="P896" s="102"/>
      <c r="Q896" s="103"/>
      <c r="R896" s="103"/>
      <c r="S896" s="90"/>
      <c r="U896" s="49" t="str">
        <f t="shared" si="58"/>
        <v/>
      </c>
      <c r="V896" s="16"/>
      <c r="W896" s="34"/>
      <c r="X896" s="35"/>
    </row>
    <row r="897" spans="11:24">
      <c r="K897" s="89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78"/>
      <c r="P897" s="102"/>
      <c r="Q897" s="103"/>
      <c r="R897" s="103"/>
      <c r="S897" s="90"/>
      <c r="U897" s="49" t="str">
        <f t="shared" si="58"/>
        <v/>
      </c>
      <c r="V897" s="16"/>
      <c r="W897" s="34"/>
      <c r="X897" s="35"/>
    </row>
    <row r="898" spans="11:24">
      <c r="K898" s="89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78"/>
      <c r="P898" s="102"/>
      <c r="Q898" s="103"/>
      <c r="R898" s="103"/>
      <c r="S898" s="90"/>
      <c r="U898" s="49" t="str">
        <f t="shared" si="58"/>
        <v/>
      </c>
      <c r="V898" s="16"/>
      <c r="W898" s="34"/>
      <c r="X898" s="35"/>
    </row>
    <row r="899" spans="11:24">
      <c r="K899" s="89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78"/>
      <c r="P899" s="102"/>
      <c r="Q899" s="103"/>
      <c r="R899" s="103"/>
      <c r="S899" s="90"/>
      <c r="U899" s="49" t="str">
        <f t="shared" si="58"/>
        <v/>
      </c>
      <c r="V899" s="16"/>
      <c r="W899" s="34"/>
      <c r="X899" s="35"/>
    </row>
    <row r="900" spans="11:24">
      <c r="K900" s="89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78"/>
      <c r="P900" s="102"/>
      <c r="Q900" s="103"/>
      <c r="R900" s="103"/>
      <c r="S900" s="90"/>
      <c r="U900" s="49" t="str">
        <f t="shared" si="58"/>
        <v/>
      </c>
      <c r="V900" s="16"/>
      <c r="W900" s="34"/>
      <c r="X900" s="35"/>
    </row>
    <row r="901" spans="11:24">
      <c r="K901" s="89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78"/>
      <c r="P901" s="102"/>
      <c r="Q901" s="103"/>
      <c r="R901" s="103"/>
      <c r="S901" s="90"/>
      <c r="U901" s="49" t="str">
        <f t="shared" si="58"/>
        <v/>
      </c>
      <c r="V901" s="16"/>
      <c r="W901" s="34"/>
      <c r="X901" s="35"/>
    </row>
    <row r="902" spans="11:24">
      <c r="K902" s="89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78"/>
      <c r="P902" s="102"/>
      <c r="Q902" s="103"/>
      <c r="R902" s="103"/>
      <c r="S902" s="90"/>
      <c r="U902" s="49" t="str">
        <f t="shared" si="58"/>
        <v/>
      </c>
      <c r="V902" s="16"/>
      <c r="W902" s="34"/>
      <c r="X902" s="35"/>
    </row>
    <row r="903" spans="11:24">
      <c r="K903" s="89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78"/>
      <c r="P903" s="102"/>
      <c r="Q903" s="103"/>
      <c r="R903" s="103"/>
      <c r="S903" s="90"/>
      <c r="U903" s="49" t="str">
        <f t="shared" si="58"/>
        <v/>
      </c>
      <c r="V903" s="16"/>
      <c r="W903" s="34"/>
      <c r="X903" s="35"/>
    </row>
    <row r="904" spans="11:24">
      <c r="K904" s="89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78"/>
      <c r="P904" s="102"/>
      <c r="Q904" s="103"/>
      <c r="R904" s="103"/>
      <c r="S904" s="90"/>
      <c r="U904" s="49" t="str">
        <f t="shared" si="58"/>
        <v/>
      </c>
      <c r="V904" s="16"/>
      <c r="W904" s="34"/>
      <c r="X904" s="35"/>
    </row>
    <row r="905" spans="11:24">
      <c r="K905" s="89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78"/>
      <c r="P906" s="102"/>
      <c r="Q906" s="103"/>
      <c r="R906" s="103"/>
      <c r="S906" s="90"/>
      <c r="U906" s="49" t="str">
        <f t="shared" si="62"/>
        <v/>
      </c>
      <c r="V906" s="16"/>
      <c r="W906" s="34"/>
      <c r="X906" s="35"/>
    </row>
    <row r="907" spans="11:24">
      <c r="K907" s="89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78"/>
      <c r="P907" s="102"/>
      <c r="Q907" s="103"/>
      <c r="R907" s="103"/>
      <c r="S907" s="90"/>
      <c r="U907" s="49" t="str">
        <f t="shared" si="62"/>
        <v/>
      </c>
      <c r="V907" s="16"/>
      <c r="W907" s="34"/>
      <c r="X907" s="35"/>
    </row>
    <row r="908" spans="11:24">
      <c r="K908" s="89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78"/>
      <c r="P908" s="102"/>
      <c r="Q908" s="103"/>
      <c r="R908" s="103"/>
      <c r="S908" s="90"/>
      <c r="U908" s="49" t="str">
        <f t="shared" si="62"/>
        <v/>
      </c>
      <c r="V908" s="16"/>
      <c r="W908" s="34"/>
      <c r="X908" s="35"/>
    </row>
    <row r="909" spans="11:24">
      <c r="K909" s="89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78"/>
      <c r="P909" s="102"/>
      <c r="Q909" s="103"/>
      <c r="R909" s="103"/>
      <c r="S909" s="90"/>
      <c r="U909" s="49" t="str">
        <f t="shared" si="62"/>
        <v/>
      </c>
      <c r="V909" s="16"/>
      <c r="W909" s="34"/>
      <c r="X909" s="35"/>
    </row>
    <row r="910" spans="11:24">
      <c r="K910" s="89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78"/>
      <c r="P910" s="102"/>
      <c r="Q910" s="103"/>
      <c r="R910" s="103"/>
      <c r="S910" s="90"/>
      <c r="U910" s="49" t="str">
        <f t="shared" si="62"/>
        <v/>
      </c>
      <c r="V910" s="16"/>
      <c r="W910" s="34"/>
      <c r="X910" s="35"/>
    </row>
    <row r="911" spans="11:24">
      <c r="K911" s="89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78"/>
      <c r="P911" s="102"/>
      <c r="Q911" s="103"/>
      <c r="R911" s="103"/>
      <c r="S911" s="90"/>
      <c r="U911" s="49" t="str">
        <f t="shared" si="62"/>
        <v/>
      </c>
      <c r="V911" s="16"/>
      <c r="W911" s="34"/>
      <c r="X911" s="35"/>
    </row>
    <row r="912" spans="11:24">
      <c r="K912" s="89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78"/>
      <c r="P912" s="102"/>
      <c r="Q912" s="103"/>
      <c r="R912" s="103"/>
      <c r="S912" s="90"/>
      <c r="U912" s="49" t="str">
        <f t="shared" si="62"/>
        <v/>
      </c>
      <c r="V912" s="16"/>
      <c r="W912" s="34"/>
      <c r="X912" s="35"/>
    </row>
    <row r="913" spans="11:24">
      <c r="K913" s="89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78"/>
      <c r="P913" s="102"/>
      <c r="Q913" s="103"/>
      <c r="R913" s="103"/>
      <c r="S913" s="90"/>
      <c r="U913" s="49" t="str">
        <f t="shared" si="62"/>
        <v/>
      </c>
      <c r="V913" s="16"/>
      <c r="W913" s="34"/>
      <c r="X913" s="35"/>
    </row>
    <row r="914" spans="11:24">
      <c r="K914" s="89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78"/>
      <c r="P914" s="102"/>
      <c r="Q914" s="103"/>
      <c r="R914" s="103"/>
      <c r="S914" s="90"/>
      <c r="U914" s="49" t="str">
        <f t="shared" si="62"/>
        <v/>
      </c>
      <c r="V914" s="16"/>
      <c r="W914" s="34"/>
      <c r="X914" s="35"/>
    </row>
    <row r="915" spans="11:24">
      <c r="K915" s="89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78"/>
      <c r="P915" s="102"/>
      <c r="Q915" s="103"/>
      <c r="R915" s="103"/>
      <c r="S915" s="90"/>
      <c r="U915" s="49" t="str">
        <f t="shared" si="62"/>
        <v/>
      </c>
      <c r="V915" s="16"/>
      <c r="W915" s="34"/>
      <c r="X915" s="35"/>
    </row>
    <row r="916" spans="11:24">
      <c r="K916" s="89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78"/>
      <c r="P916" s="102"/>
      <c r="Q916" s="103"/>
      <c r="R916" s="103"/>
      <c r="S916" s="90"/>
      <c r="U916" s="49" t="str">
        <f t="shared" si="62"/>
        <v/>
      </c>
      <c r="V916" s="16"/>
      <c r="W916" s="34"/>
      <c r="X916" s="35"/>
    </row>
    <row r="917" spans="11:24">
      <c r="K917" s="89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78"/>
      <c r="P917" s="102"/>
      <c r="Q917" s="103"/>
      <c r="R917" s="103"/>
      <c r="S917" s="90"/>
      <c r="U917" s="49" t="str">
        <f t="shared" si="62"/>
        <v/>
      </c>
      <c r="V917" s="16"/>
      <c r="W917" s="34"/>
      <c r="X917" s="35"/>
    </row>
    <row r="918" spans="11:24">
      <c r="K918" s="89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78"/>
      <c r="P918" s="102"/>
      <c r="Q918" s="103"/>
      <c r="R918" s="103"/>
      <c r="S918" s="90"/>
      <c r="U918" s="49" t="str">
        <f t="shared" si="62"/>
        <v/>
      </c>
      <c r="V918" s="16"/>
      <c r="W918" s="34"/>
      <c r="X918" s="35"/>
    </row>
    <row r="919" spans="11:24">
      <c r="K919" s="89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78"/>
      <c r="P919" s="102"/>
      <c r="Q919" s="103"/>
      <c r="R919" s="103"/>
      <c r="S919" s="90"/>
      <c r="U919" s="49" t="str">
        <f t="shared" si="62"/>
        <v/>
      </c>
      <c r="V919" s="16"/>
      <c r="W919" s="34"/>
      <c r="X919" s="35"/>
    </row>
    <row r="920" spans="11:24">
      <c r="K920" s="89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78"/>
      <c r="P920" s="102"/>
      <c r="Q920" s="103"/>
      <c r="R920" s="103"/>
      <c r="S920" s="90"/>
      <c r="U920" s="49" t="str">
        <f t="shared" si="62"/>
        <v/>
      </c>
      <c r="V920" s="16"/>
      <c r="W920" s="34"/>
      <c r="X920" s="35"/>
    </row>
    <row r="921" spans="11:24">
      <c r="K921" s="89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78"/>
      <c r="P921" s="102"/>
      <c r="Q921" s="103"/>
      <c r="R921" s="103"/>
      <c r="S921" s="90"/>
      <c r="U921" s="49" t="str">
        <f t="shared" si="62"/>
        <v/>
      </c>
      <c r="V921" s="16"/>
      <c r="W921" s="34"/>
      <c r="X921" s="35"/>
    </row>
    <row r="922" spans="11:24">
      <c r="K922" s="89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78"/>
      <c r="P922" s="102"/>
      <c r="Q922" s="103"/>
      <c r="R922" s="103"/>
      <c r="S922" s="90"/>
      <c r="U922" s="49" t="str">
        <f t="shared" si="62"/>
        <v/>
      </c>
      <c r="V922" s="16"/>
      <c r="W922" s="34"/>
      <c r="X922" s="35"/>
    </row>
    <row r="923" spans="11:24">
      <c r="K923" s="89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78"/>
      <c r="P923" s="102"/>
      <c r="Q923" s="103"/>
      <c r="R923" s="103"/>
      <c r="S923" s="90"/>
      <c r="U923" s="49" t="str">
        <f t="shared" si="62"/>
        <v/>
      </c>
      <c r="V923" s="16"/>
      <c r="W923" s="34"/>
      <c r="X923" s="35"/>
    </row>
    <row r="924" spans="11:24">
      <c r="K924" s="89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78"/>
      <c r="P924" s="102"/>
      <c r="Q924" s="103"/>
      <c r="R924" s="103"/>
      <c r="S924" s="90"/>
      <c r="U924" s="49" t="str">
        <f t="shared" si="62"/>
        <v/>
      </c>
      <c r="V924" s="16"/>
      <c r="W924" s="34"/>
      <c r="X924" s="35"/>
    </row>
    <row r="925" spans="11:24">
      <c r="K925" s="89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78"/>
      <c r="P925" s="102"/>
      <c r="Q925" s="103"/>
      <c r="R925" s="103"/>
      <c r="S925" s="90"/>
      <c r="U925" s="49" t="str">
        <f t="shared" si="62"/>
        <v/>
      </c>
      <c r="V925" s="16"/>
      <c r="W925" s="34"/>
      <c r="X925" s="35"/>
    </row>
    <row r="926" spans="11:24">
      <c r="K926" s="89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78"/>
      <c r="P926" s="102"/>
      <c r="Q926" s="103"/>
      <c r="R926" s="103"/>
      <c r="S926" s="90"/>
      <c r="U926" s="49" t="str">
        <f t="shared" si="62"/>
        <v/>
      </c>
      <c r="V926" s="16"/>
      <c r="W926" s="34"/>
      <c r="X926" s="35"/>
    </row>
    <row r="927" spans="11:24">
      <c r="K927" s="89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78"/>
      <c r="P927" s="102"/>
      <c r="Q927" s="103"/>
      <c r="R927" s="103"/>
      <c r="S927" s="90"/>
      <c r="U927" s="49" t="str">
        <f t="shared" si="62"/>
        <v/>
      </c>
      <c r="V927" s="16"/>
      <c r="W927" s="34"/>
      <c r="X927" s="35"/>
    </row>
    <row r="928" spans="11:24">
      <c r="K928" s="89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78"/>
      <c r="P928" s="102"/>
      <c r="Q928" s="103"/>
      <c r="R928" s="103"/>
      <c r="S928" s="90"/>
      <c r="U928" s="49" t="str">
        <f t="shared" si="62"/>
        <v/>
      </c>
      <c r="V928" s="16"/>
      <c r="W928" s="34"/>
      <c r="X928" s="35"/>
    </row>
    <row r="929" spans="11:24">
      <c r="K929" s="89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78"/>
      <c r="P929" s="102"/>
      <c r="Q929" s="103"/>
      <c r="R929" s="103"/>
      <c r="S929" s="90"/>
      <c r="U929" s="49" t="str">
        <f t="shared" si="62"/>
        <v/>
      </c>
      <c r="V929" s="16"/>
      <c r="W929" s="34"/>
      <c r="X929" s="35"/>
    </row>
    <row r="930" spans="11:24">
      <c r="K930" s="89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78"/>
      <c r="P930" s="102"/>
      <c r="Q930" s="103"/>
      <c r="R930" s="103"/>
      <c r="S930" s="90"/>
      <c r="U930" s="49" t="str">
        <f t="shared" si="62"/>
        <v/>
      </c>
      <c r="V930" s="16"/>
      <c r="W930" s="34"/>
      <c r="X930" s="35"/>
    </row>
    <row r="931" spans="11:24">
      <c r="K931" s="89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78"/>
      <c r="P931" s="102"/>
      <c r="Q931" s="103"/>
      <c r="R931" s="103"/>
      <c r="S931" s="90"/>
      <c r="U931" s="49" t="str">
        <f t="shared" si="62"/>
        <v/>
      </c>
      <c r="V931" s="16"/>
      <c r="W931" s="34"/>
      <c r="X931" s="35"/>
    </row>
    <row r="932" spans="11:24">
      <c r="K932" s="89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78"/>
      <c r="P932" s="102"/>
      <c r="Q932" s="103"/>
      <c r="R932" s="103"/>
      <c r="S932" s="90"/>
      <c r="U932" s="49" t="str">
        <f t="shared" si="62"/>
        <v/>
      </c>
      <c r="V932" s="16"/>
      <c r="W932" s="34"/>
      <c r="X932" s="35"/>
    </row>
    <row r="933" spans="11:24">
      <c r="K933" s="89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78"/>
      <c r="P933" s="102"/>
      <c r="Q933" s="103"/>
      <c r="R933" s="103"/>
      <c r="S933" s="90"/>
      <c r="U933" s="49" t="str">
        <f t="shared" si="62"/>
        <v/>
      </c>
      <c r="V933" s="16"/>
      <c r="W933" s="34"/>
      <c r="X933" s="35"/>
    </row>
    <row r="934" spans="11:24">
      <c r="K934" s="89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78"/>
      <c r="P934" s="102"/>
      <c r="Q934" s="103"/>
      <c r="R934" s="103"/>
      <c r="S934" s="90"/>
      <c r="U934" s="49" t="str">
        <f t="shared" si="62"/>
        <v/>
      </c>
      <c r="V934" s="16"/>
      <c r="W934" s="34"/>
      <c r="X934" s="35"/>
    </row>
    <row r="935" spans="11:24">
      <c r="K935" s="89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78"/>
      <c r="P935" s="102"/>
      <c r="Q935" s="103"/>
      <c r="R935" s="103"/>
      <c r="S935" s="90"/>
      <c r="U935" s="49" t="str">
        <f t="shared" si="62"/>
        <v/>
      </c>
      <c r="V935" s="16"/>
      <c r="W935" s="34"/>
      <c r="X935" s="35"/>
    </row>
    <row r="936" spans="11:24">
      <c r="K936" s="89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78"/>
      <c r="P936" s="102"/>
      <c r="Q936" s="103"/>
      <c r="R936" s="103"/>
      <c r="S936" s="90"/>
      <c r="U936" s="49" t="str">
        <f t="shared" si="62"/>
        <v/>
      </c>
      <c r="V936" s="16"/>
      <c r="W936" s="34"/>
      <c r="X936" s="35"/>
    </row>
    <row r="937" spans="11:24">
      <c r="K937" s="89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78"/>
      <c r="P937" s="102"/>
      <c r="Q937" s="103"/>
      <c r="R937" s="103"/>
      <c r="S937" s="90"/>
      <c r="U937" s="49" t="str">
        <f t="shared" si="62"/>
        <v/>
      </c>
      <c r="V937" s="16"/>
      <c r="W937" s="34"/>
      <c r="X937" s="35"/>
    </row>
    <row r="938" spans="11:24">
      <c r="K938" s="89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78"/>
      <c r="P938" s="102"/>
      <c r="Q938" s="103"/>
      <c r="R938" s="103"/>
      <c r="S938" s="90"/>
      <c r="U938" s="49" t="str">
        <f t="shared" si="62"/>
        <v/>
      </c>
      <c r="V938" s="16"/>
      <c r="W938" s="34"/>
      <c r="X938" s="35"/>
    </row>
    <row r="939" spans="11:24">
      <c r="K939" s="89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78"/>
      <c r="P939" s="102"/>
      <c r="Q939" s="103"/>
      <c r="R939" s="103"/>
      <c r="S939" s="90"/>
      <c r="U939" s="49" t="str">
        <f t="shared" si="62"/>
        <v/>
      </c>
      <c r="V939" s="16"/>
      <c r="W939" s="34"/>
      <c r="X939" s="35"/>
    </row>
    <row r="940" spans="11:24">
      <c r="K940" s="89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78"/>
      <c r="P940" s="102"/>
      <c r="Q940" s="103"/>
      <c r="R940" s="103"/>
      <c r="S940" s="90"/>
      <c r="U940" s="49" t="str">
        <f t="shared" si="62"/>
        <v/>
      </c>
      <c r="V940" s="16"/>
      <c r="W940" s="34"/>
      <c r="X940" s="35"/>
    </row>
    <row r="941" spans="11:24">
      <c r="K941" s="89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78"/>
      <c r="P941" s="102"/>
      <c r="Q941" s="103"/>
      <c r="R941" s="103"/>
      <c r="S941" s="90"/>
      <c r="U941" s="49" t="str">
        <f t="shared" si="62"/>
        <v/>
      </c>
      <c r="V941" s="16"/>
      <c r="W941" s="34"/>
      <c r="X941" s="35"/>
    </row>
    <row r="942" spans="11:24">
      <c r="K942" s="89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78"/>
      <c r="P942" s="102"/>
      <c r="Q942" s="103"/>
      <c r="R942" s="103"/>
      <c r="S942" s="90"/>
      <c r="U942" s="49" t="str">
        <f t="shared" si="62"/>
        <v/>
      </c>
      <c r="V942" s="16"/>
      <c r="W942" s="34"/>
      <c r="X942" s="35"/>
    </row>
    <row r="943" spans="11:24">
      <c r="K943" s="89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78"/>
      <c r="P943" s="102"/>
      <c r="Q943" s="103"/>
      <c r="R943" s="103"/>
      <c r="S943" s="90"/>
      <c r="U943" s="49" t="str">
        <f t="shared" si="62"/>
        <v/>
      </c>
      <c r="V943" s="16"/>
      <c r="W943" s="34"/>
      <c r="X943" s="35"/>
    </row>
    <row r="944" spans="11:24">
      <c r="K944" s="89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78"/>
      <c r="P944" s="102"/>
      <c r="Q944" s="103"/>
      <c r="R944" s="103"/>
      <c r="S944" s="90"/>
      <c r="U944" s="49" t="str">
        <f t="shared" si="62"/>
        <v/>
      </c>
      <c r="V944" s="16"/>
      <c r="W944" s="34"/>
      <c r="X944" s="35"/>
    </row>
    <row r="945" spans="11:24">
      <c r="K945" s="89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78"/>
      <c r="P945" s="102"/>
      <c r="Q945" s="103"/>
      <c r="R945" s="103"/>
      <c r="S945" s="90"/>
      <c r="U945" s="49" t="str">
        <f t="shared" si="62"/>
        <v/>
      </c>
      <c r="V945" s="16"/>
      <c r="W945" s="34"/>
      <c r="X945" s="35"/>
    </row>
    <row r="946" spans="11:24">
      <c r="K946" s="89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78"/>
      <c r="P946" s="102"/>
      <c r="Q946" s="103"/>
      <c r="R946" s="103"/>
      <c r="S946" s="90"/>
      <c r="U946" s="49" t="str">
        <f t="shared" si="62"/>
        <v/>
      </c>
      <c r="V946" s="16"/>
      <c r="W946" s="34"/>
      <c r="X946" s="35"/>
    </row>
    <row r="947" spans="11:24">
      <c r="K947" s="89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78"/>
      <c r="P947" s="102"/>
      <c r="Q947" s="103"/>
      <c r="R947" s="103"/>
      <c r="S947" s="90"/>
      <c r="U947" s="49" t="str">
        <f t="shared" si="62"/>
        <v/>
      </c>
      <c r="V947" s="16"/>
      <c r="W947" s="34"/>
      <c r="X947" s="35"/>
    </row>
    <row r="948" spans="11:24">
      <c r="K948" s="89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78"/>
      <c r="P948" s="102"/>
      <c r="Q948" s="103"/>
      <c r="R948" s="103"/>
      <c r="S948" s="90"/>
      <c r="U948" s="49" t="str">
        <f t="shared" si="62"/>
        <v/>
      </c>
      <c r="V948" s="16"/>
      <c r="W948" s="34"/>
      <c r="X948" s="35"/>
    </row>
    <row r="949" spans="11:24">
      <c r="K949" s="89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78"/>
      <c r="P949" s="102"/>
      <c r="Q949" s="103"/>
      <c r="R949" s="103"/>
      <c r="S949" s="90"/>
      <c r="U949" s="49" t="str">
        <f t="shared" si="62"/>
        <v/>
      </c>
      <c r="V949" s="16"/>
      <c r="W949" s="34"/>
      <c r="X949" s="35"/>
    </row>
    <row r="950" spans="11:24">
      <c r="K950" s="89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78"/>
      <c r="P950" s="102"/>
      <c r="Q950" s="103"/>
      <c r="R950" s="103"/>
      <c r="S950" s="90"/>
      <c r="U950" s="49" t="str">
        <f t="shared" si="62"/>
        <v/>
      </c>
      <c r="V950" s="16"/>
      <c r="W950" s="34"/>
      <c r="X950" s="35"/>
    </row>
    <row r="951" spans="11:24">
      <c r="K951" s="89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78"/>
      <c r="P951" s="102"/>
      <c r="Q951" s="103"/>
      <c r="R951" s="103"/>
      <c r="S951" s="90"/>
      <c r="U951" s="49" t="str">
        <f t="shared" si="62"/>
        <v/>
      </c>
      <c r="V951" s="16"/>
      <c r="W951" s="34"/>
      <c r="X951" s="35"/>
    </row>
    <row r="952" spans="11:24">
      <c r="K952" s="89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78"/>
      <c r="P952" s="102"/>
      <c r="Q952" s="103"/>
      <c r="R952" s="103"/>
      <c r="S952" s="90"/>
      <c r="U952" s="49" t="str">
        <f t="shared" si="62"/>
        <v/>
      </c>
      <c r="V952" s="16"/>
      <c r="W952" s="34"/>
      <c r="X952" s="35"/>
    </row>
    <row r="953" spans="11:24">
      <c r="K953" s="89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78"/>
      <c r="P953" s="102"/>
      <c r="Q953" s="103"/>
      <c r="R953" s="103"/>
      <c r="S953" s="90"/>
      <c r="U953" s="49" t="str">
        <f t="shared" si="62"/>
        <v/>
      </c>
      <c r="V953" s="16"/>
      <c r="W953" s="34"/>
      <c r="X953" s="35"/>
    </row>
    <row r="954" spans="11:24">
      <c r="K954" s="89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78"/>
      <c r="P954" s="102"/>
      <c r="Q954" s="103"/>
      <c r="R954" s="103"/>
      <c r="S954" s="90"/>
      <c r="U954" s="49" t="str">
        <f t="shared" si="62"/>
        <v/>
      </c>
      <c r="V954" s="16"/>
      <c r="W954" s="34"/>
      <c r="X954" s="35"/>
    </row>
    <row r="955" spans="11:24">
      <c r="K955" s="89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78"/>
      <c r="P955" s="102"/>
      <c r="Q955" s="103"/>
      <c r="R955" s="103"/>
      <c r="S955" s="90"/>
      <c r="U955" s="49" t="str">
        <f t="shared" si="62"/>
        <v/>
      </c>
      <c r="V955" s="16"/>
      <c r="W955" s="34"/>
      <c r="X955" s="35"/>
    </row>
    <row r="956" spans="11:24">
      <c r="K956" s="89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78"/>
      <c r="P956" s="102"/>
      <c r="Q956" s="103"/>
      <c r="R956" s="103"/>
      <c r="S956" s="90"/>
      <c r="U956" s="49" t="str">
        <f t="shared" si="62"/>
        <v/>
      </c>
      <c r="V956" s="16"/>
      <c r="W956" s="34"/>
      <c r="X956" s="35"/>
    </row>
    <row r="957" spans="11:24">
      <c r="K957" s="89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78"/>
      <c r="P957" s="102"/>
      <c r="Q957" s="103"/>
      <c r="R957" s="103"/>
      <c r="S957" s="90"/>
      <c r="U957" s="49" t="str">
        <f t="shared" si="62"/>
        <v/>
      </c>
      <c r="V957" s="16"/>
      <c r="W957" s="34"/>
      <c r="X957" s="35"/>
    </row>
    <row r="958" spans="11:24">
      <c r="K958" s="89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78"/>
      <c r="P958" s="102"/>
      <c r="Q958" s="103"/>
      <c r="R958" s="103"/>
      <c r="S958" s="90"/>
      <c r="U958" s="49" t="str">
        <f t="shared" si="62"/>
        <v/>
      </c>
      <c r="V958" s="16"/>
      <c r="W958" s="34"/>
      <c r="X958" s="35"/>
    </row>
    <row r="959" spans="11:24">
      <c r="K959" s="89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78"/>
      <c r="P959" s="102"/>
      <c r="Q959" s="103"/>
      <c r="R959" s="103"/>
      <c r="S959" s="90"/>
      <c r="U959" s="49" t="str">
        <f t="shared" si="62"/>
        <v/>
      </c>
      <c r="V959" s="16"/>
      <c r="W959" s="34"/>
      <c r="X959" s="35"/>
    </row>
    <row r="960" spans="11:24">
      <c r="K960" s="89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78"/>
      <c r="P960" s="102"/>
      <c r="Q960" s="103"/>
      <c r="R960" s="103"/>
      <c r="S960" s="90"/>
      <c r="U960" s="49" t="str">
        <f t="shared" si="62"/>
        <v/>
      </c>
      <c r="V960" s="16"/>
      <c r="W960" s="34"/>
      <c r="X960" s="35"/>
    </row>
    <row r="961" spans="11:24">
      <c r="K961" s="89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78"/>
      <c r="P961" s="102"/>
      <c r="Q961" s="103"/>
      <c r="R961" s="103"/>
      <c r="S961" s="90"/>
      <c r="U961" s="49" t="str">
        <f t="shared" si="62"/>
        <v/>
      </c>
      <c r="V961" s="16"/>
      <c r="W961" s="34"/>
      <c r="X961" s="35"/>
    </row>
    <row r="962" spans="11:24">
      <c r="K962" s="89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78"/>
      <c r="P962" s="102"/>
      <c r="Q962" s="103"/>
      <c r="R962" s="103"/>
      <c r="S962" s="90"/>
      <c r="U962" s="49" t="str">
        <f t="shared" si="62"/>
        <v/>
      </c>
      <c r="V962" s="16"/>
      <c r="W962" s="34"/>
      <c r="X962" s="35"/>
    </row>
    <row r="963" spans="11:24">
      <c r="K963" s="89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78"/>
      <c r="P963" s="102"/>
      <c r="Q963" s="103"/>
      <c r="R963" s="103"/>
      <c r="S963" s="90"/>
      <c r="U963" s="49" t="str">
        <f t="shared" si="62"/>
        <v/>
      </c>
      <c r="V963" s="16"/>
      <c r="W963" s="34"/>
      <c r="X963" s="35"/>
    </row>
    <row r="964" spans="11:24">
      <c r="K964" s="89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78"/>
      <c r="P964" s="102"/>
      <c r="Q964" s="103"/>
      <c r="R964" s="103"/>
      <c r="S964" s="90"/>
      <c r="U964" s="49" t="str">
        <f t="shared" si="62"/>
        <v/>
      </c>
      <c r="V964" s="16"/>
      <c r="W964" s="34"/>
      <c r="X964" s="35"/>
    </row>
    <row r="965" spans="11:24">
      <c r="K965" s="89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78"/>
      <c r="P965" s="102"/>
      <c r="Q965" s="103"/>
      <c r="R965" s="103"/>
      <c r="S965" s="90"/>
      <c r="U965" s="49" t="str">
        <f t="shared" si="62"/>
        <v/>
      </c>
      <c r="V965" s="16"/>
      <c r="W965" s="34"/>
      <c r="X965" s="35"/>
    </row>
    <row r="966" spans="11:24">
      <c r="K966" s="89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78"/>
      <c r="P966" s="102"/>
      <c r="Q966" s="103"/>
      <c r="R966" s="103"/>
      <c r="S966" s="90"/>
      <c r="U966" s="49" t="str">
        <f t="shared" si="62"/>
        <v/>
      </c>
      <c r="V966" s="16"/>
      <c r="W966" s="34"/>
      <c r="X966" s="35"/>
    </row>
    <row r="967" spans="11:24">
      <c r="K967" s="89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78"/>
      <c r="P967" s="102"/>
      <c r="Q967" s="103"/>
      <c r="R967" s="103"/>
      <c r="S967" s="90"/>
      <c r="U967" s="49" t="str">
        <f t="shared" si="62"/>
        <v/>
      </c>
      <c r="V967" s="16"/>
      <c r="W967" s="34"/>
      <c r="X967" s="35"/>
    </row>
    <row r="968" spans="11:24">
      <c r="K968" s="89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78"/>
      <c r="P968" s="102"/>
      <c r="Q968" s="103"/>
      <c r="R968" s="103"/>
      <c r="S968" s="90"/>
      <c r="U968" s="49" t="str">
        <f t="shared" si="62"/>
        <v/>
      </c>
      <c r="V968" s="16"/>
      <c r="W968" s="34"/>
      <c r="X968" s="35"/>
    </row>
    <row r="969" spans="11:24">
      <c r="K969" s="89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78"/>
      <c r="P970" s="102"/>
      <c r="Q970" s="103"/>
      <c r="R970" s="103"/>
      <c r="S970" s="90"/>
      <c r="U970" s="49" t="str">
        <f t="shared" si="66"/>
        <v/>
      </c>
      <c r="V970" s="16"/>
      <c r="W970" s="34"/>
      <c r="X970" s="35"/>
    </row>
    <row r="971" spans="11:24">
      <c r="K971" s="89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78"/>
      <c r="P971" s="102"/>
      <c r="Q971" s="103"/>
      <c r="R971" s="103"/>
      <c r="S971" s="90"/>
      <c r="U971" s="49" t="str">
        <f t="shared" si="66"/>
        <v/>
      </c>
      <c r="V971" s="16"/>
      <c r="W971" s="34"/>
      <c r="X971" s="35"/>
    </row>
    <row r="972" spans="11:24">
      <c r="K972" s="89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78"/>
      <c r="P972" s="102"/>
      <c r="Q972" s="103"/>
      <c r="R972" s="103"/>
      <c r="S972" s="90"/>
      <c r="U972" s="49" t="str">
        <f t="shared" si="66"/>
        <v/>
      </c>
      <c r="V972" s="16"/>
      <c r="W972" s="34"/>
      <c r="X972" s="35"/>
    </row>
    <row r="973" spans="11:24">
      <c r="K973" s="89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78"/>
      <c r="P973" s="102"/>
      <c r="Q973" s="103"/>
      <c r="R973" s="103"/>
      <c r="S973" s="90"/>
      <c r="U973" s="49" t="str">
        <f t="shared" si="66"/>
        <v/>
      </c>
      <c r="V973" s="16"/>
      <c r="W973" s="34"/>
      <c r="X973" s="35"/>
    </row>
    <row r="974" spans="11:24">
      <c r="K974" s="89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78"/>
      <c r="P974" s="102"/>
      <c r="Q974" s="103"/>
      <c r="R974" s="103"/>
      <c r="S974" s="90"/>
      <c r="U974" s="49" t="str">
        <f t="shared" si="66"/>
        <v/>
      </c>
      <c r="V974" s="16"/>
      <c r="W974" s="34"/>
      <c r="X974" s="35"/>
    </row>
    <row r="975" spans="11:24">
      <c r="K975" s="89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78"/>
      <c r="P975" s="102"/>
      <c r="Q975" s="103"/>
      <c r="R975" s="103"/>
      <c r="S975" s="90"/>
      <c r="U975" s="49" t="str">
        <f t="shared" si="66"/>
        <v/>
      </c>
      <c r="V975" s="16"/>
      <c r="W975" s="34"/>
      <c r="X975" s="35"/>
    </row>
    <row r="976" spans="11:24">
      <c r="K976" s="89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78"/>
      <c r="P976" s="102"/>
      <c r="Q976" s="103"/>
      <c r="R976" s="103"/>
      <c r="S976" s="90"/>
      <c r="U976" s="49" t="str">
        <f t="shared" si="66"/>
        <v/>
      </c>
      <c r="V976" s="16"/>
      <c r="W976" s="34"/>
      <c r="X976" s="35"/>
    </row>
    <row r="977" spans="11:24">
      <c r="K977" s="89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78"/>
      <c r="P977" s="102"/>
      <c r="Q977" s="103"/>
      <c r="R977" s="103"/>
      <c r="S977" s="90"/>
      <c r="U977" s="49" t="str">
        <f t="shared" si="66"/>
        <v/>
      </c>
      <c r="V977" s="16"/>
      <c r="W977" s="34"/>
      <c r="X977" s="35"/>
    </row>
    <row r="978" spans="11:24">
      <c r="K978" s="89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78"/>
      <c r="P978" s="102"/>
      <c r="Q978" s="103"/>
      <c r="R978" s="103"/>
      <c r="S978" s="90"/>
      <c r="U978" s="49" t="str">
        <f t="shared" si="66"/>
        <v/>
      </c>
      <c r="V978" s="16"/>
      <c r="W978" s="34"/>
      <c r="X978" s="35"/>
    </row>
    <row r="979" spans="11:24">
      <c r="K979" s="89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78"/>
      <c r="P979" s="102"/>
      <c r="Q979" s="103"/>
      <c r="R979" s="103"/>
      <c r="S979" s="90"/>
      <c r="U979" s="49" t="str">
        <f t="shared" si="66"/>
        <v/>
      </c>
      <c r="V979" s="16"/>
      <c r="W979" s="34"/>
      <c r="X979" s="35"/>
    </row>
    <row r="980" spans="11:24">
      <c r="K980" s="89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78"/>
      <c r="P980" s="102"/>
      <c r="Q980" s="103"/>
      <c r="R980" s="103"/>
      <c r="S980" s="90"/>
      <c r="U980" s="49" t="str">
        <f t="shared" si="66"/>
        <v/>
      </c>
      <c r="V980" s="16"/>
      <c r="W980" s="34"/>
      <c r="X980" s="35"/>
    </row>
    <row r="981" spans="11:24">
      <c r="K981" s="89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78"/>
      <c r="P981" s="102"/>
      <c r="Q981" s="103"/>
      <c r="R981" s="103"/>
      <c r="S981" s="90"/>
      <c r="U981" s="49" t="str">
        <f t="shared" si="66"/>
        <v/>
      </c>
      <c r="V981" s="16"/>
      <c r="W981" s="34"/>
      <c r="X981" s="35"/>
    </row>
    <row r="982" spans="11:24">
      <c r="K982" s="89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78"/>
      <c r="P982" s="102"/>
      <c r="Q982" s="103"/>
      <c r="R982" s="103"/>
      <c r="S982" s="90"/>
      <c r="U982" s="49" t="str">
        <f t="shared" si="66"/>
        <v/>
      </c>
      <c r="V982" s="16"/>
      <c r="W982" s="34"/>
      <c r="X982" s="35"/>
    </row>
    <row r="983" spans="11:24">
      <c r="K983" s="89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78"/>
      <c r="P983" s="102"/>
      <c r="Q983" s="103"/>
      <c r="R983" s="103"/>
      <c r="S983" s="90"/>
      <c r="U983" s="49" t="str">
        <f t="shared" si="66"/>
        <v/>
      </c>
      <c r="V983" s="16"/>
      <c r="W983" s="34"/>
      <c r="X983" s="35"/>
    </row>
    <row r="984" spans="11:24">
      <c r="K984" s="89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78"/>
      <c r="P984" s="102"/>
      <c r="Q984" s="103"/>
      <c r="R984" s="103"/>
      <c r="S984" s="90"/>
      <c r="U984" s="49" t="str">
        <f t="shared" si="66"/>
        <v/>
      </c>
      <c r="V984" s="16"/>
      <c r="W984" s="34"/>
      <c r="X984" s="35"/>
    </row>
    <row r="985" spans="11:24">
      <c r="K985" s="89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78"/>
      <c r="P985" s="102"/>
      <c r="Q985" s="103"/>
      <c r="R985" s="103"/>
      <c r="S985" s="90"/>
      <c r="U985" s="49" t="str">
        <f t="shared" si="66"/>
        <v/>
      </c>
      <c r="V985" s="16"/>
      <c r="W985" s="34"/>
      <c r="X985" s="35"/>
    </row>
    <row r="986" spans="11:24">
      <c r="K986" s="89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78"/>
      <c r="P986" s="102"/>
      <c r="Q986" s="103"/>
      <c r="R986" s="103"/>
      <c r="S986" s="90"/>
      <c r="U986" s="49" t="str">
        <f t="shared" si="66"/>
        <v/>
      </c>
      <c r="V986" s="16"/>
      <c r="W986" s="34"/>
      <c r="X986" s="35"/>
    </row>
    <row r="987" spans="11:24">
      <c r="K987" s="89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78"/>
      <c r="P987" s="102"/>
      <c r="Q987" s="103"/>
      <c r="R987" s="103"/>
      <c r="S987" s="90"/>
      <c r="U987" s="49" t="str">
        <f t="shared" si="66"/>
        <v/>
      </c>
      <c r="V987" s="16"/>
      <c r="W987" s="34"/>
      <c r="X987" s="35"/>
    </row>
    <row r="988" spans="11:24">
      <c r="K988" s="89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78"/>
      <c r="P988" s="102"/>
      <c r="Q988" s="103"/>
      <c r="R988" s="103"/>
      <c r="S988" s="90"/>
      <c r="U988" s="49" t="str">
        <f t="shared" si="66"/>
        <v/>
      </c>
      <c r="V988" s="16"/>
      <c r="W988" s="34"/>
      <c r="X988" s="35"/>
    </row>
    <row r="989" spans="11:24">
      <c r="K989" s="89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78"/>
      <c r="P989" s="102"/>
      <c r="Q989" s="103"/>
      <c r="R989" s="103"/>
      <c r="S989" s="90"/>
      <c r="U989" s="49" t="str">
        <f t="shared" si="66"/>
        <v/>
      </c>
      <c r="V989" s="16"/>
      <c r="W989" s="34"/>
      <c r="X989" s="35"/>
    </row>
    <row r="990" spans="11:24">
      <c r="K990" s="89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78"/>
      <c r="P990" s="102"/>
      <c r="Q990" s="103"/>
      <c r="R990" s="103"/>
      <c r="S990" s="90"/>
      <c r="U990" s="49" t="str">
        <f t="shared" si="66"/>
        <v/>
      </c>
      <c r="V990" s="16"/>
      <c r="W990" s="34"/>
      <c r="X990" s="35"/>
    </row>
    <row r="991" spans="11:24">
      <c r="K991" s="89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78"/>
      <c r="P991" s="102"/>
      <c r="Q991" s="103"/>
      <c r="R991" s="103"/>
      <c r="S991" s="90"/>
      <c r="U991" s="49" t="str">
        <f t="shared" si="66"/>
        <v/>
      </c>
      <c r="V991" s="16"/>
      <c r="W991" s="34"/>
      <c r="X991" s="35"/>
    </row>
    <row r="992" spans="11:24">
      <c r="K992" s="89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78"/>
      <c r="P992" s="102"/>
      <c r="Q992" s="103"/>
      <c r="R992" s="103"/>
      <c r="S992" s="90"/>
      <c r="U992" s="49" t="str">
        <f t="shared" si="66"/>
        <v/>
      </c>
      <c r="V992" s="16"/>
      <c r="W992" s="34"/>
      <c r="X992" s="35"/>
    </row>
    <row r="993" spans="11:24">
      <c r="K993" s="89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78"/>
      <c r="P993" s="102"/>
      <c r="Q993" s="103"/>
      <c r="R993" s="103"/>
      <c r="S993" s="90"/>
      <c r="U993" s="49" t="str">
        <f t="shared" si="66"/>
        <v/>
      </c>
      <c r="V993" s="16"/>
      <c r="W993" s="34"/>
      <c r="X993" s="35"/>
    </row>
    <row r="994" spans="11:24">
      <c r="K994" s="89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78"/>
      <c r="P994" s="102"/>
      <c r="Q994" s="103"/>
      <c r="R994" s="103"/>
      <c r="S994" s="90"/>
      <c r="U994" s="49" t="str">
        <f t="shared" si="66"/>
        <v/>
      </c>
      <c r="V994" s="16"/>
      <c r="W994" s="34"/>
      <c r="X994" s="35"/>
    </row>
    <row r="995" spans="11:24">
      <c r="K995" s="89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78"/>
      <c r="P995" s="102"/>
      <c r="Q995" s="103"/>
      <c r="R995" s="103"/>
      <c r="S995" s="90"/>
      <c r="U995" s="49" t="str">
        <f t="shared" si="66"/>
        <v/>
      </c>
      <c r="V995" s="16"/>
      <c r="W995" s="34"/>
      <c r="X995" s="35"/>
    </row>
    <row r="996" spans="11:24">
      <c r="K996" s="89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78"/>
      <c r="P996" s="102"/>
      <c r="Q996" s="103"/>
      <c r="R996" s="103"/>
      <c r="S996" s="90"/>
      <c r="U996" s="49" t="str">
        <f t="shared" si="66"/>
        <v/>
      </c>
      <c r="V996" s="16"/>
      <c r="W996" s="34"/>
      <c r="X996" s="35"/>
    </row>
    <row r="997" spans="11:24">
      <c r="K997" s="89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78"/>
      <c r="P997" s="102"/>
      <c r="Q997" s="103"/>
      <c r="R997" s="103"/>
      <c r="S997" s="90"/>
      <c r="U997" s="49" t="str">
        <f t="shared" si="66"/>
        <v/>
      </c>
      <c r="V997" s="16"/>
      <c r="W997" s="34"/>
      <c r="X997" s="35"/>
    </row>
    <row r="998" spans="11:24">
      <c r="K998" s="89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78"/>
      <c r="P998" s="102"/>
      <c r="Q998" s="103"/>
      <c r="R998" s="103"/>
      <c r="S998" s="90"/>
      <c r="U998" s="49" t="str">
        <f t="shared" si="66"/>
        <v/>
      </c>
      <c r="V998" s="16"/>
      <c r="W998" s="34"/>
      <c r="X998" s="35"/>
    </row>
    <row r="999" spans="11:24">
      <c r="K999" s="89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78"/>
      <c r="P999" s="102"/>
      <c r="Q999" s="103"/>
      <c r="R999" s="103"/>
      <c r="S999" s="90"/>
      <c r="U999" s="49" t="str">
        <f t="shared" si="66"/>
        <v/>
      </c>
      <c r="V999" s="16"/>
      <c r="W999" s="34"/>
      <c r="X999" s="35"/>
    </row>
    <row r="1000" spans="11:24">
      <c r="K1000" s="89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78"/>
      <c r="P1000" s="102"/>
      <c r="Q1000" s="103"/>
      <c r="R1000" s="103"/>
      <c r="S1000" s="90"/>
      <c r="U1000" s="49" t="str">
        <f t="shared" si="66"/>
        <v/>
      </c>
      <c r="V1000" s="16"/>
      <c r="W1000" s="34"/>
      <c r="X1000" s="35"/>
    </row>
    <row r="1001" spans="11:24">
      <c r="K1001" s="89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78"/>
      <c r="P1001" s="102"/>
      <c r="Q1001" s="103"/>
      <c r="R1001" s="103"/>
      <c r="S1001" s="90"/>
      <c r="U1001" s="49" t="str">
        <f t="shared" si="66"/>
        <v/>
      </c>
      <c r="V1001" s="16"/>
      <c r="W1001" s="34"/>
      <c r="X1001" s="35"/>
    </row>
    <row r="1002" spans="11:24">
      <c r="K1002" s="89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78"/>
      <c r="P1002" s="102"/>
      <c r="Q1002" s="103"/>
      <c r="R1002" s="103"/>
      <c r="S1002" s="90"/>
      <c r="U1002" s="49" t="str">
        <f t="shared" si="66"/>
        <v/>
      </c>
      <c r="V1002" s="16"/>
      <c r="W1002" s="34"/>
      <c r="X1002" s="35"/>
    </row>
    <row r="1003" spans="11:24">
      <c r="K1003" s="89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78"/>
      <c r="P1003" s="102"/>
      <c r="Q1003" s="103"/>
      <c r="R1003" s="103"/>
      <c r="S1003" s="90"/>
      <c r="U1003" s="49" t="str">
        <f t="shared" si="66"/>
        <v/>
      </c>
      <c r="V1003" s="16"/>
      <c r="W1003" s="34"/>
      <c r="X1003" s="35"/>
    </row>
    <row r="1004" spans="11:24">
      <c r="K1004" s="89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78"/>
      <c r="P1004" s="102"/>
      <c r="Q1004" s="103"/>
      <c r="R1004" s="103"/>
      <c r="S1004" s="90"/>
      <c r="U1004" s="49" t="str">
        <f t="shared" si="66"/>
        <v/>
      </c>
      <c r="V1004" s="16"/>
      <c r="W1004" s="34"/>
      <c r="X1004" s="35"/>
    </row>
    <row r="1005" spans="11:24">
      <c r="K1005" s="89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78"/>
      <c r="P1005" s="102"/>
      <c r="Q1005" s="103"/>
      <c r="R1005" s="103"/>
      <c r="S1005" s="90"/>
      <c r="U1005" s="49" t="str">
        <f t="shared" si="66"/>
        <v/>
      </c>
      <c r="V1005" s="16"/>
      <c r="W1005" s="34"/>
      <c r="X1005" s="35"/>
    </row>
    <row r="1006" spans="11:24">
      <c r="K1006" s="89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78"/>
      <c r="P1006" s="102"/>
      <c r="Q1006" s="103"/>
      <c r="R1006" s="103"/>
      <c r="S1006" s="90"/>
      <c r="U1006" s="49" t="str">
        <f t="shared" si="66"/>
        <v/>
      </c>
      <c r="V1006" s="16"/>
      <c r="W1006" s="34"/>
      <c r="X1006" s="35"/>
    </row>
    <row r="1007" spans="11:24">
      <c r="K1007" s="89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78"/>
      <c r="P1007" s="102"/>
      <c r="Q1007" s="103"/>
      <c r="R1007" s="103"/>
      <c r="S1007" s="90"/>
      <c r="U1007" s="49" t="str">
        <f t="shared" si="66"/>
        <v/>
      </c>
      <c r="V1007" s="16"/>
      <c r="W1007" s="34"/>
      <c r="X1007" s="35"/>
    </row>
    <row r="1008" spans="11:24" ht="15.75" thickBot="1">
      <c r="K1008" s="89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78"/>
      <c r="P1008" s="102"/>
      <c r="Q1008" s="103"/>
      <c r="R1008" s="103"/>
      <c r="S1008" s="90"/>
      <c r="U1008" s="50" t="str">
        <f t="shared" si="66"/>
        <v/>
      </c>
      <c r="V1008" s="17"/>
      <c r="W1008" s="36"/>
      <c r="X1008" s="37"/>
    </row>
    <row r="1009" spans="11:19">
      <c r="K1009" s="89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148" priority="22" operator="equal">
      <formula>0</formula>
    </cfRule>
    <cfRule type="cellIs" dxfId="147" priority="23" operator="greaterThan">
      <formula>0</formula>
    </cfRule>
  </conditionalFormatting>
  <conditionalFormatting sqref="F1:V1">
    <cfRule type="containsText" dxfId="146" priority="13" operator="containsText" text="Halted">
      <formula>NOT(ISERROR(SEARCH("Halted",F1)))</formula>
    </cfRule>
    <cfRule type="containsText" dxfId="145" priority="20" operator="containsText" text="Execution Complete">
      <formula>NOT(ISERROR(SEARCH("Execution Complete",F1)))</formula>
    </cfRule>
    <cfRule type="containsText" dxfId="144" priority="21" operator="containsText" text="Error">
      <formula>NOT(ISERROR(SEARCH("Error",F1)))</formula>
    </cfRule>
  </conditionalFormatting>
  <conditionalFormatting sqref="P22:R1070">
    <cfRule type="expression" dxfId="143" priority="45">
      <formula>$N22=$E$13</formula>
    </cfRule>
  </conditionalFormatting>
  <conditionalFormatting sqref="M7:S7 M22:S1070 M8:N21 S8:S21">
    <cfRule type="containsText" dxfId="142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258"/>
  <sheetViews>
    <sheetView zoomScaleNormal="100" workbookViewId="0">
      <pane ySplit="2" topLeftCell="A3" activePane="bottomLeft" state="frozen"/>
      <selection pane="bottomLeft" activeCell="W30" sqref="W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23</v>
      </c>
      <c r="I2" s="56" t="str">
        <f>PC</f>
        <v>0104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344</v>
      </c>
      <c r="L4" s="70" t="s">
        <v>267</v>
      </c>
      <c r="M4" s="20">
        <f>IFERROR(VLOOKUP(A4,$P$6:$R$1048576,3,0),0)</f>
        <v>1</v>
      </c>
      <c r="U4" s="121" t="s">
        <v>342</v>
      </c>
      <c r="V4" s="122"/>
      <c r="W4" s="122"/>
      <c r="X4" s="122"/>
      <c r="Y4" s="122"/>
      <c r="Z4" s="122"/>
      <c r="AA4" s="122"/>
      <c r="AB4" s="12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tr">
        <f t="shared" ref="Q5:Q30" si="1">IFERROR(VLOOKUP(P5,$A$4:$L$1048576,12,0),"")</f>
        <v/>
      </c>
      <c r="R5" s="93" t="s">
        <v>243</v>
      </c>
      <c r="U5" s="112" t="s">
        <v>388</v>
      </c>
      <c r="V5" s="113"/>
      <c r="W5" s="113"/>
      <c r="X5" s="113"/>
      <c r="Y5" s="113"/>
      <c r="Z5" s="113"/>
      <c r="AA5" s="113"/>
      <c r="AB5" s="11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si="1"/>
        <v xml:space="preserve">MVI and MOV </v>
      </c>
      <c r="R6" s="40">
        <v>1</v>
      </c>
      <c r="U6" s="115"/>
      <c r="V6" s="116"/>
      <c r="W6" s="116"/>
      <c r="X6" s="116"/>
      <c r="Y6" s="116"/>
      <c r="Z6" s="116"/>
      <c r="AA6" s="116"/>
      <c r="AB6" s="11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1</v>
      </c>
      <c r="U7" s="115"/>
      <c r="V7" s="116"/>
      <c r="W7" s="116"/>
      <c r="X7" s="116"/>
      <c r="Y7" s="116"/>
      <c r="Z7" s="116"/>
      <c r="AA7" s="116"/>
      <c r="AB7" s="11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1</v>
      </c>
      <c r="U8" s="115"/>
      <c r="V8" s="116"/>
      <c r="W8" s="116"/>
      <c r="X8" s="116"/>
      <c r="Y8" s="116"/>
      <c r="Z8" s="116"/>
      <c r="AA8" s="116"/>
      <c r="AB8" s="11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1</v>
      </c>
      <c r="U9" s="115"/>
      <c r="V9" s="116"/>
      <c r="W9" s="116"/>
      <c r="X9" s="116"/>
      <c r="Y9" s="116"/>
      <c r="Z9" s="116"/>
      <c r="AA9" s="116"/>
      <c r="AB9" s="11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1</v>
      </c>
      <c r="U10" s="115"/>
      <c r="V10" s="116"/>
      <c r="W10" s="116"/>
      <c r="X10" s="116"/>
      <c r="Y10" s="116"/>
      <c r="Z10" s="116"/>
      <c r="AA10" s="116"/>
      <c r="AB10" s="11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344</v>
      </c>
      <c r="L11" s="70" t="s">
        <v>269</v>
      </c>
      <c r="M11" s="20">
        <f>IFERROR(VLOOKUP(A11,$P$6:$R$1048576,3,0),0)</f>
        <v>1</v>
      </c>
      <c r="P11" s="6" t="s">
        <v>323</v>
      </c>
      <c r="Q11" s="40" t="str">
        <f t="shared" si="1"/>
        <v>Zero Flag Test - Positive</v>
      </c>
      <c r="R11" s="40">
        <v>1</v>
      </c>
      <c r="U11" s="115"/>
      <c r="V11" s="116"/>
      <c r="W11" s="116"/>
      <c r="X11" s="116"/>
      <c r="Y11" s="116"/>
      <c r="Z11" s="116"/>
      <c r="AA11" s="116"/>
      <c r="AB11" s="11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1</v>
      </c>
      <c r="U12" s="115"/>
      <c r="V12" s="116"/>
      <c r="W12" s="116"/>
      <c r="X12" s="116"/>
      <c r="Y12" s="116"/>
      <c r="Z12" s="116"/>
      <c r="AA12" s="116"/>
      <c r="AB12" s="11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1</v>
      </c>
      <c r="U13" s="115"/>
      <c r="V13" s="116"/>
      <c r="W13" s="116"/>
      <c r="X13" s="116"/>
      <c r="Y13" s="116"/>
      <c r="Z13" s="116"/>
      <c r="AA13" s="116"/>
      <c r="AB13" s="11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1</v>
      </c>
      <c r="U14" s="115"/>
      <c r="V14" s="116"/>
      <c r="W14" s="116"/>
      <c r="X14" s="116"/>
      <c r="Y14" s="116"/>
      <c r="Z14" s="116"/>
      <c r="AA14" s="116"/>
      <c r="AB14" s="11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1</v>
      </c>
      <c r="U15" s="115"/>
      <c r="V15" s="116"/>
      <c r="W15" s="116"/>
      <c r="X15" s="116"/>
      <c r="Y15" s="116"/>
      <c r="Z15" s="116"/>
      <c r="AA15" s="116"/>
      <c r="AB15" s="11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344</v>
      </c>
      <c r="L16" s="70" t="s">
        <v>270</v>
      </c>
      <c r="M16" s="20">
        <f>IFERROR(VLOOKUP(A16,$P$6:$R$1048576,3,0),0)</f>
        <v>1</v>
      </c>
      <c r="P16" s="6" t="s">
        <v>328</v>
      </c>
      <c r="Q16" s="40" t="str">
        <f t="shared" si="1"/>
        <v>Unit_DCR_AC_SET_00</v>
      </c>
      <c r="R16" s="40">
        <v>1</v>
      </c>
      <c r="U16" s="115"/>
      <c r="V16" s="116"/>
      <c r="W16" s="116"/>
      <c r="X16" s="116"/>
      <c r="Y16" s="116"/>
      <c r="Z16" s="116"/>
      <c r="AA16" s="116"/>
      <c r="AB16" s="11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1</v>
      </c>
      <c r="U17" s="115"/>
      <c r="V17" s="116"/>
      <c r="W17" s="116"/>
      <c r="X17" s="116"/>
      <c r="Y17" s="116"/>
      <c r="Z17" s="116"/>
      <c r="AA17" s="116"/>
      <c r="AB17" s="11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1</v>
      </c>
      <c r="U18" s="115"/>
      <c r="V18" s="116"/>
      <c r="W18" s="116"/>
      <c r="X18" s="116"/>
      <c r="Y18" s="116"/>
      <c r="Z18" s="116"/>
      <c r="AA18" s="116"/>
      <c r="AB18" s="11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1</v>
      </c>
      <c r="U19" s="115"/>
      <c r="V19" s="116"/>
      <c r="W19" s="116"/>
      <c r="X19" s="116"/>
      <c r="Y19" s="116"/>
      <c r="Z19" s="116"/>
      <c r="AA19" s="116"/>
      <c r="AB19" s="11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1</v>
      </c>
      <c r="U20" s="115"/>
      <c r="V20" s="116"/>
      <c r="W20" s="116"/>
      <c r="X20" s="116"/>
      <c r="Y20" s="116"/>
      <c r="Z20" s="116"/>
      <c r="AA20" s="116"/>
      <c r="AB20" s="11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1</v>
      </c>
      <c r="U21" s="115"/>
      <c r="V21" s="116"/>
      <c r="W21" s="116"/>
      <c r="X21" s="116"/>
      <c r="Y21" s="116"/>
      <c r="Z21" s="116"/>
      <c r="AA21" s="116"/>
      <c r="AB21" s="11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1</v>
      </c>
      <c r="U22" s="115"/>
      <c r="V22" s="116"/>
      <c r="W22" s="116"/>
      <c r="X22" s="116"/>
      <c r="Y22" s="116"/>
      <c r="Z22" s="116"/>
      <c r="AA22" s="116"/>
      <c r="AB22" s="11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1</v>
      </c>
      <c r="U23" s="115"/>
      <c r="V23" s="116"/>
      <c r="W23" s="116"/>
      <c r="X23" s="116"/>
      <c r="Y23" s="116"/>
      <c r="Z23" s="116"/>
      <c r="AA23" s="116"/>
      <c r="AB23" s="11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1</v>
      </c>
      <c r="U24" s="118"/>
      <c r="V24" s="119"/>
      <c r="W24" s="119"/>
      <c r="X24" s="119"/>
      <c r="Y24" s="119"/>
      <c r="Z24" s="119"/>
      <c r="AA24" s="119"/>
      <c r="AB24" s="12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1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1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1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344</v>
      </c>
      <c r="L29" s="70" t="s">
        <v>216</v>
      </c>
      <c r="M29" s="20">
        <f>IFERROR(VLOOKUP(A29,$P$6:$R$1048576,3,0),0)</f>
        <v>1</v>
      </c>
      <c r="P29" s="6" t="s">
        <v>362</v>
      </c>
      <c r="Q29" s="40" t="str">
        <f t="shared" si="1"/>
        <v>JPE/JPO (Parity)</v>
      </c>
      <c r="R29" s="40">
        <v>1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/>
      <c r="Q31" s="40"/>
      <c r="R31" s="4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/>
      <c r="Q32" s="40"/>
      <c r="R32" s="40"/>
    </row>
    <row r="33" spans="1:13">
      <c r="B33" s="6" t="str">
        <f t="shared" si="7"/>
        <v>3</v>
      </c>
      <c r="C33" s="6">
        <f t="shared" si="8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</row>
    <row r="34" spans="1:13">
      <c r="B34" s="6" t="str">
        <f t="shared" si="7"/>
        <v>4</v>
      </c>
      <c r="C34" s="6">
        <f t="shared" si="8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</row>
    <row r="35" spans="1:13">
      <c r="B35" s="6" t="str">
        <f t="shared" si="7"/>
        <v>5</v>
      </c>
      <c r="C35" s="6">
        <f t="shared" si="8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6</v>
      </c>
      <c r="C36" s="6">
        <f t="shared" si="8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</row>
    <row r="37" spans="1:13" ht="15.75" thickBot="1">
      <c r="H37" s="52"/>
      <c r="I37" s="52"/>
      <c r="J37" s="52"/>
      <c r="K37" s="52"/>
    </row>
    <row r="38" spans="1:13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344</v>
      </c>
      <c r="L38" s="70" t="s">
        <v>240</v>
      </c>
      <c r="M38" s="20">
        <f>IFERROR(VLOOKUP(A38,$P$6:$R$1048576,3,0),0)</f>
        <v>1</v>
      </c>
    </row>
    <row r="39" spans="1:13">
      <c r="B39" s="40" t="str">
        <f t="shared" ref="B39:B43" si="9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</row>
    <row r="40" spans="1:13">
      <c r="B40" s="6" t="str">
        <f t="shared" si="9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</row>
    <row r="41" spans="1:13">
      <c r="B41" s="6" t="str">
        <f t="shared" si="9"/>
        <v>2</v>
      </c>
      <c r="C41" s="6">
        <f t="shared" ref="C41:C43" si="10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</row>
    <row r="42" spans="1:13">
      <c r="B42" s="6" t="str">
        <f t="shared" si="9"/>
        <v>3</v>
      </c>
      <c r="C42" s="6">
        <f t="shared" si="10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</row>
    <row r="43" spans="1:13">
      <c r="B43" s="6" t="str">
        <f t="shared" si="9"/>
        <v>4</v>
      </c>
      <c r="C43" s="6">
        <f t="shared" si="10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</row>
    <row r="44" spans="1:13">
      <c r="B44" s="6" t="str">
        <f t="shared" ref="B44:B47" si="11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1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3">
      <c r="B46" s="6" t="str">
        <f t="shared" si="11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3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344</v>
      </c>
      <c r="L49" s="70" t="s">
        <v>263</v>
      </c>
      <c r="M49" s="20">
        <f>IFERROR(VLOOKUP(A49,$P$6:$R$1048576,3,0),0)</f>
        <v>1</v>
      </c>
    </row>
    <row r="50" spans="1:13">
      <c r="B50" s="40" t="str">
        <f t="shared" ref="B50:B51" si="12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2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3">DEC2HEX(C52)</f>
        <v>2</v>
      </c>
      <c r="C52" s="6">
        <f t="shared" ref="C52:C55" si="14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3"/>
        <v>3</v>
      </c>
      <c r="C53" s="6">
        <f t="shared" si="14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3"/>
        <v>4</v>
      </c>
      <c r="C54" s="6">
        <f t="shared" si="14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3"/>
        <v>5</v>
      </c>
      <c r="C55" s="6">
        <f t="shared" si="14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344</v>
      </c>
      <c r="L57" s="70" t="s">
        <v>264</v>
      </c>
      <c r="M57" s="20">
        <f>IFERROR(VLOOKUP(A57,$P$6:$R$1048576,3,0),0)</f>
        <v>1</v>
      </c>
    </row>
    <row r="58" spans="1:13">
      <c r="B58" s="40" t="str">
        <f t="shared" ref="B58:B60" si="15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5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5"/>
        <v>2</v>
      </c>
      <c r="C60" s="6">
        <f t="shared" ref="C60" si="16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7">DEC2HEX(C61)</f>
        <v>3</v>
      </c>
      <c r="C61" s="6">
        <f t="shared" ref="C61:C64" si="18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7"/>
        <v>4</v>
      </c>
      <c r="C62" s="6">
        <f t="shared" si="18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7"/>
        <v>5</v>
      </c>
      <c r="C63" s="6">
        <f t="shared" si="18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7"/>
        <v>6</v>
      </c>
      <c r="C64" s="6">
        <f t="shared" si="18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344</v>
      </c>
      <c r="L66" s="70" t="s">
        <v>277</v>
      </c>
      <c r="M66" s="20">
        <f>IFERROR(VLOOKUP(A66,$P$6:$R$1048576,3,0),0)</f>
        <v>1</v>
      </c>
    </row>
    <row r="67" spans="1:13">
      <c r="B67" s="40" t="str">
        <f t="shared" ref="B67:B69" si="19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19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19"/>
        <v>2</v>
      </c>
      <c r="C69" s="6">
        <f t="shared" ref="C69" si="20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1"/>
        <v>4</v>
      </c>
      <c r="C71" s="6">
        <f t="shared" si="22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1"/>
        <v>5</v>
      </c>
      <c r="C72" s="6">
        <f t="shared" si="22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344</v>
      </c>
      <c r="L74" s="70" t="s">
        <v>278</v>
      </c>
      <c r="M74" s="20">
        <f>IFERROR(VLOOKUP(A74,$P$6:$R$1048576,3,0),0)</f>
        <v>1</v>
      </c>
    </row>
    <row r="75" spans="1:13">
      <c r="B75" s="40" t="str">
        <f t="shared" ref="B75:B77" si="23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3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5"/>
        <v>4</v>
      </c>
      <c r="C79" s="6">
        <f t="shared" si="26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5"/>
        <v>5</v>
      </c>
      <c r="C80" s="6">
        <f t="shared" si="26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5"/>
        <v>6</v>
      </c>
      <c r="C81" s="6">
        <f t="shared" si="26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344</v>
      </c>
      <c r="L83" s="70" t="s">
        <v>283</v>
      </c>
      <c r="M83" s="20">
        <f>IFERROR(VLOOKUP(A83,$P$6:$R$1048576,3,0),0)</f>
        <v>1</v>
      </c>
    </row>
    <row r="84" spans="1:13">
      <c r="B84" s="40" t="str">
        <f t="shared" ref="B84:B86" si="27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7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7"/>
        <v>2</v>
      </c>
      <c r="C86" s="6">
        <f t="shared" ref="C86" si="28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29"/>
        <v>4</v>
      </c>
      <c r="C88" s="6">
        <f t="shared" si="30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29"/>
        <v>5</v>
      </c>
      <c r="C89" s="6">
        <f t="shared" si="30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29"/>
        <v>6</v>
      </c>
      <c r="C90" s="6">
        <f t="shared" si="30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29"/>
        <v>7</v>
      </c>
      <c r="C91" s="6">
        <f t="shared" si="30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29"/>
        <v>8</v>
      </c>
      <c r="C92" s="6">
        <f t="shared" si="30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29"/>
        <v>9</v>
      </c>
      <c r="C93" s="6">
        <f t="shared" si="30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29"/>
        <v>A</v>
      </c>
      <c r="C94" s="6">
        <f t="shared" si="30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29"/>
        <v>B</v>
      </c>
      <c r="C95" s="6">
        <f t="shared" si="30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344</v>
      </c>
      <c r="L97" s="70" t="s">
        <v>288</v>
      </c>
      <c r="M97" s="20">
        <f>IFERROR(VLOOKUP(A97,$P$6:$R$1048576,3,0),0)</f>
        <v>1</v>
      </c>
    </row>
    <row r="98" spans="1:13">
      <c r="B98" s="40" t="str">
        <f t="shared" ref="B98:B103" si="31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1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1"/>
        <v>2</v>
      </c>
      <c r="C100" s="6">
        <f t="shared" ref="C100:C111" si="32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1"/>
        <v>3</v>
      </c>
      <c r="C101" s="6">
        <f t="shared" si="32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344</v>
      </c>
      <c r="L105" s="70" t="s">
        <v>294</v>
      </c>
      <c r="M105" s="20">
        <f>IFERROR(VLOOKUP(A105,$P$6:$R$1048576,3,0),0)</f>
        <v>1</v>
      </c>
    </row>
    <row r="106" spans="1:13">
      <c r="B106" s="40" t="str">
        <f t="shared" ref="B106:B111" si="33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3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4" t="s">
        <v>386</v>
      </c>
      <c r="L113" s="70" t="s">
        <v>316</v>
      </c>
      <c r="M113" s="20">
        <f>IFERROR(VLOOKUP(A113,$P$6:$R$1048576,3,0),0)</f>
        <v>1</v>
      </c>
    </row>
    <row r="114" spans="1:13">
      <c r="B114" s="40" t="str">
        <f t="shared" ref="B114:B119" si="34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4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4"/>
        <v>2</v>
      </c>
      <c r="C116" s="40">
        <f t="shared" ref="C116:C123" si="35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4"/>
        <v>3</v>
      </c>
      <c r="C117" s="40">
        <f t="shared" si="35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4"/>
        <v>4</v>
      </c>
      <c r="C118" s="40">
        <f t="shared" si="35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4"/>
        <v>5</v>
      </c>
      <c r="C119" s="40">
        <f t="shared" si="35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6">DEC2HEX(C120)</f>
        <v>6</v>
      </c>
      <c r="C120" s="40">
        <f t="shared" si="35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6"/>
        <v>7</v>
      </c>
      <c r="C121" s="40">
        <f t="shared" si="35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6"/>
        <v>8</v>
      </c>
      <c r="C122" s="40">
        <f t="shared" si="35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6"/>
        <v>9</v>
      </c>
      <c r="C123" s="40">
        <f t="shared" si="35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344</v>
      </c>
      <c r="L125" s="70" t="s">
        <v>340</v>
      </c>
      <c r="M125" s="20">
        <f>IFERROR(VLOOKUP(A125,$P$6:$R$1048576,3,0),0)</f>
        <v>1</v>
      </c>
    </row>
    <row r="126" spans="1:13">
      <c r="A126" t="s">
        <v>268</v>
      </c>
      <c r="B126" s="40" t="str">
        <f t="shared" ref="B126:B133" si="37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7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7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7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7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7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38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7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344</v>
      </c>
      <c r="L135" s="70" t="s">
        <v>341</v>
      </c>
      <c r="M135" s="20">
        <f>IFERROR(VLOOKUP(A135,$P$6:$R$1048576,3,0),0)</f>
        <v>1</v>
      </c>
    </row>
    <row r="136" spans="1:13">
      <c r="B136" s="40" t="str">
        <f t="shared" ref="B136:B146" si="39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39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39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39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39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39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39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39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39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39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39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344</v>
      </c>
      <c r="L148" s="70" t="s">
        <v>345</v>
      </c>
      <c r="M148" s="20">
        <f>IFERROR(VLOOKUP(A148,$P$6:$R$1048576,3,0),0)</f>
        <v>1</v>
      </c>
    </row>
    <row r="149" spans="1:13">
      <c r="B149" s="40" t="str">
        <f t="shared" ref="B149:B161" si="40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0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0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0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0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0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0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0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0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0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0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0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0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344</v>
      </c>
      <c r="L163" s="70" t="s">
        <v>352</v>
      </c>
      <c r="M163" s="20">
        <f>IFERROR(VLOOKUP(A163,$P$6:$R$1048576,3,0),0)</f>
        <v>1</v>
      </c>
    </row>
    <row r="164" spans="1:13">
      <c r="B164" s="40" t="str">
        <f t="shared" ref="B164:B172" si="41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1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1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1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1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1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1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1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1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344</v>
      </c>
      <c r="L174" s="70" t="s">
        <v>353</v>
      </c>
      <c r="M174" s="20">
        <f>IFERROR(VLOOKUP(A174,$P$6:$R$1048576,3,0),0)</f>
        <v>1</v>
      </c>
    </row>
    <row r="175" spans="1:13">
      <c r="B175" s="40" t="str">
        <f t="shared" ref="B175:B182" si="42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2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2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2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2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2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2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2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344</v>
      </c>
      <c r="L184" s="70" t="s">
        <v>354</v>
      </c>
      <c r="M184" s="20">
        <f>IFERROR(VLOOKUP(A184,$P$6:$R$1048576,3,0),0)</f>
        <v>1</v>
      </c>
    </row>
    <row r="185" spans="1:13">
      <c r="B185" s="40" t="str">
        <f t="shared" ref="B185:B192" si="43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3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3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3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3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3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3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3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344</v>
      </c>
      <c r="L194" s="70" t="s">
        <v>356</v>
      </c>
      <c r="M194" s="20">
        <f>IFERROR(VLOOKUP(A194,$P$6:$R$1048576,3,0),0)</f>
        <v>1</v>
      </c>
    </row>
    <row r="195" spans="1:13">
      <c r="B195" s="40" t="str">
        <f t="shared" ref="B195:B202" si="44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4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4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4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4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4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4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4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344</v>
      </c>
      <c r="L204" s="70" t="s">
        <v>359</v>
      </c>
      <c r="M204" s="20">
        <f>IFERROR(VLOOKUP(A204,$P$6:$R$1048576,3,0),0)</f>
        <v>1</v>
      </c>
    </row>
    <row r="205" spans="1:13">
      <c r="B205" s="40" t="str">
        <f t="shared" ref="B205:B209" si="45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5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5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5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5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344</v>
      </c>
      <c r="L211" s="70" t="s">
        <v>367</v>
      </c>
      <c r="M211" s="20">
        <f>IFERROR(VLOOKUP(A211,$P$6:$R$1048576,3,0),0)</f>
        <v>1</v>
      </c>
    </row>
    <row r="212" spans="1:13">
      <c r="B212" s="40" t="str">
        <f t="shared" ref="B212:B222" si="46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6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6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6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6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6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6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6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6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6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6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344</v>
      </c>
      <c r="L224" s="70" t="s">
        <v>368</v>
      </c>
      <c r="M224" s="20">
        <f>IFERROR(VLOOKUP(A224,$P$6:$R$1048576,3,0),0)</f>
        <v>1</v>
      </c>
    </row>
    <row r="225" spans="1:13">
      <c r="B225" s="40" t="str">
        <f t="shared" ref="B225:B238" si="47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7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7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7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7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7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7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7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344</v>
      </c>
      <c r="L240" s="70" t="s">
        <v>376</v>
      </c>
      <c r="M240" s="20">
        <f>IFERROR(VLOOKUP(A240,$P$6:$R$1048576,3,0),0)</f>
        <v>1</v>
      </c>
    </row>
    <row r="241" spans="1:13">
      <c r="B241" s="40" t="str">
        <f t="shared" ref="B241:B251" si="48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48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48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48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48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48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48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48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48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48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48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0</v>
      </c>
      <c r="K253" s="108" t="s">
        <v>344</v>
      </c>
      <c r="L253" s="70" t="s">
        <v>377</v>
      </c>
      <c r="M253" s="20">
        <f>IFERROR(VLOOKUP(A253,$P$6:$R$1048576,3,0),0)</f>
        <v>1</v>
      </c>
    </row>
    <row r="254" spans="1:13">
      <c r="B254" s="40" t="str">
        <f t="shared" ref="B254:B257" si="49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49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49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1</v>
      </c>
      <c r="K256" s="55"/>
      <c r="L256" s="40"/>
      <c r="M256" s="40"/>
    </row>
    <row r="257" spans="2:13">
      <c r="B257" s="40" t="str">
        <f t="shared" si="49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2:13">
      <c r="H258" s="52"/>
      <c r="I258" s="52"/>
      <c r="J258" s="52"/>
      <c r="K258" s="52"/>
    </row>
  </sheetData>
  <mergeCells count="2">
    <mergeCell ref="U5:AB24"/>
    <mergeCell ref="U4:AB4"/>
  </mergeCells>
  <phoneticPr fontId="16" type="noConversion"/>
  <conditionalFormatting sqref="J4:K4">
    <cfRule type="cellIs" dxfId="141" priority="239" operator="equal">
      <formula>0</formula>
    </cfRule>
    <cfRule type="cellIs" dxfId="140" priority="240" operator="equal">
      <formula>1</formula>
    </cfRule>
  </conditionalFormatting>
  <conditionalFormatting sqref="J11:K11">
    <cfRule type="cellIs" dxfId="139" priority="237" operator="equal">
      <formula>0</formula>
    </cfRule>
    <cfRule type="cellIs" dxfId="138" priority="238" operator="equal">
      <formula>1</formula>
    </cfRule>
  </conditionalFormatting>
  <conditionalFormatting sqref="J16:K16">
    <cfRule type="cellIs" dxfId="137" priority="235" operator="equal">
      <formula>0</formula>
    </cfRule>
    <cfRule type="cellIs" dxfId="136" priority="236" operator="equal">
      <formula>1</formula>
    </cfRule>
  </conditionalFormatting>
  <conditionalFormatting sqref="J29:K29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4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J38:K38">
    <cfRule type="cellIs" dxfId="131" priority="219" operator="equal">
      <formula>0</formula>
    </cfRule>
    <cfRule type="cellIs" dxfId="130" priority="220" operator="equal">
      <formula>1</formula>
    </cfRule>
  </conditionalFormatting>
  <conditionalFormatting sqref="K49">
    <cfRule type="cellIs" dxfId="129" priority="215" operator="equal">
      <formula>0</formula>
    </cfRule>
    <cfRule type="cellIs" dxfId="128" priority="216" operator="equal">
      <formula>1</formula>
    </cfRule>
  </conditionalFormatting>
  <conditionalFormatting sqref="K66">
    <cfRule type="cellIs" dxfId="127" priority="207" operator="equal">
      <formula>0</formula>
    </cfRule>
    <cfRule type="cellIs" dxfId="126" priority="208" operator="equal">
      <formula>1</formula>
    </cfRule>
  </conditionalFormatting>
  <conditionalFormatting sqref="K57">
    <cfRule type="cellIs" dxfId="125" priority="203" operator="equal">
      <formula>0</formula>
    </cfRule>
    <cfRule type="cellIs" dxfId="124" priority="204" operator="equal">
      <formula>1</formula>
    </cfRule>
  </conditionalFormatting>
  <conditionalFormatting sqref="J49">
    <cfRule type="cellIs" dxfId="123" priority="199" operator="equal">
      <formula>0</formula>
    </cfRule>
    <cfRule type="cellIs" dxfId="122" priority="200" operator="equal">
      <formula>1</formula>
    </cfRule>
  </conditionalFormatting>
  <conditionalFormatting sqref="J57">
    <cfRule type="cellIs" dxfId="121" priority="197" operator="equal">
      <formula>0</formula>
    </cfRule>
    <cfRule type="cellIs" dxfId="120" priority="198" operator="equal">
      <formula>1</formula>
    </cfRule>
  </conditionalFormatting>
  <conditionalFormatting sqref="J66">
    <cfRule type="cellIs" dxfId="119" priority="195" operator="equal">
      <formula>0</formula>
    </cfRule>
    <cfRule type="cellIs" dxfId="118" priority="196" operator="equal">
      <formula>1</formula>
    </cfRule>
  </conditionalFormatting>
  <conditionalFormatting sqref="K74">
    <cfRule type="cellIs" dxfId="117" priority="193" operator="equal">
      <formula>0</formula>
    </cfRule>
    <cfRule type="cellIs" dxfId="116" priority="194" operator="equal">
      <formula>1</formula>
    </cfRule>
  </conditionalFormatting>
  <conditionalFormatting sqref="J74">
    <cfRule type="cellIs" dxfId="115" priority="189" operator="equal">
      <formula>0</formula>
    </cfRule>
    <cfRule type="cellIs" dxfId="114" priority="190" operator="equal">
      <formula>1</formula>
    </cfRule>
  </conditionalFormatting>
  <conditionalFormatting sqref="R6:R32">
    <cfRule type="cellIs" dxfId="113" priority="187" operator="equal">
      <formula>0</formula>
    </cfRule>
    <cfRule type="cellIs" dxfId="112" priority="188" operator="equal">
      <formula>1</formula>
    </cfRule>
  </conditionalFormatting>
  <conditionalFormatting sqref="K83">
    <cfRule type="cellIs" dxfId="111" priority="169" operator="equal">
      <formula>0</formula>
    </cfRule>
    <cfRule type="cellIs" dxfId="110" priority="170" operator="equal">
      <formula>1</formula>
    </cfRule>
  </conditionalFormatting>
  <conditionalFormatting sqref="J83">
    <cfRule type="cellIs" dxfId="109" priority="167" operator="equal">
      <formula>0</formula>
    </cfRule>
    <cfRule type="cellIs" dxfId="108" priority="168" operator="equal">
      <formula>1</formula>
    </cfRule>
  </conditionalFormatting>
  <conditionalFormatting sqref="K97">
    <cfRule type="cellIs" dxfId="107" priority="163" operator="equal">
      <formula>0</formula>
    </cfRule>
    <cfRule type="cellIs" dxfId="106" priority="164" operator="equal">
      <formula>1</formula>
    </cfRule>
  </conditionalFormatting>
  <conditionalFormatting sqref="J97">
    <cfRule type="cellIs" dxfId="105" priority="161" operator="equal">
      <formula>0</formula>
    </cfRule>
    <cfRule type="cellIs" dxfId="104" priority="162" operator="equal">
      <formula>1</formula>
    </cfRule>
  </conditionalFormatting>
  <conditionalFormatting sqref="K105">
    <cfRule type="cellIs" dxfId="103" priority="151" operator="equal">
      <formula>0</formula>
    </cfRule>
    <cfRule type="cellIs" dxfId="102" priority="152" operator="equal">
      <formula>1</formula>
    </cfRule>
  </conditionalFormatting>
  <conditionalFormatting sqref="J105">
    <cfRule type="cellIs" dxfId="101" priority="149" operator="equal">
      <formula>0</formula>
    </cfRule>
    <cfRule type="cellIs" dxfId="100" priority="150" operator="equal">
      <formula>1</formula>
    </cfRule>
  </conditionalFormatting>
  <conditionalFormatting sqref="K113">
    <cfRule type="cellIs" dxfId="99" priority="145" operator="equal">
      <formula>0</formula>
    </cfRule>
    <cfRule type="cellIs" dxfId="98" priority="146" operator="equal">
      <formula>1</formula>
    </cfRule>
  </conditionalFormatting>
  <conditionalFormatting sqref="M11">
    <cfRule type="cellIs" dxfId="97" priority="137" operator="equal">
      <formula>0</formula>
    </cfRule>
    <cfRule type="cellIs" dxfId="96" priority="138" operator="equal">
      <formula>1</formula>
    </cfRule>
  </conditionalFormatting>
  <conditionalFormatting sqref="M16">
    <cfRule type="cellIs" dxfId="95" priority="135" operator="equal">
      <formula>0</formula>
    </cfRule>
    <cfRule type="cellIs" dxfId="94" priority="136" operator="equal">
      <formula>1</formula>
    </cfRule>
  </conditionalFormatting>
  <conditionalFormatting sqref="M29">
    <cfRule type="cellIs" dxfId="93" priority="133" operator="equal">
      <formula>0</formula>
    </cfRule>
    <cfRule type="cellIs" dxfId="92" priority="134" operator="equal">
      <formula>1</formula>
    </cfRule>
  </conditionalFormatting>
  <conditionalFormatting sqref="M38">
    <cfRule type="cellIs" dxfId="91" priority="131" operator="equal">
      <formula>0</formula>
    </cfRule>
    <cfRule type="cellIs" dxfId="90" priority="132" operator="equal">
      <formula>1</formula>
    </cfRule>
  </conditionalFormatting>
  <conditionalFormatting sqref="M49">
    <cfRule type="cellIs" dxfId="89" priority="129" operator="equal">
      <formula>0</formula>
    </cfRule>
    <cfRule type="cellIs" dxfId="88" priority="130" operator="equal">
      <formula>1</formula>
    </cfRule>
  </conditionalFormatting>
  <conditionalFormatting sqref="M57">
    <cfRule type="cellIs" dxfId="87" priority="127" operator="equal">
      <formula>0</formula>
    </cfRule>
    <cfRule type="cellIs" dxfId="86" priority="128" operator="equal">
      <formula>1</formula>
    </cfRule>
  </conditionalFormatting>
  <conditionalFormatting sqref="M66">
    <cfRule type="cellIs" dxfId="85" priority="125" operator="equal">
      <formula>0</formula>
    </cfRule>
    <cfRule type="cellIs" dxfId="84" priority="126" operator="equal">
      <formula>1</formula>
    </cfRule>
  </conditionalFormatting>
  <conditionalFormatting sqref="M74">
    <cfRule type="cellIs" dxfId="83" priority="123" operator="equal">
      <formula>0</formula>
    </cfRule>
    <cfRule type="cellIs" dxfId="82" priority="124" operator="equal">
      <formula>1</formula>
    </cfRule>
  </conditionalFormatting>
  <conditionalFormatting sqref="M83">
    <cfRule type="cellIs" dxfId="81" priority="121" operator="equal">
      <formula>0</formula>
    </cfRule>
    <cfRule type="cellIs" dxfId="80" priority="122" operator="equal">
      <formula>1</formula>
    </cfRule>
  </conditionalFormatting>
  <conditionalFormatting sqref="M97">
    <cfRule type="cellIs" dxfId="79" priority="119" operator="equal">
      <formula>0</formula>
    </cfRule>
    <cfRule type="cellIs" dxfId="78" priority="120" operator="equal">
      <formula>1</formula>
    </cfRule>
  </conditionalFormatting>
  <conditionalFormatting sqref="M105">
    <cfRule type="cellIs" dxfId="77" priority="117" operator="equal">
      <formula>0</formula>
    </cfRule>
    <cfRule type="cellIs" dxfId="76" priority="118" operator="equal">
      <formula>1</formula>
    </cfRule>
  </conditionalFormatting>
  <conditionalFormatting sqref="M113">
    <cfRule type="cellIs" dxfId="75" priority="115" operator="equal">
      <formula>0</formula>
    </cfRule>
    <cfRule type="cellIs" dxfId="74" priority="116" operator="equal">
      <formula>1</formula>
    </cfRule>
  </conditionalFormatting>
  <conditionalFormatting sqref="K125">
    <cfRule type="cellIs" dxfId="73" priority="107" operator="equal">
      <formula>0</formula>
    </cfRule>
    <cfRule type="cellIs" dxfId="72" priority="108" operator="equal">
      <formula>1</formula>
    </cfRule>
  </conditionalFormatting>
  <conditionalFormatting sqref="M125">
    <cfRule type="cellIs" dxfId="71" priority="103" operator="equal">
      <formula>0</formula>
    </cfRule>
    <cfRule type="cellIs" dxfId="70" priority="104" operator="equal">
      <formula>1</formula>
    </cfRule>
  </conditionalFormatting>
  <conditionalFormatting sqref="K135">
    <cfRule type="cellIs" dxfId="69" priority="93" operator="equal">
      <formula>0</formula>
    </cfRule>
    <cfRule type="cellIs" dxfId="68" priority="94" operator="equal">
      <formula>1</formula>
    </cfRule>
  </conditionalFormatting>
  <conditionalFormatting sqref="M135">
    <cfRule type="cellIs" dxfId="67" priority="89" operator="equal">
      <formula>0</formula>
    </cfRule>
    <cfRule type="cellIs" dxfId="66" priority="90" operator="equal">
      <formula>1</formula>
    </cfRule>
  </conditionalFormatting>
  <conditionalFormatting sqref="J125">
    <cfRule type="cellIs" dxfId="65" priority="87" operator="equal">
      <formula>0</formula>
    </cfRule>
    <cfRule type="cellIs" dxfId="64" priority="88" operator="equal">
      <formula>1</formula>
    </cfRule>
  </conditionalFormatting>
  <conditionalFormatting sqref="J135">
    <cfRule type="cellIs" dxfId="63" priority="85" operator="equal">
      <formula>0</formula>
    </cfRule>
    <cfRule type="cellIs" dxfId="62" priority="86" operator="equal">
      <formula>1</formula>
    </cfRule>
  </conditionalFormatting>
  <conditionalFormatting sqref="J113">
    <cfRule type="cellIs" dxfId="61" priority="83" operator="equal">
      <formula>0</formula>
    </cfRule>
    <cfRule type="cellIs" dxfId="60" priority="84" operator="equal">
      <formula>1</formula>
    </cfRule>
  </conditionalFormatting>
  <conditionalFormatting sqref="K148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J148">
    <cfRule type="cellIs" dxfId="57" priority="75" operator="equal">
      <formula>0</formula>
    </cfRule>
    <cfRule type="cellIs" dxfId="56" priority="76" operator="equal">
      <formula>1</formula>
    </cfRule>
  </conditionalFormatting>
  <conditionalFormatting sqref="M148">
    <cfRule type="cellIs" dxfId="55" priority="73" operator="equal">
      <formula>0</formula>
    </cfRule>
    <cfRule type="cellIs" dxfId="54" priority="74" operator="equal">
      <formula>1</formula>
    </cfRule>
  </conditionalFormatting>
  <conditionalFormatting sqref="K163">
    <cfRule type="cellIs" dxfId="53" priority="71" operator="equal">
      <formula>0</formula>
    </cfRule>
    <cfRule type="cellIs" dxfId="52" priority="72" operator="equal">
      <formula>1</formula>
    </cfRule>
  </conditionalFormatting>
  <conditionalFormatting sqref="J163">
    <cfRule type="cellIs" dxfId="51" priority="69" operator="equal">
      <formula>0</formula>
    </cfRule>
    <cfRule type="cellIs" dxfId="50" priority="70" operator="equal">
      <formula>1</formula>
    </cfRule>
  </conditionalFormatting>
  <conditionalFormatting sqref="M163">
    <cfRule type="cellIs" dxfId="49" priority="67" operator="equal">
      <formula>0</formula>
    </cfRule>
    <cfRule type="cellIs" dxfId="48" priority="68" operator="equal">
      <formula>1</formula>
    </cfRule>
  </conditionalFormatting>
  <conditionalFormatting sqref="K174">
    <cfRule type="cellIs" dxfId="47" priority="65" operator="equal">
      <formula>0</formula>
    </cfRule>
    <cfRule type="cellIs" dxfId="46" priority="66" operator="equal">
      <formula>1</formula>
    </cfRule>
  </conditionalFormatting>
  <conditionalFormatting sqref="J174">
    <cfRule type="cellIs" dxfId="45" priority="63" operator="equal">
      <formula>0</formula>
    </cfRule>
    <cfRule type="cellIs" dxfId="44" priority="64" operator="equal">
      <formula>1</formula>
    </cfRule>
  </conditionalFormatting>
  <conditionalFormatting sqref="M174">
    <cfRule type="cellIs" dxfId="43" priority="61" operator="equal">
      <formula>0</formula>
    </cfRule>
    <cfRule type="cellIs" dxfId="42" priority="62" operator="equal">
      <formula>1</formula>
    </cfRule>
  </conditionalFormatting>
  <conditionalFormatting sqref="K184">
    <cfRule type="cellIs" dxfId="41" priority="53" operator="equal">
      <formula>0</formula>
    </cfRule>
    <cfRule type="cellIs" dxfId="40" priority="54" operator="equal">
      <formula>1</formula>
    </cfRule>
  </conditionalFormatting>
  <conditionalFormatting sqref="J184">
    <cfRule type="cellIs" dxfId="39" priority="51" operator="equal">
      <formula>0</formula>
    </cfRule>
    <cfRule type="cellIs" dxfId="38" priority="52" operator="equal">
      <formula>1</formula>
    </cfRule>
  </conditionalFormatting>
  <conditionalFormatting sqref="M184">
    <cfRule type="cellIs" dxfId="37" priority="49" operator="equal">
      <formula>0</formula>
    </cfRule>
    <cfRule type="cellIs" dxfId="36" priority="50" operator="equal">
      <formula>1</formula>
    </cfRule>
  </conditionalFormatting>
  <conditionalFormatting sqref="K194">
    <cfRule type="cellIs" dxfId="35" priority="47" operator="equal">
      <formula>0</formula>
    </cfRule>
    <cfRule type="cellIs" dxfId="34" priority="48" operator="equal">
      <formula>1</formula>
    </cfRule>
  </conditionalFormatting>
  <conditionalFormatting sqref="J194">
    <cfRule type="cellIs" dxfId="33" priority="45" operator="equal">
      <formula>0</formula>
    </cfRule>
    <cfRule type="cellIs" dxfId="32" priority="46" operator="equal">
      <formula>1</formula>
    </cfRule>
  </conditionalFormatting>
  <conditionalFormatting sqref="M194">
    <cfRule type="cellIs" dxfId="31" priority="43" operator="equal">
      <formula>0</formula>
    </cfRule>
    <cfRule type="cellIs" dxfId="30" priority="44" operator="equal">
      <formula>1</formula>
    </cfRule>
  </conditionalFormatting>
  <conditionalFormatting sqref="K204">
    <cfRule type="cellIs" dxfId="29" priority="41" operator="equal">
      <formula>0</formula>
    </cfRule>
    <cfRule type="cellIs" dxfId="28" priority="42" operator="equal">
      <formula>1</formula>
    </cfRule>
  </conditionalFormatting>
  <conditionalFormatting sqref="J204">
    <cfRule type="cellIs" dxfId="27" priority="39" operator="equal">
      <formula>0</formula>
    </cfRule>
    <cfRule type="cellIs" dxfId="26" priority="40" operator="equal">
      <formula>1</formula>
    </cfRule>
  </conditionalFormatting>
  <conditionalFormatting sqref="M204">
    <cfRule type="cellIs" dxfId="25" priority="37" operator="equal">
      <formula>0</formula>
    </cfRule>
    <cfRule type="cellIs" dxfId="24" priority="38" operator="equal">
      <formula>1</formula>
    </cfRule>
  </conditionalFormatting>
  <conditionalFormatting sqref="K211">
    <cfRule type="cellIs" dxfId="23" priority="35" operator="equal">
      <formula>0</formula>
    </cfRule>
    <cfRule type="cellIs" dxfId="22" priority="36" operator="equal">
      <formula>1</formula>
    </cfRule>
  </conditionalFormatting>
  <conditionalFormatting sqref="J211">
    <cfRule type="cellIs" dxfId="21" priority="33" operator="equal">
      <formula>0</formula>
    </cfRule>
    <cfRule type="cellIs" dxfId="20" priority="34" operator="equal">
      <formula>1</formula>
    </cfRule>
  </conditionalFormatting>
  <conditionalFormatting sqref="M211">
    <cfRule type="cellIs" dxfId="19" priority="31" operator="equal">
      <formula>0</formula>
    </cfRule>
    <cfRule type="cellIs" dxfId="18" priority="32" operator="equal">
      <formula>1</formula>
    </cfRule>
  </conditionalFormatting>
  <conditionalFormatting sqref="K224">
    <cfRule type="cellIs" dxfId="17" priority="29" operator="equal">
      <formula>0</formula>
    </cfRule>
    <cfRule type="cellIs" dxfId="16" priority="30" operator="equal">
      <formula>1</formula>
    </cfRule>
  </conditionalFormatting>
  <conditionalFormatting sqref="J224">
    <cfRule type="cellIs" dxfId="15" priority="27" operator="equal">
      <formula>0</formula>
    </cfRule>
    <cfRule type="cellIs" dxfId="14" priority="28" operator="equal">
      <formula>1</formula>
    </cfRule>
  </conditionalFormatting>
  <conditionalFormatting sqref="M224">
    <cfRule type="cellIs" dxfId="13" priority="25" operator="equal">
      <formula>0</formula>
    </cfRule>
    <cfRule type="cellIs" dxfId="12" priority="26" operator="equal">
      <formula>1</formula>
    </cfRule>
  </conditionalFormatting>
  <conditionalFormatting sqref="K240">
    <cfRule type="cellIs" dxfId="11" priority="23" operator="equal">
      <formula>0</formula>
    </cfRule>
    <cfRule type="cellIs" dxfId="10" priority="24" operator="equal">
      <formula>1</formula>
    </cfRule>
  </conditionalFormatting>
  <conditionalFormatting sqref="J240">
    <cfRule type="cellIs" dxfId="9" priority="21" operator="equal">
      <formula>0</formula>
    </cfRule>
    <cfRule type="cellIs" dxfId="8" priority="22" operator="equal">
      <formula>1</formula>
    </cfRule>
  </conditionalFormatting>
  <conditionalFormatting sqref="M240">
    <cfRule type="cellIs" dxfId="7" priority="19" operator="equal">
      <formula>0</formula>
    </cfRule>
    <cfRule type="cellIs" dxfId="6" priority="20" operator="equal">
      <formula>1</formula>
    </cfRule>
  </conditionalFormatting>
  <conditionalFormatting sqref="K253">
    <cfRule type="cellIs" dxfId="5" priority="17" operator="equal">
      <formula>0</formula>
    </cfRule>
    <cfRule type="cellIs" dxfId="4" priority="18" operator="equal">
      <formula>1</formula>
    </cfRule>
  </conditionalFormatting>
  <conditionalFormatting sqref="J253">
    <cfRule type="cellIs" dxfId="3" priority="15" operator="equal">
      <formula>0</formula>
    </cfRule>
    <cfRule type="cellIs" dxfId="2" priority="16" operator="equal">
      <formula>1</formula>
    </cfRule>
  </conditionalFormatting>
  <conditionalFormatting sqref="M253">
    <cfRule type="cellIs" dxfId="1" priority="13" operator="equal">
      <formula>0</formula>
    </cfRule>
    <cfRule type="cellIs" dxfId="0" priority="14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2026-02-13T19:38:22Z</dcterms:modified>
</cp:coreProperties>
</file>