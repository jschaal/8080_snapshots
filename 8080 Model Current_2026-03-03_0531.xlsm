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029A254-2F3C-4194-BFEF-3972D791DD5A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3" i="6" l="1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6" i="2" a="1"/>
  <c r="AB15" i="2" a="1"/>
  <c r="J776" i="5" a="1"/>
  <c r="J677" i="5" a="1"/>
  <c r="J241" i="5" a="1"/>
  <c r="J550" i="5" a="1"/>
  <c r="J196" i="5" a="1"/>
  <c r="J268" i="5" a="1"/>
  <c r="J331" i="5" a="1"/>
  <c r="J155" i="5" a="1"/>
  <c r="J360" i="5" a="1"/>
  <c r="J236" i="5" a="1"/>
  <c r="J142" i="5" a="1"/>
  <c r="J369" i="5" a="1"/>
  <c r="J333" i="5" a="1"/>
  <c r="J206" i="5" a="1"/>
  <c r="J151" i="5" a="1"/>
  <c r="J195" i="5" a="1"/>
  <c r="J270" i="5" a="1"/>
  <c r="J178" i="5" a="1"/>
  <c r="J366" i="5" a="1"/>
  <c r="J549" i="5" a="1"/>
  <c r="J189" i="5" a="1"/>
  <c r="J395" i="5" a="1"/>
  <c r="J645" i="5" a="1"/>
  <c r="J256" i="5" a="1"/>
  <c r="J446" i="5" a="1"/>
  <c r="J312" i="5" a="1"/>
  <c r="J375" i="5" a="1"/>
  <c r="J303" i="5" a="1"/>
  <c r="J737" i="5" a="1"/>
  <c r="J201" i="5" a="1"/>
  <c r="J288" i="5" a="1"/>
  <c r="J322" i="5" a="1"/>
  <c r="J350" i="5" a="1"/>
  <c r="J367" i="5" a="1"/>
  <c r="J170" i="5" a="1"/>
  <c r="J218" i="5" a="1"/>
  <c r="J728" i="5" a="1"/>
  <c r="J634" i="5" a="1"/>
  <c r="J276" i="5" a="1"/>
  <c r="J150" i="5" a="1"/>
  <c r="J448" i="5" a="1"/>
  <c r="J305" i="5" a="1"/>
  <c r="J354" i="5" a="1"/>
  <c r="J551" i="5" a="1"/>
  <c r="J187" i="5" a="1"/>
  <c r="J287" i="5" a="1"/>
  <c r="J394" i="5" a="1"/>
  <c r="J199" i="5" a="1"/>
  <c r="J247" i="5" a="1"/>
  <c r="J487" i="5" a="1"/>
  <c r="J773" i="5" a="1"/>
  <c r="J668" i="5" a="1"/>
  <c r="J396" i="5" a="1"/>
  <c r="J562" i="5" a="1"/>
  <c r="J128" i="5" a="1"/>
  <c r="J365" i="5" a="1"/>
  <c r="J284" i="5" a="1"/>
  <c r="J356" i="5" a="1"/>
  <c r="J330" i="5" a="1"/>
  <c r="J496" i="5" a="1"/>
  <c r="J372" i="5" a="1"/>
  <c r="J601" i="5" a="1"/>
  <c r="J285" i="5" a="1"/>
  <c r="J554" i="5" a="1"/>
  <c r="J293" i="5" a="1"/>
  <c r="J338" i="5" a="1"/>
  <c r="J359" i="5" a="1"/>
  <c r="J191" i="5" a="1"/>
  <c r="J212" i="5" a="1"/>
  <c r="J578" i="5" a="1"/>
  <c r="J399" i="5" a="1"/>
  <c r="J138" i="5" a="1"/>
  <c r="J413" i="5" a="1"/>
  <c r="J390" i="5" a="1"/>
  <c r="J552" i="5" a="1"/>
  <c r="J158" i="5" a="1"/>
  <c r="J277" i="5" a="1"/>
  <c r="J766" i="5" a="1"/>
  <c r="J659" i="5" a="1"/>
  <c r="J318" i="5" a="1"/>
  <c r="J129" i="5" a="1"/>
  <c r="J314" i="5" a="1"/>
  <c r="J275" i="5" a="1"/>
  <c r="J44" i="5" a="1"/>
  <c r="J295" i="5" a="1"/>
  <c r="J493" i="5" a="1"/>
  <c r="J166" i="5" a="1"/>
  <c r="J278" i="5" a="1"/>
  <c r="J246" i="5" a="1"/>
  <c r="J385" i="5" a="1"/>
  <c r="J313" i="5" a="1"/>
  <c r="J557" i="5" a="1"/>
  <c r="J555" i="5" a="1"/>
  <c r="J332" i="5" a="1"/>
  <c r="J494" i="5" a="1"/>
  <c r="J306" i="5" a="1"/>
  <c r="J141" i="5" a="1"/>
  <c r="J348" i="5" a="1"/>
  <c r="J746" i="5" a="1"/>
  <c r="J200" i="5" a="1"/>
  <c r="J321" i="5" a="1"/>
  <c r="J378" i="5" a="1"/>
  <c r="J449" i="5" a="1"/>
  <c r="J548" i="5" a="1"/>
  <c r="J644" i="5" a="1"/>
  <c r="J347" i="5" a="1"/>
  <c r="J171" i="5" a="1"/>
  <c r="J595" i="5" a="1"/>
  <c r="J580" i="5" a="1"/>
  <c r="J363" i="5" a="1"/>
  <c r="J387" i="5" a="1"/>
  <c r="J342" i="5" a="1"/>
  <c r="J558" i="5" a="1"/>
  <c r="J577" i="5" a="1"/>
  <c r="J351" i="5" a="1"/>
  <c r="J274" i="5" a="1"/>
  <c r="J594" i="5" a="1"/>
  <c r="J587" i="5" a="1"/>
  <c r="J579" i="5" a="1"/>
  <c r="J492" i="5" a="1"/>
  <c r="J626" i="5" a="1"/>
  <c r="J472" i="5" a="1"/>
  <c r="J345" i="5" a="1"/>
  <c r="J349" i="5" a="1"/>
  <c r="J153" i="5" a="1"/>
  <c r="J561" i="5" a="1"/>
  <c r="J286" i="5" a="1"/>
  <c r="J198" i="5" a="1"/>
  <c r="J136" i="5" a="1"/>
  <c r="J291" i="5" a="1"/>
  <c r="J386" i="5" a="1"/>
  <c r="J237" i="5" a="1"/>
  <c r="J329" i="5" a="1"/>
  <c r="J320" i="5" a="1"/>
  <c r="J227" i="5" a="1"/>
  <c r="J282" i="5" a="1"/>
  <c r="J393" i="5" a="1"/>
  <c r="J755" i="5" a="1"/>
  <c r="J651" i="5" a="1"/>
  <c r="J424" i="5" a="1"/>
  <c r="J185" i="5" a="1"/>
  <c r="J553" i="5" a="1"/>
  <c r="J340" i="5" a="1"/>
  <c r="J127" i="5" a="1"/>
  <c r="J447" i="5" a="1"/>
  <c r="J401" i="5" a="1"/>
  <c r="J294" i="5" a="1"/>
  <c r="J588" i="5" a="1"/>
  <c r="J156" i="5" a="1"/>
  <c r="J130" i="5" a="1"/>
  <c r="J376" i="5" a="1"/>
  <c r="J559" i="5" a="1"/>
  <c r="J245" i="5" a="1"/>
  <c r="J177" i="5" a="1"/>
  <c r="J46" i="5" a="1"/>
  <c r="J302" i="5" a="1"/>
  <c r="J261" i="5" a="1"/>
  <c r="J357" i="5" a="1"/>
  <c r="J266" i="5" a="1"/>
  <c r="J176" i="5" a="1"/>
  <c r="J428" i="5" a="1"/>
  <c r="J235" i="5" a="1"/>
  <c r="J374" i="5" a="1"/>
  <c r="J384" i="5" a="1"/>
  <c r="J126" i="5" a="1"/>
  <c r="J474" i="5" a="1"/>
  <c r="J324" i="5" a="1"/>
  <c r="J188" i="5" a="1"/>
  <c r="J719" i="5" a="1"/>
  <c r="J779" i="5" a="1"/>
  <c r="J710" i="5" a="1"/>
  <c r="J619" i="5" a="1"/>
  <c r="J377" i="5" a="1"/>
  <c r="J165" i="5" a="1"/>
  <c r="J405" i="5" a="1"/>
  <c r="J327" i="5" a="1"/>
  <c r="J228" i="5" a="1"/>
  <c r="J197" i="5" a="1"/>
  <c r="J296" i="5" a="1"/>
  <c r="J255" i="5" a="1"/>
  <c r="J556" i="5" a="1"/>
  <c r="J304" i="5" a="1"/>
  <c r="J475" i="5" a="1"/>
  <c r="J144" i="5" a="1"/>
  <c r="J279" i="5" a="1"/>
  <c r="J267" i="5" a="1"/>
  <c r="J547" i="5" a="1"/>
  <c r="J402" i="5" a="1"/>
  <c r="J167" i="5" a="1"/>
  <c r="J404" i="5" a="1"/>
  <c r="J368" i="5" a="1"/>
  <c r="J788" i="5" a="1"/>
  <c r="J704" i="5" a="1"/>
  <c r="J618" i="5" a="1"/>
  <c r="J480" i="5" a="1"/>
  <c r="J560" i="5" a="1"/>
  <c r="J581" i="5" a="1"/>
  <c r="J260" i="5" a="1"/>
  <c r="J262" i="5" a="1"/>
  <c r="J602" i="5" a="1"/>
  <c r="J336" i="5" a="1"/>
  <c r="J453" i="5" a="1"/>
  <c r="J311" i="5" a="1"/>
  <c r="J131" i="5" a="1"/>
  <c r="J323" i="5" a="1"/>
  <c r="J234" i="5" a="1"/>
  <c r="J179" i="5" a="1"/>
  <c r="J300" i="5" a="1"/>
  <c r="J283" i="5" a="1"/>
  <c r="J339" i="5" a="1"/>
  <c r="J186" i="5" a="1"/>
  <c r="J292" i="5" a="1"/>
  <c r="J309" i="5" a="1"/>
  <c r="J799" i="5" a="1"/>
  <c r="J695" i="5" a="1"/>
  <c r="J608" i="5" a="1"/>
  <c r="J181" i="5" a="1"/>
  <c r="J403" i="5" a="1"/>
  <c r="J242" i="5" a="1"/>
  <c r="J438" i="5" a="1"/>
  <c r="J269" i="5" a="1"/>
  <c r="J565" i="5" a="1"/>
  <c r="J341" i="5" a="1"/>
  <c r="J391" i="5" a="1"/>
  <c r="J243" i="5" a="1"/>
  <c r="J225" i="5" a="1"/>
  <c r="J249" i="5" a="1"/>
  <c r="J168" i="5" a="1"/>
  <c r="J248" i="5" a="1"/>
  <c r="J271" i="5" a="1"/>
  <c r="J463" i="5" a="1"/>
  <c r="J152" i="5" a="1"/>
  <c r="J137" i="5" a="1"/>
  <c r="J132" i="5" a="1"/>
  <c r="J226" i="5" a="1"/>
  <c r="J798" i="5" a="1"/>
  <c r="J686" i="5" a="1"/>
  <c r="J576" i="5" a="1"/>
  <c r="J263" i="5" a="1"/>
  <c r="J417" i="5" a="1"/>
  <c r="J175" i="5" a="1"/>
  <c r="J145" i="5" a="1"/>
  <c r="J143" i="5" a="1"/>
  <c r="J297" i="5" a="1"/>
  <c r="J546" i="5" a="1"/>
  <c r="J473" i="5" a="1"/>
  <c r="J219" i="5" a="1"/>
  <c r="J464" i="5" a="1"/>
  <c r="J310" i="5" a="1"/>
  <c r="J431" i="5" a="1"/>
  <c r="J315" i="5" a="1"/>
  <c r="J383" i="5" a="1"/>
  <c r="J381" i="5" a="1"/>
  <c r="J358" i="5" a="1"/>
  <c r="J408" i="5" a="1"/>
  <c r="J215" i="5" a="1"/>
  <c r="J392" i="5" a="1"/>
  <c r="J779" i="5" l="1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02" i="5" a="1"/>
  <c r="J85" i="5" a="1"/>
  <c r="J107" i="5" a="1"/>
  <c r="J80" i="5" a="1"/>
  <c r="J91" i="5" a="1"/>
  <c r="J87" i="5" a="1"/>
  <c r="J99" i="5" a="1"/>
  <c r="J89" i="5" a="1"/>
  <c r="J109" i="5" a="1"/>
  <c r="J84" i="5" a="1"/>
  <c r="J88" i="5" a="1"/>
  <c r="J110" i="5" a="1"/>
  <c r="J101" i="5" a="1"/>
  <c r="J90" i="5" a="1"/>
  <c r="J108" i="5" a="1"/>
  <c r="J86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0" i="5" a="1"/>
  <c r="J26" i="5" a="1"/>
  <c r="J31" i="5" a="1"/>
  <c r="J59" i="5" a="1"/>
  <c r="J72" i="5" a="1"/>
  <c r="J12" i="5" a="1"/>
  <c r="J33" i="5" a="1"/>
  <c r="J35" i="5" a="1"/>
  <c r="J70" i="5" a="1"/>
  <c r="J79" i="5" a="1"/>
  <c r="J77" i="5" a="1"/>
  <c r="J52" i="5" a="1"/>
  <c r="J63" i="5" a="1"/>
  <c r="J69" i="5" a="1"/>
  <c r="J19" i="5" a="1"/>
  <c r="J71" i="5" a="1"/>
  <c r="J61" i="5" a="1"/>
  <c r="J51" i="5" a="1"/>
  <c r="J78" i="5" a="1"/>
  <c r="J22" i="5" a="1"/>
  <c r="J60" i="5" a="1"/>
  <c r="J4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<sst xmlns="http://schemas.openxmlformats.org/spreadsheetml/2006/main" count="4394" uniqueCount="1150">
  <si>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</si>
  <si>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</si>
  <si>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</si>
  <si>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</si>
  <si>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</si>
  <si>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</si>
  <si>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</si>
  <si>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</si>
  <si>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</si>
  <si>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</si>
  <si>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</si>
  <si>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</si>
  <si>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</si>
  <si>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</si>
  <si>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</si>
  <si>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</si>
  <si>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</si>
  <si>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</si>
  <si>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</si>
  <si>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</si>
  <si>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</si>
  <si>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</si>
  <si>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</si>
  <si>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</si>
  <si>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</si>
  <si>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</si>
  <si>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</si>
  <si>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</si>
  <si>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</si>
  <si>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</si>
  <si>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</si>
  <si>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</si>
  <si>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</si>
  <si>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</si>
  <si>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</si>
  <si>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</si>
  <si>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</si>
  <si>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</si>
  <si>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</si>
  <si>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</si>
  <si>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</si>
  <si>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</si>
  <si>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</si>
  <si>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</si>
  <si>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</si>
  <si>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</si>
  <si>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</si>
  <si>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</si>
  <si>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</si>
  <si>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</si>
  <si>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</si>
  <si>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</si>
  <si>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</si>
  <si>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</si>
  <si>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</si>
  <si>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</si>
  <si>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</si>
  <si>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</si>
  <si>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</si>
  <si>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</si>
  <si>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</si>
  <si>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</si>
  <si>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</si>
  <si>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</si>
  <si>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</si>
  <si>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</si>
  <si>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</si>
  <si>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</si>
  <si>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</si>
  <si>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</si>
  <si>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</si>
  <si>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</si>
  <si>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</si>
  <si>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</si>
  <si>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</si>
  <si>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</si>
  <si>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</si>
  <si>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</si>
  <si>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</si>
  <si>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</si>
  <si>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</si>
  <si>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</si>
  <si>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</si>
  <si>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</si>
  <si>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</si>
  <si>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</si>
  <si>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</si>
  <si>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</si>
  <si>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</si>
  <si>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</si>
  <si>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</si>
  <si>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</si>
  <si>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</si>
  <si>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</si>
  <si>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</si>
  <si>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</si>
  <si>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</si>
  <si>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</si>
  <si>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</si>
  <si>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</si>
  <si>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</si>
  <si>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</si>
  <si>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</si>
  <si>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</si>
  <si>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</si>
  <si>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</si>
  <si>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</si>
  <si>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</si>
  <si>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</si>
  <si>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</si>
  <si>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</si>
  <si>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</si>
  <si>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</si>
  <si>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</si>
  <si>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</si>
  <si>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</si>
  <si>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</si>
  <si>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</si>
  <si>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</si>
  <si>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</si>
  <si>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</si>
  <si>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</si>
  <si>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</si>
  <si>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</si>
  <si>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</si>
  <si>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</si>
  <si>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</si>
  <si>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</si>
  <si>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</si>
  <si>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</si>
  <si>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</si>
  <si>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</si>
  <si>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</si>
  <si>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</si>
  <si>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</si>
  <si>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</si>
  <si>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</si>
  <si>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</si>
  <si>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</si>
  <si>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</si>
  <si>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</si>
  <si>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</si>
  <si>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</si>
  <si>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</si>
  <si>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</si>
  <si>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</si>
  <si>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</si>
  <si>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</si>
  <si>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</si>
  <si>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</si>
  <si>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</si>
  <si>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</si>
  <si>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</si>
  <si>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</si>
  <si>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</si>
  <si>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</si>
  <si>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</si>
  <si>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</si>
  <si>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</si>
  <si>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</si>
  <si>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</si>
  <si>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</si>
  <si>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</si>
  <si>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</si>
  <si>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</si>
  <si>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</si>
  <si>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</si>
  <si>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</si>
  <si>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</si>
  <si>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</si>
  <si>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</si>
  <si>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</si>
  <si>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</si>
  <si>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</si>
  <si>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</si>
  <si>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</si>
  <si>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</si>
  <si>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</si>
  <si>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</si>
  <si>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</si>
  <si>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</si>
  <si>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</si>
  <si>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</si>
  <si>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</si>
  <si>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</si>
  <si>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</si>
  <si>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</si>
  <si>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</si>
  <si>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</si>
  <si>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</si>
  <si>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</si>
  <si>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</si>
  <si>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</si>
  <si>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</si>
  <si>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</si>
  <si>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</si>
  <si>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</si>
  <si>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</si>
  <si>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</si>
  <si>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</si>
  <si>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</si>
  <si>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</si>
  <si>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</si>
  <si>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</si>
  <si>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</si>
  <si>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</si>
  <si>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</si>
  <si>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</si>
  <si>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</si>
  <si>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</si>
  <si>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</si>
  <si>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</si>
  <si>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</si>
  <si>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</si>
  <si>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</si>
  <si>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</si>
  <si>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</si>
  <si>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</si>
  <si>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</si>
  <si>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</si>
  <si>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</si>
  <si>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</si>
  <si>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</si>
  <si>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</si>
  <si>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</si>
  <si>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</si>
  <si>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</si>
  <si>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</si>
  <si>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</si>
  <si>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</si>
  <si>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</si>
  <si>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</si>
  <si>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</si>
  <si>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</si>
  <si>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</si>
  <si>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</si>
  <si>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</si>
  <si>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</si>
  <si>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</si>
  <si>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</si>
  <si>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</si>
  <si>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</si>
  <si>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</si>
  <si>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</si>
  <si>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</si>
  <si>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</si>
  <si>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</si>
  <si>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</si>
  <si>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</si>
  <si>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</si>
  <si>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</si>
  <si>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</si>
  <si>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</si>
  <si>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</si>
  <si>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</si>
  <si>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</si>
  <si>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</si>
  <si>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</si>
  <si>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</si>
  <si>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</si>
  <si>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</si>
  <si>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</si>
  <si>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</si>
  <si>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</si>
  <si>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</si>
  <si>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</si>
  <si>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</si>
  <si>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</si>
  <si>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</si>
  <si>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</si>
  <si>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</si>
  <si>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</si>
  <si>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</si>
  <si>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</si>
  <si>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</si>
  <si>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</si>
  <si>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</si>
  <si>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</si>
  <si>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</si>
  <si>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</si>
  <si>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</si>
  <si>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</si>
  <si>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</si>
  <si>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</si>
  <si>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</si>
  <si>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</si>
  <si>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</si>
  <si>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</si>
  <si>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</si>
  <si>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</si>
  <si>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</si>
  <si>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</si>
  <si>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</si>
  <si>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</si>
  <si>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</si>
  <si>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</si>
  <si>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</si>
  <si>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</si>
  <si>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</si>
  <si>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</si>
  <si>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</si>
  <si>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</si>
  <si>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</si>
  <si>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</si>
  <si>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</si>
  <si>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</si>
  <si>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</si>
  <si>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</si>
  <si>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</si>
  <si>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</si>
  <si>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</si>
  <si>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</si>
  <si>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</si>
  <si>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</si>
  <si>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</si>
  <si>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</si>
  <si>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</si>
  <si>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</si>
  <si>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</si>
  <si>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</si>
  <si>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</si>
  <si>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</si>
  <si>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</si>
  <si>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</si>
  <si>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</si>
  <si>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</si>
  <si>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</si>
  <si>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</si>
  <si>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</si>
  <si>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</si>
  <si>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</si>
  <si>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</si>
  <si>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</si>
  <si>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</si>
  <si>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</si>
  <si>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</si>
  <si>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</si>
  <si>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</si>
  <si>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</si>
  <si>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</si>
  <si>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</si>
  <si>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</si>
  <si>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</si>
  <si>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</si>
  <si>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</si>
  <si>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</si>
  <si>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</si>
  <si>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</si>
  <si>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</si>
  <si>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</si>
  <si>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</si>
  <si>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</si>
  <si>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</si>
  <si>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</si>
  <si>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</si>
  <si>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</si>
  <si>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</si>
  <si>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</si>
  <si>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</si>
  <si>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</si>
  <si>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</si>
  <si>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</si>
  <si>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</si>
  <si>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</si>
  <si>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</si>
  <si>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</si>
  <si>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</si>
  <si>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</si>
  <si>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</si>
  <si>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</si>
  <si>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</si>
  <si>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</si>
  <si>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</si>
  <si>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</si>
  <si>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</si>
  <si>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</si>
  <si>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</si>
  <si>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</si>
  <si>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</si>
  <si>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</si>
  <si>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</si>
  <si>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</si>
  <si>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</si>
  <si>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</si>
  <si>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</si>
  <si>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</si>
  <si>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</si>
  <si>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</si>
  <si>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</si>
  <si>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</si>
  <si>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</si>
  <si>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</si>
  <si>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</si>
  <si>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</si>
  <si>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</si>
  <si>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</si>
  <si>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</si>
  <si>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</si>
  <si>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</si>
  <si>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</si>
  <si>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</si>
  <si>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</si>
  <si>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</si>
  <si>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</si>
  <si>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</si>
  <si>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</si>
  <si>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</si>
  <si>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</si>
  <si>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</si>
  <si>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</si>
  <si>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</si>
  <si>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</si>
  <si>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</si>
  <si>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</si>
  <si>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</si>
  <si>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</si>
  <si>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</si>
  <si>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</si>
  <si>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</si>
  <si>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</si>
  <si>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</si>
  <si>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</si>
  <si>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</si>
  <si>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</si>
  <si>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</si>
  <si>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</si>
  <si>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</si>
  <si>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</si>
  <si>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</si>
  <si>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</si>
  <si>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</si>
  <si>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</si>
  <si>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</si>
  <si>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</si>
  <si>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</si>
  <si>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</si>
  <si>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</si>
  <si>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</si>
  <si>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</si>
  <si>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</si>
  <si>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</si>
  <si>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</si>
  <si>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</si>
  <si>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</si>
  <si>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</si>
  <si>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</si>
  <si>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</si>
  <si>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</si>
  <si>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</si>
  <si>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</si>
  <si>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</si>
  <si>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</si>
  <si>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</si>
  <si>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</si>
  <si>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</si>
  <si>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</si>
  <si>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</si>
  <si>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</si>
  <si>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</si>
  <si>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</si>
  <si>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</si>
  <si>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</si>
  <si>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</si>
  <si>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</si>
  <si>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</si>
  <si>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</si>
  <si>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</si>
  <si>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</si>
  <si>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</si>
  <si>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</si>
  <si>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</si>
  <si>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</si>
  <si>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</si>
  <si>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</si>
  <si>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</si>
  <si>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</si>
  <si>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</si>
  <si>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</si>
  <si>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</si>
  <si>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</si>
  <si>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</si>
  <si>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</si>
  <si>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</si>
  <si>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</si>
  <si>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</si>
  <si>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</si>
  <si>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</si>
  <si>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</si>
  <si>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</si>
  <si>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</si>
  <si>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</si>
  <si>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</si>
  <si>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</si>
  <si>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</si>
  <si>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</si>
  <si>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</si>
  <si>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</si>
  <si>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</si>
  <si>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</si>
  <si>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</si>
  <si>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</si>
  <si>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</si>
  <si>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</si>
  <si>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</si>
  <si>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</si>
  <si>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</si>
  <si>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</si>
  <si>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</si>
  <si>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</si>
  <si>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</si>
  <si>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</si>
  <si>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</si>
  <si>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</si>
  <si>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</si>
  <si>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</si>
  <si>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</si>
  <si>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</si>
  <si>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</si>
  <si>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</si>
  <si>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</si>
  <si>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</si>
  <si>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</si>
  <si>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</si>
  <si>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</si>
  <si>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</si>
  <si>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</si>
  <si>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</si>
  <si>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</si>
  <si>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</si>
  <si>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</si>
  <si>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</si>
  <si>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</si>
  <si>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</si>
  <si>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</si>
  <si>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</si>
  <si>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</si>
  <si>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</si>
  <si>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</si>
  <si>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</si>
  <si>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</si>
  <si>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</si>
  <si>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</si>
  <si>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</si>
  <si>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</si>
  <si>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</si>
  <si>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</si>
  <si>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</si>
  <si>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</si>
  <si>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</si>
  <si>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</si>
  <si>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</si>
  <si>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</si>
  <si>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</si>
  <si>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</si>
  <si>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</si>
  <si>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</si>
  <si>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</si>
  <si>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</si>
  <si>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</si>
  <si>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</si>
  <si>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</si>
  <si>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</si>
  <si>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</si>
  <si>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</si>
  <si>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</si>
  <si>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</si>
  <si>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</si>
  <si>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</si>
  <si>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</si>
  <si>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</si>
  <si>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</si>
  <si>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</si>
  <si>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</si>
  <si>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</si>
  <si>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</si>
  <si>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</si>
  <si>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</si>
  <si>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</si>
  <si>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</si>
  <si>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</si>
  <si>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</si>
  <si>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</si>
  <si>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</si>
  <si>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</si>
  <si>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</si>
  <si>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</si>
  <si>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</si>
  <si>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</si>
  <si>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</si>
  <si>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</si>
  <si>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</si>
  <si>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</si>
  <si>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</si>
  <si>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</si>
  <si>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</si>
  <si>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</si>
  <si>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</si>
  <si>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</si>
  <si>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</si>
  <si>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</si>
  <si>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</si>
  <si>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</si>
  <si>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</si>
  <si>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</si>
  <si>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</si>
  <si>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</si>
  <si>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</si>
  <si>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</si>
  <si>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</si>
  <si>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</si>
  <si>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</si>
  <si>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</si>
  <si>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</si>
  <si>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</si>
  <si>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</si>
  <si>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</si>
  <si>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</si>
  <si>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</si>
  <si>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</si>
  <si>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</si>
  <si>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</si>
  <si>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</si>
  <si>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</si>
  <si>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</si>
  <si>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</si>
  <si>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</si>
  <si>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</si>
  <si>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</si>
  <si>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</si>
  <si>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</si>
  <si>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</si>
  <si>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</si>
  <si>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</si>
  <si>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</si>
  <si>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</si>
  <si>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</si>
  <si>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</si>
  <si>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</si>
  <si>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</si>
  <si>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</si>
  <si>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</si>
  <si>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</si>
  <si>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</si>
  <si>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</si>
  <si>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</si>
  <si>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</si>
  <si>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</si>
  <si>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</si>
  <si>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</si>
  <si>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</si>
  <si>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</si>
  <si>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</si>
  <si>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</si>
  <si>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</si>
  <si>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</si>
  <si>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</si>
  <si>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</si>
  <si>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</si>
  <si>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</si>
  <si>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</si>
  <si>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</si>
  <si>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</si>
  <si>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</si>
  <si>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</si>
  <si>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</si>
  <si>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</si>
  <si>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</si>
  <si>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</si>
  <si>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</si>
  <si>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</si>
  <si>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</si>
  <si>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</si>
  <si>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</si>
  <si>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</si>
  <si>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</si>
  <si>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</si>
  <si>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</si>
  <si>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</si>
  <si>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</si>
  <si>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</si>
  <si>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</si>
  <si>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</si>
  <si>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</si>
  <si>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</si>
  <si>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</si>
  <si>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</si>
  <si>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</si>
  <si>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</si>
  <si>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</si>
  <si>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</si>
  <si>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</si>
  <si>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</si>
  <si>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</si>
  <si>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</si>
  <si>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</si>
  <si>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</si>
  <si>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</si>
  <si>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</si>
  <si>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</si>
  <si>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</si>
  <si>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</si>
  <si>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</si>
  <si>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</si>
  <si>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</si>
  <si>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</si>
  <si>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</si>
  <si>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</si>
  <si>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</si>
  <si>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</si>
  <si>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</si>
  <si>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</si>
  <si>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</si>
  <si>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</si>
  <si>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</si>
  <si>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</si>
  <si>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</si>
  <si>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</si>
  <si>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</si>
  <si>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</si>
  <si>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</si>
  <si>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</si>
  <si>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</si>
  <si>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</si>
  <si>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</si>
  <si>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</si>
  <si>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</si>
  <si>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</si>
  <si>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</si>
  <si>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</si>
  <si>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</si>
  <si>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</si>
  <si>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</si>
  <si>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</si>
  <si>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</si>
  <si>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</si>
  <si>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</si>
  <si>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</si>
  <si>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</si>
  <si>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</si>
  <si>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</si>
  <si>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</si>
  <si>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</si>
  <si>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</si>
  <si>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</si>
  <si>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</si>
  <si>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</si>
  <si>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</si>
  <si>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</si>
  <si>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</si>
  <si>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</si>
  <si>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</si>
  <si>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</si>
  <si>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</si>
  <si>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</si>
  <si>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</si>
  <si>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</si>
  <si>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</si>
  <si>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</si>
  <si>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</si>
  <si>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</si>
  <si>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</si>
  <si>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</si>
  <si>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</si>
  <si>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</si>
  <si>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</si>
  <si>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</si>
  <si>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</si>
  <si>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</si>
  <si>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</si>
  <si>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</si>
  <si>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</si>
  <si>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</si>
  <si>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</si>
  <si>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</si>
  <si>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</si>
  <si>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</si>
  <si>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</si>
  <si>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</si>
  <si>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</si>
  <si>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</si>
  <si>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</si>
  <si>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</si>
  <si>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</si>
  <si>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</si>
  <si>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</si>
  <si>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</si>
  <si>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</si>
  <si>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</si>
  <si>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</si>
  <si>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</si>
  <si>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</si>
  <si>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</si>
  <si>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</si>
  <si>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</si>
  <si>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</si>
  <si>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</si>
  <si>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</si>
  <si>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</si>
  <si>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</si>
  <si>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</si>
  <si>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</si>
  <si>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</si>
  <si>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</si>
  <si>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</si>
  <si>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</si>
  <si>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</si>
  <si>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</si>
  <si>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</si>
  <si>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</si>
  <si>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</si>
  <si>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</si>
  <si>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</si>
  <si>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</si>
  <si>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</si>
  <si>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</si>
  <si>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</si>
  <si>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</si>
  <si>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</si>
  <si>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</si>
  <si>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</si>
  <si>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</si>
  <si>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</si>
  <si>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</si>
  <si>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</si>
  <si>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</si>
  <si>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</si>
  <si>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</si>
  <si>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</si>
  <si>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</si>
  <si>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</si>
  <si>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</si>
  <si>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</si>
  <si>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</si>
  <si>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</si>
  <si>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</si>
  <si>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</si>
  <si>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</si>
  <si>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</si>
  <si>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</si>
  <si>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</si>
  <si>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</si>
  <si>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</si>
  <si>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</si>
  <si>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</si>
  <si>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</si>
  <si>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</si>
  <si>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</si>
  <si>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</si>
  <si>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</si>
  <si>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</si>
  <si>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</si>
  <si>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</si>
  <si>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</si>
  <si>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</si>
  <si>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</si>
  <si>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</si>
  <si>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</si>
  <si>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</si>
  <si>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</si>
  <si>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</si>
  <si>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</si>
  <si>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</si>
  <si>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</si>
  <si>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</si>
  <si>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</si>
  <si>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</si>
  <si>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</si>
  <si>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</si>
  <si>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</si>
  <si>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</si>
  <si>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</si>
  <si>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</si>
  <si>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</si>
  <si>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</si>
  <si>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</si>
  <si>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</si>
  <si>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</si>
  <si>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</si>
  <si>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</si>
  <si>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</si>
  <si>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</si>
  <si>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</si>
  <si>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</si>
  <si>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</si>
  <si>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</si>
  <si>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</si>
  <si>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</si>
  <si>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</si>
  <si>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</si>
  <si>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</si>
  <si>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</si>
  <si>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</si>
  <si>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</si>
  <si>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</si>
  <si>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</si>
  <si>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</si>
  <si>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</si>
  <si>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</si>
  <si>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</si>
  <si>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</si>
  <si>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</si>
  <si>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</si>
  <si>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</si>
  <si>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</si>
  <si>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</si>
  <si>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</si>
  <si>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</si>
  <si>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</si>
  <si>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</si>
  <si>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</si>
  <si>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</si>
  <si>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</si>
  <si>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</si>
  <si>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</si>
  <si>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</si>
  <si>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</si>
  <si>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</si>
  <si>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</si>
  <si>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</si>
  <si>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</si>
  <si>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</si>
  <si>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</si>
  <si>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</si>
  <si>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</si>
  <si>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</si>
  <si>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</si>
  <si>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</si>
  <si>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</si>
  <si>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</si>
  <si>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</si>
  <si>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</si>
  <si>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</si>
  <si>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</si>
  <si>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</si>
  <si>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</si>
  <si>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</si>
  <si>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</si>
  <si>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</si>
  <si>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</si>
  <si>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</si>
  <si>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</si>
  <si>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</si>
  <si>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</si>
  <si>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</si>
  <si>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</si>
  <si>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</si>
  <si>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</si>
  <si>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</si>
  <si>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</si>
  <si>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</si>
  <si>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</si>
  <si>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</si>
  <si>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</si>
  <si>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</si>
  <si>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</si>
  <si>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</si>
  <si>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</si>
  <si>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</si>
  <si>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</si>
  <si>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</si>
  <si>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</si>
  <si>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</si>
  <si>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</si>
  <si>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</si>
  <si>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</si>
  <si>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</si>
  <si>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</si>
  <si>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</si>
  <si>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</si>
  <si>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</si>
  <si>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</si>
  <si>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</si>
  <si>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</si>
  <si>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</si>
  <si>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</si>
  <si>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</si>
  <si>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</si>
  <si>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</si>
  <si>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</si>
  <si>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</si>
  <si>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</si>
  <si>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</si>
  <si>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</si>
  <si>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</si>
  <si>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</si>
  <si>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</si>
  <si>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</si>
  <si>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</si>
  <si>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</si>
  <si>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</si>
  <si>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</si>
  <si>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</si>
  <si>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</si>
  <si>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</si>
  <si>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</si>
  <si>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</si>
  <si>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</si>
  <si>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</si>
  <si>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</si>
  <si>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</si>
  <si>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</si>
  <si>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</si>
  <si>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</si>
  <si>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</si>
  <si>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</si>
  <si>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</si>
  <si>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</si>
  <si>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</si>
  <si>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</si>
  <si>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</si>
  <si>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</si>
  <si>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</si>
  <si>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</si>
  <si>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</si>
  <si>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</si>
  <si>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</si>
  <si>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</si>
  <si>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</si>
  <si>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</si>
  <si>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</si>
  <si>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</si>
  <si>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</si>
  <si>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</si>
  <si>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</si>
  <si>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</si>
  <si>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</si>
  <si>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</si>
  <si>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</si>
  <si>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</si>
  <si>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</si>
  <si>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</si>
  <si>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</si>
  <si>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</si>
  <si>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</si>
  <si>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</si>
  <si>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</si>
  <si>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</si>
  <si>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</si>
  <si>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</si>
  <si>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</si>
  <si>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</si>
  <si>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</si>
  <si>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</si>
  <si>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</si>
  <si>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</si>
  <si>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</si>
  <si>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</si>
  <si>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</si>
  <si>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</si>
  <si>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</si>
  <si>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</si>
  <si>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</si>
  <si>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</si>
  <si>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</si>
  <si>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</si>
  <si>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</si>
  <si>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</si>
  <si>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</si>
  <si>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</si>
  <si>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</si>
  <si>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</si>
  <si>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</si>
  <si>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</si>
  <si>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</si>
  <si>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</si>
  <si>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</si>
  <si>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</si>
  <si>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</si>
  <si>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</si>
  <si>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</si>
  <si>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</si>
  <si>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</si>
  <si>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</si>
  <si>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</si>
  <si>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</si>
  <si>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</si>
  <si>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</si>
  <si>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</si>
  <si>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</si>
  <si>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</si>
  <si>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</si>
  <si>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</si>
  <si>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</si>
  <si>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</si>
  <si>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</si>
  <si>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</si>
  <si>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</si>
  <si>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</si>
  <si>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</si>
  <si>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</si>
  <si>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</si>
  <si>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</si>
  <si>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</si>
  <si>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</si>
  <si>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</si>
  <si>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</si>
  <si>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</si>
  <si>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</si>
  <si>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</si>
  <si>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</si>
  <si>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</si>
  <si>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</si>
  <si>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</si>
  <si>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</si>
  <si>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</si>
  <si>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</si>
  <si>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</si>
  <si>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</si>
  <si>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</si>
  <si>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</si>
  <si>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</si>
  <si>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</si>
  <si>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</si>
  <si>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</si>
  <si>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</si>
  <si>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</si>
  <si>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</si>
  <si>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</si>
  <si>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</si>
  <si>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</si>
  <si>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</si>
  <si>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</si>
  <si>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</si>
  <si>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</si>
  <si>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</si>
  <si>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</si>
  <si>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</si>
  <si>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</si>
  <si>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</si>
  <si>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</si>
  <si>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</si>
  <si>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</si>
  <si>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</si>
  <si>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</si>
  <si>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</si>
  <si>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</si>
  <si>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</si>
  <si>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</si>
  <si>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0107</t>
  </si>
  <si>
    <t>010A</t>
  </si>
  <si>
    <t>Execution Complete</t>
  </si>
  <si>
    <t>010C</t>
  </si>
  <si>
    <t>0200</t>
  </si>
  <si>
    <t xml:space="preserve">Version 0004_x000D_
</t>
  </si>
  <si>
    <t>0105</t>
  </si>
  <si>
    <t>0108</t>
  </si>
  <si>
    <t>MemAddr</t>
  </si>
  <si>
    <t>MemBefore</t>
  </si>
  <si>
    <t>MemAfter</t>
  </si>
  <si>
    <t>MemNote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</si>
</sst>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75" t="s">
        <v>1140</v>
      </c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7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39</v>
      </c>
      <c r="AD4" s="112">
        <f t="shared" ref="AD4:AK4" si="0">AC4-AD5*AD6</f>
        <v>39</v>
      </c>
      <c r="AE4" s="104">
        <f t="shared" si="0"/>
        <v>39</v>
      </c>
      <c r="AF4" s="104">
        <f t="shared" si="0"/>
        <v>7</v>
      </c>
      <c r="AG4" s="104">
        <f t="shared" si="0"/>
        <v>7</v>
      </c>
      <c r="AH4" s="104">
        <f t="shared" si="0"/>
        <v>7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>
        <v>27</v>
      </c>
      <c r="AD5" s="103">
        <f>IF(AC4&gt;=AD6,1,0)</f>
        <v>0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1</v>
      </c>
      <c r="AJ5" s="103">
        <f t="shared" si="1"/>
        <v>1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371</v>
      </c>
      <c r="D6" s="34" t="str">
        <f>IF(AND(E6&gt;=32,E6&lt;=126),CHAR(E6),".")</f>
        <v>.</v>
      </c>
      <c r="E6" s="35">
        <f>HEX2DEC(C6)</f>
        <v>3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39</v>
      </c>
      <c r="AD7" s="103">
        <f t="shared" ref="AD7" si="5">AD6*AD5</f>
        <v>0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1026</v>
      </c>
      <c r="Q8" s="156" t="s">
        <v>1044</v>
      </c>
      <c r="R8" s="98"/>
      <c r="S8" s="153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>E</v>
      </c>
      <c r="M9" s="38" t="str">
        <f t="shared" si="12"/>
        <v>0100</v>
      </c>
      <c r="N9" s="69">
        <f>N8+S8</f>
        <v>256</v>
      </c>
      <c r="O9" s="95" t="s">
        <v>1042</v>
      </c>
      <c r="P9" s="96" t="s">
        <v>165</v>
      </c>
      <c r="Q9" s="156" t="s">
        <v>1045</v>
      </c>
      <c r="R9" s="98"/>
      <c r="S9" s="154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5" t="str">
        <f>DEC2HEX(AC10)</f>
        <v>D8</v>
      </c>
      <c r="AD9" s="121">
        <f>1-AD5</f>
        <v>1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0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5"/>
      <c r="P10" s="96" t="s">
        <v>296</v>
      </c>
      <c r="Q10" s="156" t="s">
        <v>310</v>
      </c>
      <c r="R10" s="98" t="s">
        <v>1038</v>
      </c>
      <c r="S10" s="154">
        <f>IF(P10="",0,IF(OR(O10=";",P10="EQU",P10="ORG"),0,IF(P10="DS",HEX2DEC(Q10),IF(P10="DB",LEN(Q10)+1,VLOOKUP(TRIM(P10),'8080 Op to Hex'!$A:$F,6,0)))))</f>
        <v>3</v>
      </c>
      <c r="V10" s="48"/>
      <c r="W10" s="16"/>
      <c r="X10" s="34"/>
      <c r="Y10" s="35"/>
      <c r="AB10" s="8" t="s">
        <v>405</v>
      </c>
      <c r="AC10" s="126">
        <f>SUM(AD10:AK10)</f>
        <v>216</v>
      </c>
      <c r="AD10" s="123">
        <f t="shared" ref="AD10" si="16">AD9*AD6</f>
        <v>128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0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5"/>
      <c r="P11" s="96" t="s">
        <v>148</v>
      </c>
      <c r="Q11" s="156" t="s">
        <v>153</v>
      </c>
      <c r="R11" s="98" t="s">
        <v>222</v>
      </c>
      <c r="S11" s="154">
        <f>IF(P11="",0,IF(OR(O11=";",P11="EQU",P11="ORG"),0,IF(P11="DS",HEX2DEC(Q11),IF(P11="DB",LEN(Q11)+1,VLOOKUP(TRIM(P11),'8080 Op to Hex'!$A:$F,6,0)))))</f>
        <v>2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521</v>
      </c>
      <c r="D12" s="34" t="str">
        <f t="shared" si="3"/>
        <v>.</v>
      </c>
      <c r="E12" s="35">
        <f t="shared" si="4"/>
        <v>13</v>
      </c>
      <c r="K12" s="85"/>
      <c r="L12" s="54" t="str">
        <f t="shared" si="13"/>
        <v/>
      </c>
      <c r="M12" s="38" t="str">
        <f t="shared" si="12"/>
        <v>0105</v>
      </c>
      <c r="N12" s="69">
        <f t="shared" si="15"/>
        <v>261</v>
      </c>
      <c r="O12" s="95"/>
      <c r="P12" s="96" t="s">
        <v>879</v>
      </c>
      <c r="Q12" s="156" t="s">
        <v>1039</v>
      </c>
      <c r="R12" s="98"/>
      <c r="S12" s="154">
        <f>IF(P12="",0,IF(OR(O12=";",P12="EQU",P12="ORG"),0,IF(P12="DS",HEX2DEC(Q12),IF(P12="DB",LEN(Q12)+1,VLOOKUP(TRIM(P12),'8080 Op to Hex'!$A:$F,6,0)))))</f>
        <v>2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1141</v>
      </c>
      <c r="D13" s="34" t="str">
        <f t="shared" si="3"/>
        <v>.</v>
      </c>
      <c r="E13" s="35">
        <f t="shared" si="4"/>
        <v>268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0107</v>
      </c>
      <c r="N13" s="69">
        <f t="shared" si="15"/>
        <v>263</v>
      </c>
      <c r="O13" s="95"/>
      <c r="P13" s="96" t="s">
        <v>983</v>
      </c>
      <c r="Q13" s="156"/>
      <c r="R13" s="98"/>
      <c r="S13" s="154">
        <f>IF(P13="",0,IF(OR(O13=";",P13="EQU",P13="ORG"),0,IF(P13="DS",HEX2DEC(Q13),IF(P13="DB",LEN(Q13)+1,VLOOKUP(TRIM(P13),'8080 Op to Hex'!$A:$F,6,0)))))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1142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0108</v>
      </c>
      <c r="N14" s="69">
        <f t="shared" si="15"/>
        <v>264</v>
      </c>
      <c r="O14" s="95"/>
      <c r="P14" s="96" t="s">
        <v>148</v>
      </c>
      <c r="Q14" s="156" t="s">
        <v>153</v>
      </c>
      <c r="R14" s="98" t="s">
        <v>371</v>
      </c>
      <c r="S14" s="154">
        <f>IF(P14="",0,IF(OR(O14=";",P14="EQU",P14="ORG"),0,IF(P14="DS",HEX2DEC(Q14),IF(P14="DB",LEN(Q14)+1,VLOOKUP(TRIM(P14),'8080 Op to Hex'!$A:$F,6,0)))))</f>
        <v>2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010A</v>
      </c>
      <c r="N15" s="69">
        <f t="shared" si="15"/>
        <v>266</v>
      </c>
      <c r="O15" s="95"/>
      <c r="P15" s="96" t="s">
        <v>971</v>
      </c>
      <c r="Q15" s="156" t="s">
        <v>1042</v>
      </c>
      <c r="R15" s="98"/>
      <c r="S15" s="154">
        <f>IF(P15="",0,IF(OR(O15=";",P15="EQU",P15="ORG"),0,IF(P15="DS",HEX2DEC(Q15),IF(P15="DB",LEN(Q15)+1,VLOOKUP(TRIM(P15),'8080 Op to Hex'!$A:$F,6,0)))))</f>
        <v>2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!..&gt;....</v>
      </c>
      <c r="AC15" s="140" t="s">
        <v>901</v>
      </c>
      <c r="AD15" s="141" t="s">
        <v>521</v>
      </c>
      <c r="AE15" s="141" t="s">
        <v>302</v>
      </c>
      <c r="AF15" s="141" t="s">
        <v>578</v>
      </c>
      <c r="AG15" s="141" t="s">
        <v>222</v>
      </c>
      <c r="AH15" s="141" t="s">
        <v>801</v>
      </c>
      <c r="AI15" s="141" t="s">
        <v>1039</v>
      </c>
      <c r="AJ15" s="142" t="s">
        <v>893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191</v>
      </c>
      <c r="Q16" s="156"/>
      <c r="R16" s="98"/>
      <c r="S16" s="154">
        <f>IF(P16="",0,IF(OR(O16=";",P16="EQU",P16="ORG"),0,IF(P16="DS",HEX2DEC(Q16),IF(P16="DB",LEN(Q16)+1,VLOOKUP(TRIM(P16),'8080 Op to Hex'!$A:$F,6,0)))))</f>
        <v>1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&gt;.0.8Ver</v>
      </c>
      <c r="AC16" s="143" t="s">
        <v>578</v>
      </c>
      <c r="AD16" s="144" t="s">
        <v>371</v>
      </c>
      <c r="AE16" s="144" t="s">
        <v>909</v>
      </c>
      <c r="AF16" s="144" t="s">
        <v>889</v>
      </c>
      <c r="AG16" s="144" t="s">
        <v>915</v>
      </c>
      <c r="AH16" s="144" t="s">
        <v>931</v>
      </c>
      <c r="AI16" s="144" t="s">
        <v>940</v>
      </c>
      <c r="AJ16" s="145" t="s">
        <v>947</v>
      </c>
    </row>
    <row r="17" spans="1:36" ht="15.75" thickBot="1"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sion.</v>
      </c>
      <c r="AC17" s="143" t="s">
        <v>948</v>
      </c>
      <c r="AD17" s="144" t="s">
        <v>944</v>
      </c>
      <c r="AE17" s="144" t="s">
        <v>645</v>
      </c>
      <c r="AF17" s="144" t="s">
        <v>643</v>
      </c>
      <c r="AG17" s="144" t="s">
        <v>222</v>
      </c>
      <c r="AH17" s="144"/>
      <c r="AI17" s="144"/>
      <c r="AJ17" s="145"/>
    </row>
    <row r="18" spans="1:36" ht="15.75" thickBot="1">
      <c r="A18" s="65" t="s">
        <v>245</v>
      </c>
      <c r="B18" s="65" t="s">
        <v>3</v>
      </c>
      <c r="G18" s="107" t="s">
        <v>417</v>
      </c>
      <c r="H18" s="59">
        <v>0</v>
      </c>
      <c r="K18" s="85"/>
      <c r="L18" s="54" t="str">
        <f t="shared" si="13"/>
        <v>D</v>
      </c>
      <c r="M18" s="38" t="str">
        <f t="shared" si="12"/>
        <v>010D</v>
      </c>
      <c r="N18" s="69">
        <f t="shared" si="15"/>
        <v>269</v>
      </c>
      <c r="O18" s="95" t="s">
        <v>1038</v>
      </c>
      <c r="P18" s="96" t="s">
        <v>299</v>
      </c>
      <c r="Q18" s="156" t="s">
        <v>1043</v>
      </c>
      <c r="R18" s="98"/>
      <c r="S18" s="154">
        <f>IF(P18="",0,IF(OR(O18=";",P18="EQU",P18="ORG"),0,IF(P18="DS",HEX2DEC(Q18),IF(P18="DB",LEN(Q18)+1,VLOOKUP(TRIM(P18),'8080 Op to Hex'!$A:$F,6,0)))))</f>
        <v>8</v>
      </c>
      <c r="V18" s="48"/>
      <c r="W18" s="16"/>
      <c r="X18" s="34"/>
      <c r="Y18" s="35"/>
      <c r="AA18" s="74"/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3"/>
      <c r="AD18" s="144"/>
      <c r="AE18" s="144"/>
      <c r="AF18" s="144"/>
      <c r="AG18" s="144"/>
      <c r="AH18" s="144"/>
      <c r="AI18" s="144"/>
      <c r="AJ18" s="145"/>
    </row>
    <row r="19" spans="1:36" ht="15.75" thickBot="1">
      <c r="A19" s="6" t="s">
        <v>246</v>
      </c>
      <c r="B19" s="6" t="s">
        <v>303</v>
      </c>
      <c r="G19" s="107" t="s">
        <v>1133</v>
      </c>
      <c r="H19" s="59">
        <v>1</v>
      </c>
      <c r="K19" s="85"/>
      <c r="L19" s="54" t="str">
        <f t="shared" si="13"/>
        <v/>
      </c>
      <c r="M19" s="38" t="str">
        <f t="shared" si="12"/>
        <v>0115</v>
      </c>
      <c r="N19" s="69">
        <f t="shared" si="15"/>
        <v>277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3"/>
      <c r="AD19" s="144"/>
      <c r="AE19" s="144"/>
      <c r="AF19" s="144"/>
      <c r="AG19" s="144"/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1134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0115</v>
      </c>
      <c r="N20" s="69">
        <f t="shared" si="15"/>
        <v>277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0115</v>
      </c>
      <c r="N21" s="69">
        <f t="shared" si="15"/>
        <v>277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0115</v>
      </c>
      <c r="N22" s="69">
        <f t="shared" si="15"/>
        <v>277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0115</v>
      </c>
      <c r="N23" s="69">
        <f t="shared" si="15"/>
        <v>277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0115</v>
      </c>
      <c r="N24" s="69">
        <f t="shared" si="15"/>
        <v>277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0115</v>
      </c>
      <c r="N25" s="69">
        <f t="shared" si="15"/>
        <v>277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0115</v>
      </c>
      <c r="N26" s="69">
        <f t="shared" si="15"/>
        <v>277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0115</v>
      </c>
      <c r="N27" s="69">
        <f t="shared" si="15"/>
        <v>277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0115</v>
      </c>
      <c r="N28" s="69">
        <f t="shared" si="15"/>
        <v>277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0115</v>
      </c>
      <c r="N30" s="69">
        <f t="shared" si="15"/>
        <v>277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0115</v>
      </c>
      <c r="N31" s="69">
        <f t="shared" si="15"/>
        <v>277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0115</v>
      </c>
      <c r="N32" s="69">
        <f t="shared" si="15"/>
        <v>277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0115</v>
      </c>
      <c r="N33" s="69">
        <f t="shared" si="15"/>
        <v>277</v>
      </c>
      <c r="O33" s="95"/>
      <c r="P33" s="96"/>
      <c r="Q33" s="156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0115</v>
      </c>
      <c r="N34" s="69">
        <f t="shared" si="15"/>
        <v>277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0115</v>
      </c>
      <c r="N35" s="69">
        <f t="shared" si="15"/>
        <v>277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0115</v>
      </c>
      <c r="N36" s="69">
        <f t="shared" si="15"/>
        <v>277</v>
      </c>
      <c r="O36" s="95"/>
      <c r="P36" s="96"/>
      <c r="Q36" s="156"/>
      <c r="R36" s="98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0115</v>
      </c>
      <c r="N37" s="69">
        <f t="shared" si="15"/>
        <v>277</v>
      </c>
      <c r="O37" s="95"/>
      <c r="P37" s="96"/>
      <c r="Q37" s="156"/>
      <c r="R37" s="98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0115</v>
      </c>
      <c r="N38" s="69">
        <f t="shared" si="15"/>
        <v>277</v>
      </c>
      <c r="O38" s="95"/>
      <c r="P38" s="96"/>
      <c r="Q38" s="156"/>
      <c r="R38" s="98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0115</v>
      </c>
      <c r="N39" s="69">
        <f t="shared" si="15"/>
        <v>277</v>
      </c>
      <c r="O39" s="95"/>
      <c r="P39" s="96"/>
      <c r="Q39" s="156"/>
      <c r="R39" s="98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0115</v>
      </c>
      <c r="N40" s="69">
        <f t="shared" si="15"/>
        <v>277</v>
      </c>
      <c r="O40" s="95"/>
      <c r="P40" s="96"/>
      <c r="Q40" s="156"/>
      <c r="R40" s="98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0115</v>
      </c>
      <c r="N41" s="69">
        <f t="shared" si="15"/>
        <v>277</v>
      </c>
      <c r="O41" s="95"/>
      <c r="P41" s="96"/>
      <c r="Q41" s="156"/>
      <c r="R41" s="98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0115</v>
      </c>
      <c r="N42" s="69">
        <f t="shared" si="15"/>
        <v>277</v>
      </c>
      <c r="O42" s="95"/>
      <c r="P42" s="96"/>
      <c r="Q42" s="156"/>
      <c r="R42" s="98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0115</v>
      </c>
      <c r="N43" s="69">
        <f t="shared" si="15"/>
        <v>277</v>
      </c>
      <c r="O43" s="95"/>
      <c r="P43" s="96"/>
      <c r="Q43" s="156"/>
      <c r="R43" s="98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0115</v>
      </c>
      <c r="N44" s="69">
        <f t="shared" si="15"/>
        <v>277</v>
      </c>
      <c r="O44" s="95"/>
      <c r="P44" s="96"/>
      <c r="Q44" s="156"/>
      <c r="R44" s="98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0115</v>
      </c>
      <c r="N45" s="69">
        <f t="shared" si="15"/>
        <v>277</v>
      </c>
      <c r="O45" s="95"/>
      <c r="P45" s="96"/>
      <c r="Q45" s="156"/>
      <c r="R45" s="98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0115</v>
      </c>
      <c r="N46" s="69">
        <f t="shared" si="15"/>
        <v>277</v>
      </c>
      <c r="O46" s="95"/>
      <c r="P46" s="96"/>
      <c r="Q46" s="156"/>
      <c r="R46" s="98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0115</v>
      </c>
      <c r="N47" s="69">
        <f t="shared" si="15"/>
        <v>277</v>
      </c>
      <c r="O47" s="95"/>
      <c r="P47" s="96"/>
      <c r="Q47" s="156"/>
      <c r="R47" s="98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0115</v>
      </c>
      <c r="N48" s="69">
        <f t="shared" si="15"/>
        <v>277</v>
      </c>
      <c r="O48" s="95"/>
      <c r="P48" s="96"/>
      <c r="Q48" s="156"/>
      <c r="R48" s="98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0115</v>
      </c>
      <c r="N49" s="69">
        <f t="shared" si="15"/>
        <v>277</v>
      </c>
      <c r="O49" s="95"/>
      <c r="P49" s="96"/>
      <c r="Q49" s="156"/>
      <c r="R49" s="98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0115</v>
      </c>
      <c r="N50" s="69">
        <f t="shared" si="15"/>
        <v>277</v>
      </c>
      <c r="O50" s="95"/>
      <c r="P50" s="96"/>
      <c r="Q50" s="156"/>
      <c r="R50" s="98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0115</v>
      </c>
      <c r="N51" s="69">
        <f t="shared" si="15"/>
        <v>277</v>
      </c>
      <c r="O51" s="95"/>
      <c r="P51" s="96"/>
      <c r="Q51" s="156"/>
      <c r="R51" s="98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0115</v>
      </c>
      <c r="N52" s="69">
        <f t="shared" si="15"/>
        <v>277</v>
      </c>
      <c r="O52" s="95"/>
      <c r="P52" s="96"/>
      <c r="Q52" s="156"/>
      <c r="R52" s="98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0115</v>
      </c>
      <c r="N53" s="69">
        <f t="shared" si="15"/>
        <v>277</v>
      </c>
      <c r="O53" s="95"/>
      <c r="P53" s="96"/>
      <c r="Q53" s="156"/>
      <c r="R53" s="98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0115</v>
      </c>
      <c r="N54" s="69">
        <f t="shared" si="15"/>
        <v>277</v>
      </c>
      <c r="O54" s="95"/>
      <c r="P54" s="96"/>
      <c r="Q54" s="156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0115</v>
      </c>
      <c r="N55" s="69">
        <f t="shared" si="15"/>
        <v>277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0115</v>
      </c>
      <c r="N56" s="69">
        <f t="shared" si="15"/>
        <v>277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0115</v>
      </c>
      <c r="N57" s="69">
        <f t="shared" si="15"/>
        <v>277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0115</v>
      </c>
      <c r="N58" s="69">
        <f t="shared" si="15"/>
        <v>277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0115</v>
      </c>
      <c r="N59" s="69">
        <f t="shared" si="15"/>
        <v>277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0115</v>
      </c>
      <c r="N60" s="69">
        <f t="shared" si="15"/>
        <v>277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0115</v>
      </c>
      <c r="N61" s="69">
        <f t="shared" si="15"/>
        <v>277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0115</v>
      </c>
      <c r="N62" s="69">
        <f t="shared" si="15"/>
        <v>277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0115</v>
      </c>
      <c r="N63" s="69">
        <f t="shared" si="15"/>
        <v>277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0115</v>
      </c>
      <c r="N64" s="69">
        <f t="shared" si="15"/>
        <v>277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0115</v>
      </c>
      <c r="N65" s="69">
        <f t="shared" si="15"/>
        <v>277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0115</v>
      </c>
      <c r="N66" s="69">
        <f t="shared" si="15"/>
        <v>277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0115</v>
      </c>
      <c r="N67" s="69">
        <f t="shared" si="15"/>
        <v>277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0115</v>
      </c>
      <c r="N68" s="69">
        <f t="shared" si="15"/>
        <v>277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0115</v>
      </c>
      <c r="N69" s="69">
        <f t="shared" si="15"/>
        <v>277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0115</v>
      </c>
      <c r="N70" s="69">
        <f t="shared" si="15"/>
        <v>277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0115</v>
      </c>
      <c r="N71" s="69">
        <f t="shared" si="15"/>
        <v>277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0115</v>
      </c>
      <c r="N72" s="69">
        <f t="shared" si="15"/>
        <v>277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0115</v>
      </c>
      <c r="N73" s="69">
        <f t="shared" si="15"/>
        <v>277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0115</v>
      </c>
      <c r="N74" s="69">
        <f t="shared" ref="N74:N137" si="29">N73+S73</f>
        <v>277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0115</v>
      </c>
      <c r="N75" s="69">
        <f t="shared" si="29"/>
        <v>277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0115</v>
      </c>
      <c r="N76" s="69">
        <f t="shared" si="29"/>
        <v>277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0115</v>
      </c>
      <c r="N77" s="69">
        <f t="shared" si="29"/>
        <v>277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0115</v>
      </c>
      <c r="N78" s="69">
        <f t="shared" si="29"/>
        <v>277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0115</v>
      </c>
      <c r="N79" s="69">
        <f t="shared" si="29"/>
        <v>277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0115</v>
      </c>
      <c r="N80" s="69">
        <f t="shared" si="29"/>
        <v>277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0115</v>
      </c>
      <c r="N81" s="69">
        <f t="shared" si="29"/>
        <v>277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0115</v>
      </c>
      <c r="N82" s="69">
        <f t="shared" si="29"/>
        <v>277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0115</v>
      </c>
      <c r="N83" s="69">
        <f t="shared" si="29"/>
        <v>277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0115</v>
      </c>
      <c r="N84" s="69">
        <f t="shared" si="29"/>
        <v>277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0115</v>
      </c>
      <c r="N85" s="69">
        <f t="shared" si="29"/>
        <v>277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0115</v>
      </c>
      <c r="N86" s="69">
        <f t="shared" si="29"/>
        <v>277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0115</v>
      </c>
      <c r="N87" s="69">
        <f t="shared" si="29"/>
        <v>277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0115</v>
      </c>
      <c r="N88" s="69">
        <f t="shared" si="29"/>
        <v>277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0115</v>
      </c>
      <c r="N89" s="69">
        <f t="shared" si="29"/>
        <v>277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0115</v>
      </c>
      <c r="N90" s="69">
        <f t="shared" si="29"/>
        <v>277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0115</v>
      </c>
      <c r="N91" s="69">
        <f t="shared" si="29"/>
        <v>277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0115</v>
      </c>
      <c r="N92" s="69">
        <f t="shared" si="29"/>
        <v>277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0115</v>
      </c>
      <c r="N93" s="69">
        <f t="shared" si="29"/>
        <v>277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0115</v>
      </c>
      <c r="N94" s="69">
        <f t="shared" si="29"/>
        <v>277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0115</v>
      </c>
      <c r="N95" s="69">
        <f t="shared" si="29"/>
        <v>277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0115</v>
      </c>
      <c r="N96" s="69">
        <f t="shared" si="29"/>
        <v>277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0115</v>
      </c>
      <c r="N97" s="69">
        <f t="shared" si="29"/>
        <v>277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0115</v>
      </c>
      <c r="N98" s="69">
        <f t="shared" si="29"/>
        <v>277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0115</v>
      </c>
      <c r="N99" s="69">
        <f t="shared" si="29"/>
        <v>277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0115</v>
      </c>
      <c r="N100" s="69">
        <f t="shared" si="29"/>
        <v>277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0115</v>
      </c>
      <c r="N101" s="69">
        <f t="shared" si="29"/>
        <v>277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0115</v>
      </c>
      <c r="N102" s="69">
        <f t="shared" si="29"/>
        <v>277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0115</v>
      </c>
      <c r="N103" s="69">
        <f t="shared" si="29"/>
        <v>277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0115</v>
      </c>
      <c r="N104" s="69">
        <f t="shared" si="29"/>
        <v>277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0115</v>
      </c>
      <c r="N105" s="69">
        <f t="shared" si="29"/>
        <v>277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0115</v>
      </c>
      <c r="N106" s="69">
        <f t="shared" si="29"/>
        <v>277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0115</v>
      </c>
      <c r="N107" s="69">
        <f t="shared" si="29"/>
        <v>277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0115</v>
      </c>
      <c r="N108" s="69">
        <f t="shared" si="29"/>
        <v>277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0115</v>
      </c>
      <c r="N109" s="69">
        <f t="shared" si="29"/>
        <v>277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0115</v>
      </c>
      <c r="N110" s="69">
        <f t="shared" si="29"/>
        <v>277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0115</v>
      </c>
      <c r="N111" s="69">
        <f t="shared" si="29"/>
        <v>277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0115</v>
      </c>
      <c r="N112" s="69">
        <f t="shared" si="29"/>
        <v>277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0115</v>
      </c>
      <c r="N113" s="69">
        <f t="shared" si="29"/>
        <v>277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0115</v>
      </c>
      <c r="N114" s="69">
        <f t="shared" si="29"/>
        <v>277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0115</v>
      </c>
      <c r="N115" s="69">
        <f t="shared" si="29"/>
        <v>277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0115</v>
      </c>
      <c r="N116" s="69">
        <f t="shared" si="29"/>
        <v>277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0115</v>
      </c>
      <c r="N117" s="69">
        <f t="shared" si="29"/>
        <v>277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0115</v>
      </c>
      <c r="N118" s="69">
        <f t="shared" si="29"/>
        <v>277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0115</v>
      </c>
      <c r="N119" s="69">
        <f t="shared" si="29"/>
        <v>277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0115</v>
      </c>
      <c r="N120" s="69">
        <f t="shared" si="29"/>
        <v>277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0115</v>
      </c>
      <c r="N121" s="69">
        <f t="shared" si="29"/>
        <v>277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0115</v>
      </c>
      <c r="N122" s="69">
        <f t="shared" si="29"/>
        <v>277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0115</v>
      </c>
      <c r="N123" s="69">
        <f t="shared" si="29"/>
        <v>277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0115</v>
      </c>
      <c r="N124" s="69">
        <f t="shared" si="29"/>
        <v>277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0115</v>
      </c>
      <c r="N125" s="69">
        <f t="shared" si="29"/>
        <v>277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0115</v>
      </c>
      <c r="N126" s="69">
        <f t="shared" si="29"/>
        <v>277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0115</v>
      </c>
      <c r="N127" s="69">
        <f t="shared" si="29"/>
        <v>277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0115</v>
      </c>
      <c r="N128" s="69">
        <f t="shared" si="29"/>
        <v>277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0115</v>
      </c>
      <c r="N129" s="69">
        <f t="shared" si="29"/>
        <v>277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0115</v>
      </c>
      <c r="N130" s="69">
        <f t="shared" si="29"/>
        <v>277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0115</v>
      </c>
      <c r="N131" s="69">
        <f t="shared" si="29"/>
        <v>277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0115</v>
      </c>
      <c r="N132" s="69">
        <f t="shared" si="29"/>
        <v>277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0115</v>
      </c>
      <c r="N133" s="69">
        <f t="shared" si="29"/>
        <v>277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0115</v>
      </c>
      <c r="N134" s="69">
        <f t="shared" si="29"/>
        <v>277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0115</v>
      </c>
      <c r="N135" s="69">
        <f t="shared" si="29"/>
        <v>277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0115</v>
      </c>
      <c r="N136" s="69">
        <f t="shared" si="29"/>
        <v>277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0115</v>
      </c>
      <c r="N137" s="69">
        <f t="shared" si="29"/>
        <v>277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0115</v>
      </c>
      <c r="N138" s="69">
        <f t="shared" ref="N138:N201" si="33">N137+S137</f>
        <v>277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0115</v>
      </c>
      <c r="N139" s="69">
        <f t="shared" si="33"/>
        <v>277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0115</v>
      </c>
      <c r="N140" s="69">
        <f t="shared" si="33"/>
        <v>277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0115</v>
      </c>
      <c r="N141" s="69">
        <f t="shared" si="33"/>
        <v>277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0115</v>
      </c>
      <c r="N142" s="69">
        <f t="shared" si="33"/>
        <v>277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0115</v>
      </c>
      <c r="N143" s="69">
        <f t="shared" si="33"/>
        <v>277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0115</v>
      </c>
      <c r="N144" s="69">
        <f t="shared" si="33"/>
        <v>277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0115</v>
      </c>
      <c r="N145" s="69">
        <f t="shared" si="33"/>
        <v>277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0115</v>
      </c>
      <c r="N146" s="69">
        <f t="shared" si="33"/>
        <v>277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0115</v>
      </c>
      <c r="N147" s="69">
        <f t="shared" si="33"/>
        <v>277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0115</v>
      </c>
      <c r="N148" s="69">
        <f t="shared" si="33"/>
        <v>277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0115</v>
      </c>
      <c r="N149" s="69">
        <f t="shared" si="33"/>
        <v>277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0115</v>
      </c>
      <c r="N150" s="69">
        <f t="shared" si="33"/>
        <v>277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0115</v>
      </c>
      <c r="N151" s="69">
        <f t="shared" si="33"/>
        <v>277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0115</v>
      </c>
      <c r="N152" s="69">
        <f t="shared" si="33"/>
        <v>277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0115</v>
      </c>
      <c r="N153" s="69">
        <f t="shared" si="33"/>
        <v>277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0115</v>
      </c>
      <c r="N154" s="69">
        <f t="shared" si="33"/>
        <v>277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0115</v>
      </c>
      <c r="N155" s="69">
        <f t="shared" si="33"/>
        <v>277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0115</v>
      </c>
      <c r="N156" s="69">
        <f t="shared" si="33"/>
        <v>277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0115</v>
      </c>
      <c r="N157" s="69">
        <f t="shared" si="33"/>
        <v>277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0115</v>
      </c>
      <c r="N158" s="69">
        <f t="shared" si="33"/>
        <v>277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0115</v>
      </c>
      <c r="N159" s="69">
        <f t="shared" si="33"/>
        <v>277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0115</v>
      </c>
      <c r="N160" s="69">
        <f t="shared" si="33"/>
        <v>277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0115</v>
      </c>
      <c r="N161" s="69">
        <f t="shared" si="33"/>
        <v>277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0115</v>
      </c>
      <c r="N162" s="69">
        <f t="shared" si="33"/>
        <v>277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0115</v>
      </c>
      <c r="N163" s="69">
        <f t="shared" si="33"/>
        <v>277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0115</v>
      </c>
      <c r="N164" s="69">
        <f t="shared" si="33"/>
        <v>277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0115</v>
      </c>
      <c r="N165" s="69">
        <f t="shared" si="33"/>
        <v>277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0115</v>
      </c>
      <c r="N166" s="69">
        <f t="shared" si="33"/>
        <v>277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0115</v>
      </c>
      <c r="N167" s="69">
        <f t="shared" si="33"/>
        <v>277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0115</v>
      </c>
      <c r="N168" s="69">
        <f t="shared" si="33"/>
        <v>277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0115</v>
      </c>
      <c r="N169" s="69">
        <f t="shared" si="33"/>
        <v>277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0115</v>
      </c>
      <c r="N170" s="69">
        <f t="shared" si="33"/>
        <v>277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0115</v>
      </c>
      <c r="N171" s="69">
        <f t="shared" si="33"/>
        <v>277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0115</v>
      </c>
      <c r="N172" s="69">
        <f t="shared" si="33"/>
        <v>277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0115</v>
      </c>
      <c r="N173" s="69">
        <f t="shared" si="33"/>
        <v>277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0115</v>
      </c>
      <c r="N174" s="69">
        <f t="shared" si="33"/>
        <v>277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0115</v>
      </c>
      <c r="N175" s="69">
        <f t="shared" si="33"/>
        <v>277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0115</v>
      </c>
      <c r="N176" s="69">
        <f t="shared" si="33"/>
        <v>277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0115</v>
      </c>
      <c r="N177" s="69">
        <f t="shared" si="33"/>
        <v>277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0115</v>
      </c>
      <c r="N178" s="69">
        <f t="shared" si="33"/>
        <v>277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0115</v>
      </c>
      <c r="N179" s="69">
        <f t="shared" si="33"/>
        <v>277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0115</v>
      </c>
      <c r="N180" s="69">
        <f t="shared" si="33"/>
        <v>277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0115</v>
      </c>
      <c r="N181" s="69">
        <f t="shared" si="33"/>
        <v>277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0115</v>
      </c>
      <c r="N182" s="69">
        <f t="shared" si="33"/>
        <v>277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0115</v>
      </c>
      <c r="N183" s="69">
        <f t="shared" si="33"/>
        <v>277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0115</v>
      </c>
      <c r="N184" s="69">
        <f t="shared" si="33"/>
        <v>277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0115</v>
      </c>
      <c r="N185" s="69">
        <f t="shared" si="33"/>
        <v>277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0115</v>
      </c>
      <c r="N186" s="69">
        <f t="shared" si="33"/>
        <v>277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0115</v>
      </c>
      <c r="N187" s="69">
        <f t="shared" si="33"/>
        <v>277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0115</v>
      </c>
      <c r="N188" s="69">
        <f t="shared" si="33"/>
        <v>277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0115</v>
      </c>
      <c r="N189" s="69">
        <f t="shared" si="33"/>
        <v>277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0115</v>
      </c>
      <c r="N190" s="69">
        <f t="shared" si="33"/>
        <v>277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0115</v>
      </c>
      <c r="N191" s="69">
        <f t="shared" si="33"/>
        <v>277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0115</v>
      </c>
      <c r="N192" s="69">
        <f t="shared" si="33"/>
        <v>277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0115</v>
      </c>
      <c r="N193" s="69">
        <f t="shared" si="33"/>
        <v>277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0115</v>
      </c>
      <c r="N194" s="69">
        <f t="shared" si="33"/>
        <v>277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0115</v>
      </c>
      <c r="N195" s="69">
        <f t="shared" si="33"/>
        <v>277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0115</v>
      </c>
      <c r="N196" s="69">
        <f t="shared" si="33"/>
        <v>277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0115</v>
      </c>
      <c r="N197" s="69">
        <f t="shared" si="33"/>
        <v>277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0115</v>
      </c>
      <c r="N198" s="69">
        <f t="shared" si="33"/>
        <v>277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0115</v>
      </c>
      <c r="N199" s="69">
        <f t="shared" si="33"/>
        <v>277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0115</v>
      </c>
      <c r="N200" s="69">
        <f t="shared" si="33"/>
        <v>277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0115</v>
      </c>
      <c r="N201" s="69">
        <f t="shared" si="33"/>
        <v>277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0115</v>
      </c>
      <c r="N202" s="69">
        <f t="shared" ref="N202:N265" si="37">N201+S201</f>
        <v>277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0115</v>
      </c>
      <c r="N203" s="69">
        <f t="shared" si="37"/>
        <v>277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0115</v>
      </c>
      <c r="N204" s="69">
        <f t="shared" si="37"/>
        <v>277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0115</v>
      </c>
      <c r="N205" s="69">
        <f t="shared" si="37"/>
        <v>277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0115</v>
      </c>
      <c r="N206" s="69">
        <f t="shared" si="37"/>
        <v>277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0115</v>
      </c>
      <c r="N207" s="69">
        <f t="shared" si="37"/>
        <v>277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0115</v>
      </c>
      <c r="N208" s="69">
        <f t="shared" si="37"/>
        <v>277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0115</v>
      </c>
      <c r="N209" s="69">
        <f t="shared" si="37"/>
        <v>277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0115</v>
      </c>
      <c r="N210" s="69">
        <f t="shared" si="37"/>
        <v>277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0115</v>
      </c>
      <c r="N211" s="69">
        <f t="shared" si="37"/>
        <v>277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0115</v>
      </c>
      <c r="N212" s="69">
        <f t="shared" si="37"/>
        <v>277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0115</v>
      </c>
      <c r="N213" s="69">
        <f t="shared" si="37"/>
        <v>277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0115</v>
      </c>
      <c r="N214" s="69">
        <f t="shared" si="37"/>
        <v>277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0115</v>
      </c>
      <c r="N215" s="69">
        <f t="shared" si="37"/>
        <v>277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0115</v>
      </c>
      <c r="N216" s="69">
        <f t="shared" si="37"/>
        <v>277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0115</v>
      </c>
      <c r="N217" s="69">
        <f t="shared" si="37"/>
        <v>277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0115</v>
      </c>
      <c r="N218" s="69">
        <f t="shared" si="37"/>
        <v>277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0115</v>
      </c>
      <c r="N219" s="69">
        <f t="shared" si="37"/>
        <v>277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0115</v>
      </c>
      <c r="N220" s="69">
        <f t="shared" si="37"/>
        <v>277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0115</v>
      </c>
      <c r="N221" s="69">
        <f t="shared" si="37"/>
        <v>277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0115</v>
      </c>
      <c r="N222" s="69">
        <f t="shared" si="37"/>
        <v>277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0115</v>
      </c>
      <c r="N223" s="69">
        <f t="shared" si="37"/>
        <v>277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0115</v>
      </c>
      <c r="N224" s="69">
        <f t="shared" si="37"/>
        <v>277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0115</v>
      </c>
      <c r="N225" s="69">
        <f t="shared" si="37"/>
        <v>277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0115</v>
      </c>
      <c r="N226" s="69">
        <f t="shared" si="37"/>
        <v>277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0115</v>
      </c>
      <c r="N227" s="69">
        <f t="shared" si="37"/>
        <v>277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0115</v>
      </c>
      <c r="N228" s="69">
        <f t="shared" si="37"/>
        <v>277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0115</v>
      </c>
      <c r="N229" s="69">
        <f t="shared" si="37"/>
        <v>277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0115</v>
      </c>
      <c r="N230" s="69">
        <f t="shared" si="37"/>
        <v>277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0115</v>
      </c>
      <c r="N231" s="69">
        <f t="shared" si="37"/>
        <v>277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0115</v>
      </c>
      <c r="N232" s="69">
        <f t="shared" si="37"/>
        <v>277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0115</v>
      </c>
      <c r="N233" s="69">
        <f t="shared" si="37"/>
        <v>277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0115</v>
      </c>
      <c r="N234" s="69">
        <f t="shared" si="37"/>
        <v>277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0115</v>
      </c>
      <c r="N235" s="69">
        <f t="shared" si="37"/>
        <v>277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0115</v>
      </c>
      <c r="N236" s="69">
        <f t="shared" si="37"/>
        <v>277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0115</v>
      </c>
      <c r="N237" s="69">
        <f t="shared" si="37"/>
        <v>277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0115</v>
      </c>
      <c r="N238" s="69">
        <f t="shared" si="37"/>
        <v>277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0115</v>
      </c>
      <c r="N239" s="69">
        <f t="shared" si="37"/>
        <v>277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0115</v>
      </c>
      <c r="N240" s="69">
        <f t="shared" si="37"/>
        <v>277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0115</v>
      </c>
      <c r="N241" s="69">
        <f t="shared" si="37"/>
        <v>277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0115</v>
      </c>
      <c r="N242" s="69">
        <f t="shared" si="37"/>
        <v>277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0115</v>
      </c>
      <c r="N243" s="69">
        <f t="shared" si="37"/>
        <v>277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0115</v>
      </c>
      <c r="N244" s="69">
        <f t="shared" si="37"/>
        <v>277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0115</v>
      </c>
      <c r="N245" s="69">
        <f t="shared" si="37"/>
        <v>277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0115</v>
      </c>
      <c r="N246" s="69">
        <f t="shared" si="37"/>
        <v>277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0115</v>
      </c>
      <c r="N247" s="69">
        <f t="shared" si="37"/>
        <v>277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0115</v>
      </c>
      <c r="N248" s="69">
        <f t="shared" si="37"/>
        <v>277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0115</v>
      </c>
      <c r="N249" s="69">
        <f t="shared" si="37"/>
        <v>277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0115</v>
      </c>
      <c r="N250" s="69">
        <f t="shared" si="37"/>
        <v>277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0115</v>
      </c>
      <c r="N251" s="69">
        <f t="shared" si="37"/>
        <v>277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0115</v>
      </c>
      <c r="N252" s="69">
        <f t="shared" si="37"/>
        <v>277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0115</v>
      </c>
      <c r="N253" s="69">
        <f t="shared" si="37"/>
        <v>277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0115</v>
      </c>
      <c r="N254" s="69">
        <f t="shared" si="37"/>
        <v>277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0115</v>
      </c>
      <c r="N255" s="69">
        <f t="shared" si="37"/>
        <v>277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0115</v>
      </c>
      <c r="N256" s="69">
        <f t="shared" si="37"/>
        <v>277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0115</v>
      </c>
      <c r="N257" s="69">
        <f t="shared" si="37"/>
        <v>277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0115</v>
      </c>
      <c r="N258" s="69">
        <f t="shared" si="37"/>
        <v>277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0115</v>
      </c>
      <c r="N259" s="69">
        <f t="shared" si="37"/>
        <v>277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0115</v>
      </c>
      <c r="N260" s="69">
        <f t="shared" si="37"/>
        <v>277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0115</v>
      </c>
      <c r="N261" s="69">
        <f t="shared" si="37"/>
        <v>277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0115</v>
      </c>
      <c r="N262" s="69">
        <f t="shared" si="37"/>
        <v>277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0115</v>
      </c>
      <c r="N263" s="69">
        <f t="shared" si="37"/>
        <v>277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0115</v>
      </c>
      <c r="N264" s="69">
        <f t="shared" si="37"/>
        <v>277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0115</v>
      </c>
      <c r="N265" s="69">
        <f t="shared" si="37"/>
        <v>277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0115</v>
      </c>
      <c r="N266" s="69">
        <f t="shared" ref="N266:N329" si="41">N265+S265</f>
        <v>277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0115</v>
      </c>
      <c r="N267" s="69">
        <f t="shared" si="41"/>
        <v>277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0115</v>
      </c>
      <c r="N268" s="69">
        <f t="shared" si="41"/>
        <v>277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0115</v>
      </c>
      <c r="N269" s="69">
        <f t="shared" si="41"/>
        <v>277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0115</v>
      </c>
      <c r="N270" s="69">
        <f t="shared" si="41"/>
        <v>277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0115</v>
      </c>
      <c r="N271" s="69">
        <f t="shared" si="41"/>
        <v>277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0115</v>
      </c>
      <c r="N272" s="69">
        <f t="shared" si="41"/>
        <v>277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0115</v>
      </c>
      <c r="N273" s="69">
        <f t="shared" si="41"/>
        <v>277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0115</v>
      </c>
      <c r="N274" s="69">
        <f t="shared" si="41"/>
        <v>277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0115</v>
      </c>
      <c r="N275" s="69">
        <f t="shared" si="41"/>
        <v>277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0115</v>
      </c>
      <c r="N276" s="69">
        <f t="shared" si="41"/>
        <v>277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0115</v>
      </c>
      <c r="N277" s="69">
        <f t="shared" si="41"/>
        <v>277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0115</v>
      </c>
      <c r="N278" s="69">
        <f t="shared" si="41"/>
        <v>277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0115</v>
      </c>
      <c r="N279" s="69">
        <f t="shared" si="41"/>
        <v>277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0115</v>
      </c>
      <c r="N280" s="69">
        <f t="shared" si="41"/>
        <v>277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0115</v>
      </c>
      <c r="N281" s="69">
        <f t="shared" si="41"/>
        <v>277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0115</v>
      </c>
      <c r="N282" s="69">
        <f t="shared" si="41"/>
        <v>277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0115</v>
      </c>
      <c r="N283" s="69">
        <f t="shared" si="41"/>
        <v>277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0115</v>
      </c>
      <c r="N284" s="69">
        <f t="shared" si="41"/>
        <v>277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0115</v>
      </c>
      <c r="N285" s="69">
        <f t="shared" si="41"/>
        <v>277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0115</v>
      </c>
      <c r="N286" s="69">
        <f t="shared" si="41"/>
        <v>277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0115</v>
      </c>
      <c r="N287" s="69">
        <f t="shared" si="41"/>
        <v>277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0115</v>
      </c>
      <c r="N288" s="69">
        <f t="shared" si="41"/>
        <v>277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0115</v>
      </c>
      <c r="N289" s="69">
        <f t="shared" si="41"/>
        <v>277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0115</v>
      </c>
      <c r="N290" s="69">
        <f t="shared" si="41"/>
        <v>277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0115</v>
      </c>
      <c r="N291" s="69">
        <f t="shared" si="41"/>
        <v>277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0115</v>
      </c>
      <c r="N292" s="69">
        <f t="shared" si="41"/>
        <v>277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0115</v>
      </c>
      <c r="N293" s="69">
        <f t="shared" si="41"/>
        <v>277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0115</v>
      </c>
      <c r="N294" s="69">
        <f t="shared" si="41"/>
        <v>277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0115</v>
      </c>
      <c r="N295" s="69">
        <f t="shared" si="41"/>
        <v>277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0115</v>
      </c>
      <c r="N296" s="69">
        <f t="shared" si="41"/>
        <v>277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0115</v>
      </c>
      <c r="N297" s="69">
        <f t="shared" si="41"/>
        <v>277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0115</v>
      </c>
      <c r="N298" s="69">
        <f t="shared" si="41"/>
        <v>277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0115</v>
      </c>
      <c r="N299" s="69">
        <f t="shared" si="41"/>
        <v>277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0115</v>
      </c>
      <c r="N300" s="69">
        <f t="shared" si="41"/>
        <v>277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0115</v>
      </c>
      <c r="N301" s="69">
        <f t="shared" si="41"/>
        <v>277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0115</v>
      </c>
      <c r="N302" s="69">
        <f t="shared" si="41"/>
        <v>277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0115</v>
      </c>
      <c r="N303" s="69">
        <f t="shared" si="41"/>
        <v>277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0115</v>
      </c>
      <c r="N304" s="69">
        <f t="shared" si="41"/>
        <v>277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0115</v>
      </c>
      <c r="N305" s="69">
        <f t="shared" si="41"/>
        <v>277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0115</v>
      </c>
      <c r="N306" s="69">
        <f t="shared" si="41"/>
        <v>277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0115</v>
      </c>
      <c r="N307" s="69">
        <f t="shared" si="41"/>
        <v>277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0115</v>
      </c>
      <c r="N308" s="69">
        <f t="shared" si="41"/>
        <v>277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0115</v>
      </c>
      <c r="N309" s="69">
        <f t="shared" si="41"/>
        <v>277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0115</v>
      </c>
      <c r="N310" s="69">
        <f t="shared" si="41"/>
        <v>277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0115</v>
      </c>
      <c r="N311" s="69">
        <f t="shared" si="41"/>
        <v>277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0115</v>
      </c>
      <c r="N312" s="69">
        <f t="shared" si="41"/>
        <v>277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0115</v>
      </c>
      <c r="N313" s="69">
        <f t="shared" si="41"/>
        <v>277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0115</v>
      </c>
      <c r="N314" s="69">
        <f t="shared" si="41"/>
        <v>277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0115</v>
      </c>
      <c r="N315" s="69">
        <f t="shared" si="41"/>
        <v>277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0115</v>
      </c>
      <c r="N316" s="69">
        <f t="shared" si="41"/>
        <v>277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0115</v>
      </c>
      <c r="N317" s="69">
        <f t="shared" si="41"/>
        <v>277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0115</v>
      </c>
      <c r="N318" s="69">
        <f t="shared" si="41"/>
        <v>277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0115</v>
      </c>
      <c r="N319" s="69">
        <f t="shared" si="41"/>
        <v>277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0115</v>
      </c>
      <c r="N320" s="69">
        <f t="shared" si="41"/>
        <v>277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0115</v>
      </c>
      <c r="N321" s="69">
        <f t="shared" si="41"/>
        <v>277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0115</v>
      </c>
      <c r="N322" s="69">
        <f t="shared" si="41"/>
        <v>277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0115</v>
      </c>
      <c r="N323" s="69">
        <f t="shared" si="41"/>
        <v>277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0115</v>
      </c>
      <c r="N324" s="69">
        <f t="shared" si="41"/>
        <v>277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0115</v>
      </c>
      <c r="N325" s="69">
        <f t="shared" si="41"/>
        <v>277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0115</v>
      </c>
      <c r="N326" s="69">
        <f t="shared" si="41"/>
        <v>277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0115</v>
      </c>
      <c r="N327" s="69">
        <f t="shared" si="41"/>
        <v>277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0115</v>
      </c>
      <c r="N328" s="69">
        <f t="shared" si="41"/>
        <v>277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0115</v>
      </c>
      <c r="N329" s="69">
        <f t="shared" si="41"/>
        <v>277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0115</v>
      </c>
      <c r="N330" s="69">
        <f t="shared" ref="N330:N393" si="45">N329+S329</f>
        <v>277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0115</v>
      </c>
      <c r="N331" s="69">
        <f t="shared" si="45"/>
        <v>277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0115</v>
      </c>
      <c r="N332" s="69">
        <f t="shared" si="45"/>
        <v>277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0115</v>
      </c>
      <c r="N333" s="69">
        <f t="shared" si="45"/>
        <v>277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0115</v>
      </c>
      <c r="N334" s="69">
        <f t="shared" si="45"/>
        <v>277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0115</v>
      </c>
      <c r="N335" s="69">
        <f t="shared" si="45"/>
        <v>277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0115</v>
      </c>
      <c r="N336" s="69">
        <f t="shared" si="45"/>
        <v>277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0115</v>
      </c>
      <c r="N337" s="69">
        <f t="shared" si="45"/>
        <v>277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0115</v>
      </c>
      <c r="N338" s="69">
        <f t="shared" si="45"/>
        <v>277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0115</v>
      </c>
      <c r="N339" s="69">
        <f t="shared" si="45"/>
        <v>277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0115</v>
      </c>
      <c r="N340" s="69">
        <f t="shared" si="45"/>
        <v>277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0115</v>
      </c>
      <c r="N341" s="69">
        <f t="shared" si="45"/>
        <v>277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0115</v>
      </c>
      <c r="N342" s="69">
        <f t="shared" si="45"/>
        <v>277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0115</v>
      </c>
      <c r="N343" s="69">
        <f t="shared" si="45"/>
        <v>277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0115</v>
      </c>
      <c r="N344" s="69">
        <f t="shared" si="45"/>
        <v>277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0115</v>
      </c>
      <c r="N345" s="69">
        <f t="shared" si="45"/>
        <v>277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0115</v>
      </c>
      <c r="N346" s="69">
        <f t="shared" si="45"/>
        <v>277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0115</v>
      </c>
      <c r="N347" s="69">
        <f t="shared" si="45"/>
        <v>277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0115</v>
      </c>
      <c r="N348" s="69">
        <f t="shared" si="45"/>
        <v>277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0115</v>
      </c>
      <c r="N349" s="69">
        <f t="shared" si="45"/>
        <v>277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0115</v>
      </c>
      <c r="N350" s="69">
        <f t="shared" si="45"/>
        <v>277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0115</v>
      </c>
      <c r="N351" s="69">
        <f t="shared" si="45"/>
        <v>277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0115</v>
      </c>
      <c r="N352" s="69">
        <f t="shared" si="45"/>
        <v>277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0115</v>
      </c>
      <c r="N353" s="69">
        <f t="shared" si="45"/>
        <v>277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0115</v>
      </c>
      <c r="N354" s="69">
        <f t="shared" si="45"/>
        <v>277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0115</v>
      </c>
      <c r="N355" s="69">
        <f t="shared" si="45"/>
        <v>277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0115</v>
      </c>
      <c r="N356" s="69">
        <f t="shared" si="45"/>
        <v>277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0115</v>
      </c>
      <c r="N357" s="69">
        <f t="shared" si="45"/>
        <v>277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0115</v>
      </c>
      <c r="N358" s="69">
        <f t="shared" si="45"/>
        <v>277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0115</v>
      </c>
      <c r="N359" s="69">
        <f t="shared" si="45"/>
        <v>277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0115</v>
      </c>
      <c r="N360" s="69">
        <f t="shared" si="45"/>
        <v>277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0115</v>
      </c>
      <c r="N361" s="69">
        <f t="shared" si="45"/>
        <v>277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0115</v>
      </c>
      <c r="N362" s="69">
        <f t="shared" si="45"/>
        <v>277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0115</v>
      </c>
      <c r="N363" s="69">
        <f t="shared" si="45"/>
        <v>277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0115</v>
      </c>
      <c r="N364" s="69">
        <f t="shared" si="45"/>
        <v>277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0115</v>
      </c>
      <c r="N365" s="69">
        <f t="shared" si="45"/>
        <v>277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0115</v>
      </c>
      <c r="N366" s="69">
        <f t="shared" si="45"/>
        <v>277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0115</v>
      </c>
      <c r="N367" s="69">
        <f t="shared" si="45"/>
        <v>277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0115</v>
      </c>
      <c r="N368" s="69">
        <f t="shared" si="45"/>
        <v>277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0115</v>
      </c>
      <c r="N369" s="69">
        <f t="shared" si="45"/>
        <v>277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0115</v>
      </c>
      <c r="N370" s="69">
        <f t="shared" si="45"/>
        <v>277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0115</v>
      </c>
      <c r="N371" s="69">
        <f t="shared" si="45"/>
        <v>277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0115</v>
      </c>
      <c r="N372" s="69">
        <f t="shared" si="45"/>
        <v>277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0115</v>
      </c>
      <c r="N373" s="69">
        <f t="shared" si="45"/>
        <v>277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0115</v>
      </c>
      <c r="N374" s="69">
        <f t="shared" si="45"/>
        <v>277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0115</v>
      </c>
      <c r="N375" s="69">
        <f t="shared" si="45"/>
        <v>277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0115</v>
      </c>
      <c r="N376" s="69">
        <f t="shared" si="45"/>
        <v>277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0115</v>
      </c>
      <c r="N377" s="69">
        <f t="shared" si="45"/>
        <v>277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0115</v>
      </c>
      <c r="N378" s="69">
        <f t="shared" si="45"/>
        <v>277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0115</v>
      </c>
      <c r="N379" s="69">
        <f t="shared" si="45"/>
        <v>277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0115</v>
      </c>
      <c r="N380" s="69">
        <f t="shared" si="45"/>
        <v>277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0115</v>
      </c>
      <c r="N381" s="69">
        <f t="shared" si="45"/>
        <v>277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0115</v>
      </c>
      <c r="N382" s="69">
        <f t="shared" si="45"/>
        <v>277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0115</v>
      </c>
      <c r="N383" s="69">
        <f t="shared" si="45"/>
        <v>277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0115</v>
      </c>
      <c r="N384" s="69">
        <f t="shared" si="45"/>
        <v>277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0115</v>
      </c>
      <c r="N385" s="69">
        <f t="shared" si="45"/>
        <v>277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0115</v>
      </c>
      <c r="N386" s="69">
        <f t="shared" si="45"/>
        <v>277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0115</v>
      </c>
      <c r="N387" s="69">
        <f t="shared" si="45"/>
        <v>277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0115</v>
      </c>
      <c r="N388" s="69">
        <f t="shared" si="45"/>
        <v>277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0115</v>
      </c>
      <c r="N389" s="69">
        <f t="shared" si="45"/>
        <v>277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0115</v>
      </c>
      <c r="N390" s="69">
        <f t="shared" si="45"/>
        <v>277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0115</v>
      </c>
      <c r="N391" s="69">
        <f t="shared" si="45"/>
        <v>277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0115</v>
      </c>
      <c r="N392" s="69">
        <f t="shared" si="45"/>
        <v>277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0115</v>
      </c>
      <c r="N393" s="69">
        <f t="shared" si="45"/>
        <v>277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0115</v>
      </c>
      <c r="N394" s="69">
        <f t="shared" ref="N394:N457" si="49">N393+S393</f>
        <v>277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0115</v>
      </c>
      <c r="N395" s="69">
        <f t="shared" si="49"/>
        <v>277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0115</v>
      </c>
      <c r="N396" s="69">
        <f t="shared" si="49"/>
        <v>277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0115</v>
      </c>
      <c r="N397" s="69">
        <f t="shared" si="49"/>
        <v>277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0115</v>
      </c>
      <c r="N398" s="69">
        <f t="shared" si="49"/>
        <v>277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0115</v>
      </c>
      <c r="N399" s="69">
        <f t="shared" si="49"/>
        <v>277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0115</v>
      </c>
      <c r="N400" s="69">
        <f t="shared" si="49"/>
        <v>277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0115</v>
      </c>
      <c r="N401" s="69">
        <f t="shared" si="49"/>
        <v>277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0115</v>
      </c>
      <c r="N402" s="69">
        <f t="shared" si="49"/>
        <v>277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0115</v>
      </c>
      <c r="N403" s="69">
        <f t="shared" si="49"/>
        <v>277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0115</v>
      </c>
      <c r="N404" s="69">
        <f t="shared" si="49"/>
        <v>277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0115</v>
      </c>
      <c r="N405" s="69">
        <f t="shared" si="49"/>
        <v>277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0115</v>
      </c>
      <c r="N406" s="69">
        <f t="shared" si="49"/>
        <v>277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0115</v>
      </c>
      <c r="N407" s="69">
        <f t="shared" si="49"/>
        <v>277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0115</v>
      </c>
      <c r="N408" s="69">
        <f t="shared" si="49"/>
        <v>277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0115</v>
      </c>
      <c r="N409" s="69">
        <f t="shared" si="49"/>
        <v>277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0115</v>
      </c>
      <c r="N410" s="69">
        <f t="shared" si="49"/>
        <v>277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0115</v>
      </c>
      <c r="N411" s="69">
        <f t="shared" si="49"/>
        <v>277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0115</v>
      </c>
      <c r="N412" s="69">
        <f t="shared" si="49"/>
        <v>277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0115</v>
      </c>
      <c r="N413" s="69">
        <f t="shared" si="49"/>
        <v>277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0115</v>
      </c>
      <c r="N414" s="69">
        <f t="shared" si="49"/>
        <v>277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0115</v>
      </c>
      <c r="N415" s="69">
        <f t="shared" si="49"/>
        <v>277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0115</v>
      </c>
      <c r="N416" s="69">
        <f t="shared" si="49"/>
        <v>277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0115</v>
      </c>
      <c r="N417" s="69">
        <f t="shared" si="49"/>
        <v>277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0115</v>
      </c>
      <c r="N418" s="69">
        <f t="shared" si="49"/>
        <v>277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0115</v>
      </c>
      <c r="N419" s="69">
        <f t="shared" si="49"/>
        <v>277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0115</v>
      </c>
      <c r="N420" s="69">
        <f t="shared" si="49"/>
        <v>277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0115</v>
      </c>
      <c r="N421" s="69">
        <f t="shared" si="49"/>
        <v>277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0115</v>
      </c>
      <c r="N422" s="69">
        <f t="shared" si="49"/>
        <v>277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0115</v>
      </c>
      <c r="N423" s="69">
        <f t="shared" si="49"/>
        <v>277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0115</v>
      </c>
      <c r="N424" s="69">
        <f t="shared" si="49"/>
        <v>277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0115</v>
      </c>
      <c r="N425" s="69">
        <f t="shared" si="49"/>
        <v>277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0115</v>
      </c>
      <c r="N426" s="69">
        <f t="shared" si="49"/>
        <v>277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0115</v>
      </c>
      <c r="N427" s="69">
        <f t="shared" si="49"/>
        <v>277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0115</v>
      </c>
      <c r="N428" s="69">
        <f t="shared" si="49"/>
        <v>277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0115</v>
      </c>
      <c r="N429" s="69">
        <f t="shared" si="49"/>
        <v>277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0115</v>
      </c>
      <c r="N430" s="69">
        <f t="shared" si="49"/>
        <v>277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0115</v>
      </c>
      <c r="N431" s="69">
        <f t="shared" si="49"/>
        <v>277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0115</v>
      </c>
      <c r="N432" s="69">
        <f t="shared" si="49"/>
        <v>277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0115</v>
      </c>
      <c r="N433" s="69">
        <f t="shared" si="49"/>
        <v>277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0115</v>
      </c>
      <c r="N434" s="69">
        <f t="shared" si="49"/>
        <v>277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0115</v>
      </c>
      <c r="N435" s="69">
        <f t="shared" si="49"/>
        <v>277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0115</v>
      </c>
      <c r="N436" s="69">
        <f t="shared" si="49"/>
        <v>277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0115</v>
      </c>
      <c r="N437" s="69">
        <f t="shared" si="49"/>
        <v>277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0115</v>
      </c>
      <c r="N438" s="69">
        <f t="shared" si="49"/>
        <v>277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0115</v>
      </c>
      <c r="N439" s="69">
        <f t="shared" si="49"/>
        <v>277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0115</v>
      </c>
      <c r="N440" s="69">
        <f t="shared" si="49"/>
        <v>277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0115</v>
      </c>
      <c r="N441" s="69">
        <f t="shared" si="49"/>
        <v>277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0115</v>
      </c>
      <c r="N442" s="69">
        <f t="shared" si="49"/>
        <v>277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0115</v>
      </c>
      <c r="N443" s="69">
        <f t="shared" si="49"/>
        <v>277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0115</v>
      </c>
      <c r="N444" s="69">
        <f t="shared" si="49"/>
        <v>277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0115</v>
      </c>
      <c r="N445" s="69">
        <f t="shared" si="49"/>
        <v>277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0115</v>
      </c>
      <c r="N446" s="69">
        <f t="shared" si="49"/>
        <v>277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0115</v>
      </c>
      <c r="N447" s="69">
        <f t="shared" si="49"/>
        <v>277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0115</v>
      </c>
      <c r="N448" s="69">
        <f t="shared" si="49"/>
        <v>277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0115</v>
      </c>
      <c r="N449" s="69">
        <f t="shared" si="49"/>
        <v>277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0115</v>
      </c>
      <c r="N450" s="69">
        <f t="shared" si="49"/>
        <v>277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0115</v>
      </c>
      <c r="N451" s="69">
        <f t="shared" si="49"/>
        <v>277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0115</v>
      </c>
      <c r="N452" s="69">
        <f t="shared" si="49"/>
        <v>277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0115</v>
      </c>
      <c r="N453" s="69">
        <f t="shared" si="49"/>
        <v>277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0115</v>
      </c>
      <c r="N454" s="69">
        <f t="shared" si="49"/>
        <v>277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0115</v>
      </c>
      <c r="N455" s="69">
        <f t="shared" si="49"/>
        <v>277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0115</v>
      </c>
      <c r="N456" s="69">
        <f t="shared" si="49"/>
        <v>277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0115</v>
      </c>
      <c r="N457" s="69">
        <f t="shared" si="49"/>
        <v>277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0115</v>
      </c>
      <c r="N458" s="69">
        <f t="shared" ref="N458:N521" si="53">N457+S457</f>
        <v>277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0115</v>
      </c>
      <c r="N459" s="69">
        <f t="shared" si="53"/>
        <v>277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0115</v>
      </c>
      <c r="N460" s="69">
        <f t="shared" si="53"/>
        <v>277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0115</v>
      </c>
      <c r="N461" s="69">
        <f t="shared" si="53"/>
        <v>277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0115</v>
      </c>
      <c r="N462" s="69">
        <f t="shared" si="53"/>
        <v>277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0115</v>
      </c>
      <c r="N463" s="69">
        <f t="shared" si="53"/>
        <v>277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0115</v>
      </c>
      <c r="N464" s="69">
        <f t="shared" si="53"/>
        <v>277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0115</v>
      </c>
      <c r="N465" s="69">
        <f t="shared" si="53"/>
        <v>277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0115</v>
      </c>
      <c r="N466" s="69">
        <f t="shared" si="53"/>
        <v>277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0115</v>
      </c>
      <c r="N467" s="69">
        <f t="shared" si="53"/>
        <v>277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0115</v>
      </c>
      <c r="N468" s="69">
        <f t="shared" si="53"/>
        <v>277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0115</v>
      </c>
      <c r="N469" s="69">
        <f t="shared" si="53"/>
        <v>277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0115</v>
      </c>
      <c r="N470" s="69">
        <f t="shared" si="53"/>
        <v>277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0115</v>
      </c>
      <c r="N471" s="69">
        <f t="shared" si="53"/>
        <v>277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0115</v>
      </c>
      <c r="N472" s="69">
        <f t="shared" si="53"/>
        <v>277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0115</v>
      </c>
      <c r="N473" s="69">
        <f t="shared" si="53"/>
        <v>277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0115</v>
      </c>
      <c r="N474" s="69">
        <f t="shared" si="53"/>
        <v>277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0115</v>
      </c>
      <c r="N475" s="69">
        <f t="shared" si="53"/>
        <v>277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0115</v>
      </c>
      <c r="N476" s="69">
        <f t="shared" si="53"/>
        <v>277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0115</v>
      </c>
      <c r="N477" s="69">
        <f t="shared" si="53"/>
        <v>277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0115</v>
      </c>
      <c r="N478" s="69">
        <f t="shared" si="53"/>
        <v>277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0115</v>
      </c>
      <c r="N479" s="69">
        <f t="shared" si="53"/>
        <v>277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0115</v>
      </c>
      <c r="N480" s="69">
        <f t="shared" si="53"/>
        <v>277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0115</v>
      </c>
      <c r="N481" s="69">
        <f t="shared" si="53"/>
        <v>277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0115</v>
      </c>
      <c r="N482" s="69">
        <f t="shared" si="53"/>
        <v>277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0115</v>
      </c>
      <c r="N483" s="69">
        <f t="shared" si="53"/>
        <v>277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0115</v>
      </c>
      <c r="N484" s="69">
        <f t="shared" si="53"/>
        <v>277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0115</v>
      </c>
      <c r="N485" s="69">
        <f t="shared" si="53"/>
        <v>277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0115</v>
      </c>
      <c r="N486" s="69">
        <f t="shared" si="53"/>
        <v>277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0115</v>
      </c>
      <c r="N487" s="69">
        <f t="shared" si="53"/>
        <v>277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0115</v>
      </c>
      <c r="N488" s="69">
        <f t="shared" si="53"/>
        <v>277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0115</v>
      </c>
      <c r="N489" s="69">
        <f t="shared" si="53"/>
        <v>277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0115</v>
      </c>
      <c r="N490" s="69">
        <f t="shared" si="53"/>
        <v>277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0115</v>
      </c>
      <c r="N491" s="69">
        <f t="shared" si="53"/>
        <v>277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0115</v>
      </c>
      <c r="N492" s="69">
        <f t="shared" si="53"/>
        <v>277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0115</v>
      </c>
      <c r="N493" s="69">
        <f t="shared" si="53"/>
        <v>277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0115</v>
      </c>
      <c r="N494" s="69">
        <f t="shared" si="53"/>
        <v>277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0115</v>
      </c>
      <c r="N495" s="69">
        <f t="shared" si="53"/>
        <v>277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0115</v>
      </c>
      <c r="N496" s="69">
        <f t="shared" si="53"/>
        <v>277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0115</v>
      </c>
      <c r="N497" s="69">
        <f t="shared" si="53"/>
        <v>277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0115</v>
      </c>
      <c r="N498" s="69">
        <f t="shared" si="53"/>
        <v>277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0115</v>
      </c>
      <c r="N499" s="69">
        <f t="shared" si="53"/>
        <v>277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0115</v>
      </c>
      <c r="N500" s="69">
        <f t="shared" si="53"/>
        <v>277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0115</v>
      </c>
      <c r="N501" s="69">
        <f t="shared" si="53"/>
        <v>277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0115</v>
      </c>
      <c r="N502" s="69">
        <f t="shared" si="53"/>
        <v>277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0115</v>
      </c>
      <c r="N503" s="69">
        <f t="shared" si="53"/>
        <v>277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0115</v>
      </c>
      <c r="N504" s="69">
        <f t="shared" si="53"/>
        <v>277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0115</v>
      </c>
      <c r="N505" s="69">
        <f t="shared" si="53"/>
        <v>277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0115</v>
      </c>
      <c r="N506" s="69">
        <f t="shared" si="53"/>
        <v>277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0115</v>
      </c>
      <c r="N507" s="69">
        <f t="shared" si="53"/>
        <v>277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0115</v>
      </c>
      <c r="N508" s="69">
        <f t="shared" si="53"/>
        <v>277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0115</v>
      </c>
      <c r="N509" s="69">
        <f t="shared" si="53"/>
        <v>277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0115</v>
      </c>
      <c r="N510" s="69">
        <f t="shared" si="53"/>
        <v>277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0115</v>
      </c>
      <c r="N511" s="69">
        <f t="shared" si="53"/>
        <v>277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0115</v>
      </c>
      <c r="N512" s="69">
        <f t="shared" si="53"/>
        <v>277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0115</v>
      </c>
      <c r="N513" s="69">
        <f t="shared" si="53"/>
        <v>277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0115</v>
      </c>
      <c r="N514" s="69">
        <f t="shared" si="53"/>
        <v>277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0115</v>
      </c>
      <c r="N515" s="69">
        <f t="shared" si="53"/>
        <v>277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0115</v>
      </c>
      <c r="N516" s="69">
        <f t="shared" si="53"/>
        <v>277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0115</v>
      </c>
      <c r="N517" s="69">
        <f t="shared" si="53"/>
        <v>277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0115</v>
      </c>
      <c r="N518" s="69">
        <f t="shared" si="53"/>
        <v>277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0115</v>
      </c>
      <c r="N519" s="69">
        <f t="shared" si="53"/>
        <v>277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0115</v>
      </c>
      <c r="N520" s="69">
        <f t="shared" si="53"/>
        <v>277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0115</v>
      </c>
      <c r="N521" s="69">
        <f t="shared" si="53"/>
        <v>277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0115</v>
      </c>
      <c r="N522" s="69">
        <f t="shared" ref="N522:N585" si="57">N521+S521</f>
        <v>277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0115</v>
      </c>
      <c r="N523" s="69">
        <f t="shared" si="57"/>
        <v>277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0115</v>
      </c>
      <c r="N524" s="69">
        <f t="shared" si="57"/>
        <v>277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0115</v>
      </c>
      <c r="N525" s="69">
        <f t="shared" si="57"/>
        <v>277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0115</v>
      </c>
      <c r="N526" s="69">
        <f t="shared" si="57"/>
        <v>277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0115</v>
      </c>
      <c r="N527" s="69">
        <f t="shared" si="57"/>
        <v>277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0115</v>
      </c>
      <c r="N528" s="69">
        <f t="shared" si="57"/>
        <v>277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0115</v>
      </c>
      <c r="N529" s="69">
        <f t="shared" si="57"/>
        <v>277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0115</v>
      </c>
      <c r="N530" s="69">
        <f t="shared" si="57"/>
        <v>277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0115</v>
      </c>
      <c r="N531" s="69">
        <f t="shared" si="57"/>
        <v>277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0115</v>
      </c>
      <c r="N532" s="69">
        <f t="shared" si="57"/>
        <v>277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0115</v>
      </c>
      <c r="N533" s="69">
        <f t="shared" si="57"/>
        <v>277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0115</v>
      </c>
      <c r="N534" s="69">
        <f t="shared" si="57"/>
        <v>277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0115</v>
      </c>
      <c r="N535" s="69">
        <f t="shared" si="57"/>
        <v>277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0115</v>
      </c>
      <c r="N536" s="69">
        <f t="shared" si="57"/>
        <v>277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0115</v>
      </c>
      <c r="N537" s="69">
        <f t="shared" si="57"/>
        <v>277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0115</v>
      </c>
      <c r="N538" s="69">
        <f t="shared" si="57"/>
        <v>277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0115</v>
      </c>
      <c r="N539" s="69">
        <f t="shared" si="57"/>
        <v>277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0115</v>
      </c>
      <c r="N540" s="69">
        <f t="shared" si="57"/>
        <v>277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0115</v>
      </c>
      <c r="N541" s="69">
        <f t="shared" si="57"/>
        <v>277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0115</v>
      </c>
      <c r="N542" s="69">
        <f t="shared" si="57"/>
        <v>277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0115</v>
      </c>
      <c r="N543" s="69">
        <f t="shared" si="57"/>
        <v>277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0115</v>
      </c>
      <c r="N544" s="69">
        <f t="shared" si="57"/>
        <v>277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0115</v>
      </c>
      <c r="N545" s="69">
        <f t="shared" si="57"/>
        <v>277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0115</v>
      </c>
      <c r="N546" s="69">
        <f t="shared" si="57"/>
        <v>277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0115</v>
      </c>
      <c r="N547" s="69">
        <f t="shared" si="57"/>
        <v>277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0115</v>
      </c>
      <c r="N548" s="69">
        <f t="shared" si="57"/>
        <v>277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0115</v>
      </c>
      <c r="N549" s="69">
        <f t="shared" si="57"/>
        <v>277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0115</v>
      </c>
      <c r="N550" s="69">
        <f t="shared" si="57"/>
        <v>277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0115</v>
      </c>
      <c r="N551" s="69">
        <f t="shared" si="57"/>
        <v>277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0115</v>
      </c>
      <c r="N552" s="69">
        <f t="shared" si="57"/>
        <v>277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0115</v>
      </c>
      <c r="N553" s="69">
        <f t="shared" si="57"/>
        <v>277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0115</v>
      </c>
      <c r="N554" s="69">
        <f t="shared" si="57"/>
        <v>277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0115</v>
      </c>
      <c r="N555" s="69">
        <f t="shared" si="57"/>
        <v>277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0115</v>
      </c>
      <c r="N556" s="69">
        <f t="shared" si="57"/>
        <v>277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0115</v>
      </c>
      <c r="N557" s="69">
        <f t="shared" si="57"/>
        <v>277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0115</v>
      </c>
      <c r="N558" s="69">
        <f t="shared" si="57"/>
        <v>277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0115</v>
      </c>
      <c r="N559" s="69">
        <f t="shared" si="57"/>
        <v>277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0115</v>
      </c>
      <c r="N560" s="69">
        <f t="shared" si="57"/>
        <v>277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0115</v>
      </c>
      <c r="N561" s="69">
        <f t="shared" si="57"/>
        <v>277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0115</v>
      </c>
      <c r="N562" s="69">
        <f t="shared" si="57"/>
        <v>277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0115</v>
      </c>
      <c r="N563" s="69">
        <f t="shared" si="57"/>
        <v>277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0115</v>
      </c>
      <c r="N564" s="69">
        <f t="shared" si="57"/>
        <v>277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0115</v>
      </c>
      <c r="N565" s="69">
        <f t="shared" si="57"/>
        <v>277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0115</v>
      </c>
      <c r="N566" s="69">
        <f t="shared" si="57"/>
        <v>277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0115</v>
      </c>
      <c r="N567" s="69">
        <f t="shared" si="57"/>
        <v>277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0115</v>
      </c>
      <c r="N568" s="69">
        <f t="shared" si="57"/>
        <v>277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0115</v>
      </c>
      <c r="N569" s="69">
        <f t="shared" si="57"/>
        <v>277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0115</v>
      </c>
      <c r="N570" s="69">
        <f t="shared" si="57"/>
        <v>277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0115</v>
      </c>
      <c r="N571" s="69">
        <f t="shared" si="57"/>
        <v>277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0115</v>
      </c>
      <c r="N572" s="69">
        <f t="shared" si="57"/>
        <v>277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0115</v>
      </c>
      <c r="N573" s="69">
        <f t="shared" si="57"/>
        <v>277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0115</v>
      </c>
      <c r="N574" s="69">
        <f t="shared" si="57"/>
        <v>277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0115</v>
      </c>
      <c r="N575" s="69">
        <f t="shared" si="57"/>
        <v>277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0115</v>
      </c>
      <c r="N576" s="69">
        <f t="shared" si="57"/>
        <v>277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0115</v>
      </c>
      <c r="N577" s="69">
        <f t="shared" si="57"/>
        <v>277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0115</v>
      </c>
      <c r="N578" s="69">
        <f t="shared" si="57"/>
        <v>277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0115</v>
      </c>
      <c r="N579" s="69">
        <f t="shared" si="57"/>
        <v>277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0115</v>
      </c>
      <c r="N580" s="69">
        <f t="shared" si="57"/>
        <v>277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0115</v>
      </c>
      <c r="N581" s="69">
        <f t="shared" si="57"/>
        <v>277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0115</v>
      </c>
      <c r="N582" s="69">
        <f t="shared" si="57"/>
        <v>277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0115</v>
      </c>
      <c r="N583" s="69">
        <f t="shared" si="57"/>
        <v>277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0115</v>
      </c>
      <c r="N584" s="69">
        <f t="shared" si="57"/>
        <v>277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0115</v>
      </c>
      <c r="N585" s="69">
        <f t="shared" si="57"/>
        <v>277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0115</v>
      </c>
      <c r="N586" s="69">
        <f t="shared" ref="N586:N649" si="61">N585+S585</f>
        <v>277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0115</v>
      </c>
      <c r="N587" s="69">
        <f t="shared" si="61"/>
        <v>277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0115</v>
      </c>
      <c r="N588" s="69">
        <f t="shared" si="61"/>
        <v>277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0115</v>
      </c>
      <c r="N589" s="69">
        <f t="shared" si="61"/>
        <v>277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0115</v>
      </c>
      <c r="N590" s="69">
        <f t="shared" si="61"/>
        <v>277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0115</v>
      </c>
      <c r="N591" s="69">
        <f t="shared" si="61"/>
        <v>277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0115</v>
      </c>
      <c r="N592" s="69">
        <f t="shared" si="61"/>
        <v>277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0115</v>
      </c>
      <c r="N593" s="69">
        <f t="shared" si="61"/>
        <v>277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0115</v>
      </c>
      <c r="N594" s="69">
        <f t="shared" si="61"/>
        <v>277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0115</v>
      </c>
      <c r="N595" s="69">
        <f t="shared" si="61"/>
        <v>277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0115</v>
      </c>
      <c r="N596" s="69">
        <f t="shared" si="61"/>
        <v>277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0115</v>
      </c>
      <c r="N597" s="69">
        <f t="shared" si="61"/>
        <v>277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0115</v>
      </c>
      <c r="N598" s="69">
        <f t="shared" si="61"/>
        <v>277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0115</v>
      </c>
      <c r="N599" s="69">
        <f t="shared" si="61"/>
        <v>277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0115</v>
      </c>
      <c r="N600" s="69">
        <f t="shared" si="61"/>
        <v>277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0115</v>
      </c>
      <c r="N601" s="69">
        <f t="shared" si="61"/>
        <v>277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0115</v>
      </c>
      <c r="N602" s="69">
        <f t="shared" si="61"/>
        <v>277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0115</v>
      </c>
      <c r="N603" s="69">
        <f t="shared" si="61"/>
        <v>277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0115</v>
      </c>
      <c r="N604" s="69">
        <f t="shared" si="61"/>
        <v>277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0115</v>
      </c>
      <c r="N605" s="69">
        <f t="shared" si="61"/>
        <v>277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0115</v>
      </c>
      <c r="N606" s="69">
        <f t="shared" si="61"/>
        <v>277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0115</v>
      </c>
      <c r="N607" s="69">
        <f t="shared" si="61"/>
        <v>277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0115</v>
      </c>
      <c r="N608" s="69">
        <f t="shared" si="61"/>
        <v>277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0115</v>
      </c>
      <c r="N609" s="69">
        <f t="shared" si="61"/>
        <v>277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0115</v>
      </c>
      <c r="N610" s="69">
        <f t="shared" si="61"/>
        <v>277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0115</v>
      </c>
      <c r="N611" s="69">
        <f t="shared" si="61"/>
        <v>277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0115</v>
      </c>
      <c r="N612" s="69">
        <f t="shared" si="61"/>
        <v>277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0115</v>
      </c>
      <c r="N613" s="69">
        <f t="shared" si="61"/>
        <v>277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0115</v>
      </c>
      <c r="N614" s="69">
        <f t="shared" si="61"/>
        <v>277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0115</v>
      </c>
      <c r="N615" s="69">
        <f t="shared" si="61"/>
        <v>277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0115</v>
      </c>
      <c r="N616" s="69">
        <f t="shared" si="61"/>
        <v>277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0115</v>
      </c>
      <c r="N617" s="69">
        <f t="shared" si="61"/>
        <v>277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0115</v>
      </c>
      <c r="N618" s="69">
        <f t="shared" si="61"/>
        <v>277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0115</v>
      </c>
      <c r="N619" s="69">
        <f t="shared" si="61"/>
        <v>277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0115</v>
      </c>
      <c r="N620" s="69">
        <f t="shared" si="61"/>
        <v>277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0115</v>
      </c>
      <c r="N621" s="69">
        <f t="shared" si="61"/>
        <v>277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0115</v>
      </c>
      <c r="N622" s="69">
        <f t="shared" si="61"/>
        <v>277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0115</v>
      </c>
      <c r="N623" s="69">
        <f t="shared" si="61"/>
        <v>277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0115</v>
      </c>
      <c r="N624" s="69">
        <f t="shared" si="61"/>
        <v>277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0115</v>
      </c>
      <c r="N625" s="69">
        <f t="shared" si="61"/>
        <v>277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0115</v>
      </c>
      <c r="N626" s="69">
        <f t="shared" si="61"/>
        <v>277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0115</v>
      </c>
      <c r="N627" s="69">
        <f t="shared" si="61"/>
        <v>277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0115</v>
      </c>
      <c r="N628" s="69">
        <f t="shared" si="61"/>
        <v>277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0115</v>
      </c>
      <c r="N629" s="69">
        <f t="shared" si="61"/>
        <v>277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0115</v>
      </c>
      <c r="N630" s="69">
        <f t="shared" si="61"/>
        <v>277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0115</v>
      </c>
      <c r="N631" s="69">
        <f t="shared" si="61"/>
        <v>277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0115</v>
      </c>
      <c r="N632" s="69">
        <f t="shared" si="61"/>
        <v>277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0115</v>
      </c>
      <c r="N633" s="69">
        <f t="shared" si="61"/>
        <v>277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0115</v>
      </c>
      <c r="N634" s="69">
        <f t="shared" si="61"/>
        <v>277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0115</v>
      </c>
      <c r="N635" s="69">
        <f t="shared" si="61"/>
        <v>277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0115</v>
      </c>
      <c r="N636" s="69">
        <f t="shared" si="61"/>
        <v>277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0115</v>
      </c>
      <c r="N637" s="69">
        <f t="shared" si="61"/>
        <v>277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0115</v>
      </c>
      <c r="N638" s="69">
        <f t="shared" si="61"/>
        <v>277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0115</v>
      </c>
      <c r="N639" s="69">
        <f t="shared" si="61"/>
        <v>277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0115</v>
      </c>
      <c r="N640" s="69">
        <f t="shared" si="61"/>
        <v>277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0115</v>
      </c>
      <c r="N641" s="69">
        <f t="shared" si="61"/>
        <v>277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0115</v>
      </c>
      <c r="N642" s="69">
        <f t="shared" si="61"/>
        <v>277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0115</v>
      </c>
      <c r="N643" s="69">
        <f t="shared" si="61"/>
        <v>277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0115</v>
      </c>
      <c r="N644" s="69">
        <f t="shared" si="61"/>
        <v>277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0115</v>
      </c>
      <c r="N645" s="69">
        <f t="shared" si="61"/>
        <v>277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0115</v>
      </c>
      <c r="N646" s="69">
        <f t="shared" si="61"/>
        <v>277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0115</v>
      </c>
      <c r="N647" s="69">
        <f t="shared" si="61"/>
        <v>277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0115</v>
      </c>
      <c r="N648" s="69">
        <f t="shared" si="61"/>
        <v>277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0115</v>
      </c>
      <c r="N649" s="69">
        <f t="shared" si="61"/>
        <v>277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0115</v>
      </c>
      <c r="N650" s="69">
        <f t="shared" ref="N650:N713" si="65">N649+S649</f>
        <v>277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0115</v>
      </c>
      <c r="N651" s="69">
        <f t="shared" si="65"/>
        <v>277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0115</v>
      </c>
      <c r="N652" s="69">
        <f t="shared" si="65"/>
        <v>277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0115</v>
      </c>
      <c r="N653" s="69">
        <f t="shared" si="65"/>
        <v>277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0115</v>
      </c>
      <c r="N654" s="69">
        <f t="shared" si="65"/>
        <v>277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0115</v>
      </c>
      <c r="N655" s="69">
        <f t="shared" si="65"/>
        <v>277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0115</v>
      </c>
      <c r="N656" s="69">
        <f t="shared" si="65"/>
        <v>277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0115</v>
      </c>
      <c r="N657" s="69">
        <f t="shared" si="65"/>
        <v>277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0115</v>
      </c>
      <c r="N658" s="69">
        <f t="shared" si="65"/>
        <v>277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0115</v>
      </c>
      <c r="N659" s="69">
        <f t="shared" si="65"/>
        <v>277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0115</v>
      </c>
      <c r="N660" s="69">
        <f t="shared" si="65"/>
        <v>277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0115</v>
      </c>
      <c r="N661" s="69">
        <f t="shared" si="65"/>
        <v>277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0115</v>
      </c>
      <c r="N662" s="69">
        <f t="shared" si="65"/>
        <v>277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0115</v>
      </c>
      <c r="N663" s="69">
        <f t="shared" si="65"/>
        <v>277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0115</v>
      </c>
      <c r="N664" s="69">
        <f t="shared" si="65"/>
        <v>277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0115</v>
      </c>
      <c r="N665" s="69">
        <f t="shared" si="65"/>
        <v>277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0115</v>
      </c>
      <c r="N666" s="69">
        <f t="shared" si="65"/>
        <v>277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0115</v>
      </c>
      <c r="N667" s="69">
        <f t="shared" si="65"/>
        <v>277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0115</v>
      </c>
      <c r="N668" s="69">
        <f t="shared" si="65"/>
        <v>277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0115</v>
      </c>
      <c r="N669" s="69">
        <f t="shared" si="65"/>
        <v>277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0115</v>
      </c>
      <c r="N670" s="69">
        <f t="shared" si="65"/>
        <v>277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0115</v>
      </c>
      <c r="N671" s="69">
        <f t="shared" si="65"/>
        <v>277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0115</v>
      </c>
      <c r="N672" s="69">
        <f t="shared" si="65"/>
        <v>277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0115</v>
      </c>
      <c r="N673" s="69">
        <f t="shared" si="65"/>
        <v>277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0115</v>
      </c>
      <c r="N674" s="69">
        <f t="shared" si="65"/>
        <v>277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0115</v>
      </c>
      <c r="N675" s="69">
        <f t="shared" si="65"/>
        <v>277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0115</v>
      </c>
      <c r="N676" s="69">
        <f t="shared" si="65"/>
        <v>277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0115</v>
      </c>
      <c r="N677" s="69">
        <f t="shared" si="65"/>
        <v>277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0115</v>
      </c>
      <c r="N678" s="69">
        <f t="shared" si="65"/>
        <v>277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0115</v>
      </c>
      <c r="N679" s="69">
        <f t="shared" si="65"/>
        <v>277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0115</v>
      </c>
      <c r="N680" s="69">
        <f t="shared" si="65"/>
        <v>277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0115</v>
      </c>
      <c r="N681" s="69">
        <f t="shared" si="65"/>
        <v>277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0115</v>
      </c>
      <c r="N682" s="69">
        <f t="shared" si="65"/>
        <v>277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0115</v>
      </c>
      <c r="N683" s="69">
        <f t="shared" si="65"/>
        <v>277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0115</v>
      </c>
      <c r="N684" s="69">
        <f t="shared" si="65"/>
        <v>277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0115</v>
      </c>
      <c r="N685" s="69">
        <f t="shared" si="65"/>
        <v>277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0115</v>
      </c>
      <c r="N686" s="69">
        <f t="shared" si="65"/>
        <v>277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0115</v>
      </c>
      <c r="N687" s="69">
        <f t="shared" si="65"/>
        <v>277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0115</v>
      </c>
      <c r="N688" s="69">
        <f t="shared" si="65"/>
        <v>277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0115</v>
      </c>
      <c r="N689" s="69">
        <f t="shared" si="65"/>
        <v>277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0115</v>
      </c>
      <c r="N690" s="69">
        <f t="shared" si="65"/>
        <v>277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0115</v>
      </c>
      <c r="N691" s="69">
        <f t="shared" si="65"/>
        <v>277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0115</v>
      </c>
      <c r="N692" s="69">
        <f t="shared" si="65"/>
        <v>277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0115</v>
      </c>
      <c r="N693" s="69">
        <f t="shared" si="65"/>
        <v>277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0115</v>
      </c>
      <c r="N694" s="69">
        <f t="shared" si="65"/>
        <v>277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0115</v>
      </c>
      <c r="N695" s="69">
        <f t="shared" si="65"/>
        <v>277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0115</v>
      </c>
      <c r="N696" s="69">
        <f t="shared" si="65"/>
        <v>277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0115</v>
      </c>
      <c r="N697" s="69">
        <f t="shared" si="65"/>
        <v>277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0115</v>
      </c>
      <c r="N698" s="69">
        <f t="shared" si="65"/>
        <v>277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0115</v>
      </c>
      <c r="N699" s="69">
        <f t="shared" si="65"/>
        <v>277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0115</v>
      </c>
      <c r="N700" s="69">
        <f t="shared" si="65"/>
        <v>277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0115</v>
      </c>
      <c r="N701" s="69">
        <f t="shared" si="65"/>
        <v>277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0115</v>
      </c>
      <c r="N702" s="69">
        <f t="shared" si="65"/>
        <v>277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0115</v>
      </c>
      <c r="N703" s="69">
        <f t="shared" si="65"/>
        <v>277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0115</v>
      </c>
      <c r="N704" s="69">
        <f t="shared" si="65"/>
        <v>277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0115</v>
      </c>
      <c r="N705" s="69">
        <f t="shared" si="65"/>
        <v>277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0115</v>
      </c>
      <c r="N706" s="69">
        <f t="shared" si="65"/>
        <v>277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0115</v>
      </c>
      <c r="N707" s="69">
        <f t="shared" si="65"/>
        <v>277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0115</v>
      </c>
      <c r="N708" s="69">
        <f t="shared" si="65"/>
        <v>277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0115</v>
      </c>
      <c r="N709" s="69">
        <f t="shared" si="65"/>
        <v>277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0115</v>
      </c>
      <c r="N710" s="69">
        <f t="shared" si="65"/>
        <v>277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0115</v>
      </c>
      <c r="N711" s="69">
        <f t="shared" si="65"/>
        <v>277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0115</v>
      </c>
      <c r="N712" s="69">
        <f t="shared" si="65"/>
        <v>277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0115</v>
      </c>
      <c r="N713" s="69">
        <f t="shared" si="65"/>
        <v>277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0115</v>
      </c>
      <c r="N714" s="69">
        <f t="shared" ref="N714:N777" si="69">N713+S713</f>
        <v>277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0115</v>
      </c>
      <c r="N715" s="69">
        <f t="shared" si="69"/>
        <v>277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0115</v>
      </c>
      <c r="N716" s="69">
        <f t="shared" si="69"/>
        <v>277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0115</v>
      </c>
      <c r="N717" s="69">
        <f t="shared" si="69"/>
        <v>277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0115</v>
      </c>
      <c r="N718" s="69">
        <f t="shared" si="69"/>
        <v>277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0115</v>
      </c>
      <c r="N719" s="69">
        <f t="shared" si="69"/>
        <v>277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0115</v>
      </c>
      <c r="N720" s="69">
        <f t="shared" si="69"/>
        <v>277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0115</v>
      </c>
      <c r="N721" s="69">
        <f t="shared" si="69"/>
        <v>277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0115</v>
      </c>
      <c r="N722" s="69">
        <f t="shared" si="69"/>
        <v>277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0115</v>
      </c>
      <c r="N723" s="69">
        <f t="shared" si="69"/>
        <v>277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0115</v>
      </c>
      <c r="N724" s="69">
        <f t="shared" si="69"/>
        <v>277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0115</v>
      </c>
      <c r="N725" s="69">
        <f t="shared" si="69"/>
        <v>277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0115</v>
      </c>
      <c r="N726" s="69">
        <f t="shared" si="69"/>
        <v>277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0115</v>
      </c>
      <c r="N727" s="69">
        <f t="shared" si="69"/>
        <v>277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0115</v>
      </c>
      <c r="N728" s="69">
        <f t="shared" si="69"/>
        <v>277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0115</v>
      </c>
      <c r="N729" s="69">
        <f t="shared" si="69"/>
        <v>277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0115</v>
      </c>
      <c r="N730" s="69">
        <f t="shared" si="69"/>
        <v>277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0115</v>
      </c>
      <c r="N731" s="69">
        <f t="shared" si="69"/>
        <v>277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0115</v>
      </c>
      <c r="N732" s="69">
        <f t="shared" si="69"/>
        <v>277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0115</v>
      </c>
      <c r="N733" s="69">
        <f t="shared" si="69"/>
        <v>277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0115</v>
      </c>
      <c r="N734" s="69">
        <f t="shared" si="69"/>
        <v>277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0115</v>
      </c>
      <c r="N735" s="69">
        <f t="shared" si="69"/>
        <v>277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0115</v>
      </c>
      <c r="N736" s="69">
        <f t="shared" si="69"/>
        <v>277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0115</v>
      </c>
      <c r="N737" s="69">
        <f t="shared" si="69"/>
        <v>277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0115</v>
      </c>
      <c r="N738" s="69">
        <f t="shared" si="69"/>
        <v>277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0115</v>
      </c>
      <c r="N739" s="69">
        <f t="shared" si="69"/>
        <v>277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0115</v>
      </c>
      <c r="N740" s="69">
        <f t="shared" si="69"/>
        <v>277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0115</v>
      </c>
      <c r="N741" s="69">
        <f t="shared" si="69"/>
        <v>277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0115</v>
      </c>
      <c r="N742" s="69">
        <f t="shared" si="69"/>
        <v>277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0115</v>
      </c>
      <c r="N743" s="69">
        <f t="shared" si="69"/>
        <v>277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0115</v>
      </c>
      <c r="N744" s="69">
        <f t="shared" si="69"/>
        <v>277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0115</v>
      </c>
      <c r="N745" s="69">
        <f t="shared" si="69"/>
        <v>277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0115</v>
      </c>
      <c r="N746" s="69">
        <f t="shared" si="69"/>
        <v>277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0115</v>
      </c>
      <c r="N747" s="69">
        <f t="shared" si="69"/>
        <v>277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0115</v>
      </c>
      <c r="N748" s="69">
        <f t="shared" si="69"/>
        <v>277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0115</v>
      </c>
      <c r="N749" s="69">
        <f t="shared" si="69"/>
        <v>277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0115</v>
      </c>
      <c r="N750" s="69">
        <f t="shared" si="69"/>
        <v>277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0115</v>
      </c>
      <c r="N751" s="69">
        <f t="shared" si="69"/>
        <v>277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0115</v>
      </c>
      <c r="N752" s="69">
        <f t="shared" si="69"/>
        <v>277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0115</v>
      </c>
      <c r="N753" s="69">
        <f t="shared" si="69"/>
        <v>277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0115</v>
      </c>
      <c r="N754" s="69">
        <f t="shared" si="69"/>
        <v>277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0115</v>
      </c>
      <c r="N755" s="69">
        <f t="shared" si="69"/>
        <v>277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0115</v>
      </c>
      <c r="N756" s="69">
        <f t="shared" si="69"/>
        <v>277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0115</v>
      </c>
      <c r="N757" s="69">
        <f t="shared" si="69"/>
        <v>277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0115</v>
      </c>
      <c r="N758" s="69">
        <f t="shared" si="69"/>
        <v>277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0115</v>
      </c>
      <c r="N759" s="69">
        <f t="shared" si="69"/>
        <v>277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0115</v>
      </c>
      <c r="N760" s="69">
        <f t="shared" si="69"/>
        <v>277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0115</v>
      </c>
      <c r="N761" s="69">
        <f t="shared" si="69"/>
        <v>277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0115</v>
      </c>
      <c r="N762" s="69">
        <f t="shared" si="69"/>
        <v>277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0115</v>
      </c>
      <c r="N763" s="69">
        <f t="shared" si="69"/>
        <v>277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0115</v>
      </c>
      <c r="N764" s="69">
        <f t="shared" si="69"/>
        <v>277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0115</v>
      </c>
      <c r="N765" s="69">
        <f t="shared" si="69"/>
        <v>277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0115</v>
      </c>
      <c r="N766" s="69">
        <f t="shared" si="69"/>
        <v>277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0115</v>
      </c>
      <c r="N767" s="69">
        <f t="shared" si="69"/>
        <v>277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0115</v>
      </c>
      <c r="N768" s="69">
        <f t="shared" si="69"/>
        <v>277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0115</v>
      </c>
      <c r="N769" s="69">
        <f t="shared" si="69"/>
        <v>277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0115</v>
      </c>
      <c r="N770" s="69">
        <f t="shared" si="69"/>
        <v>277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0115</v>
      </c>
      <c r="N771" s="69">
        <f t="shared" si="69"/>
        <v>277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0115</v>
      </c>
      <c r="N772" s="69">
        <f t="shared" si="69"/>
        <v>277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0115</v>
      </c>
      <c r="N773" s="69">
        <f t="shared" si="69"/>
        <v>277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0115</v>
      </c>
      <c r="N774" s="69">
        <f t="shared" si="69"/>
        <v>277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0115</v>
      </c>
      <c r="N775" s="69">
        <f t="shared" si="69"/>
        <v>277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0115</v>
      </c>
      <c r="N776" s="69">
        <f t="shared" si="69"/>
        <v>277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0115</v>
      </c>
      <c r="N777" s="69">
        <f t="shared" si="69"/>
        <v>277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0115</v>
      </c>
      <c r="N778" s="69">
        <f t="shared" ref="N778:N841" si="73">N777+S777</f>
        <v>277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0115</v>
      </c>
      <c r="N779" s="69">
        <f t="shared" si="73"/>
        <v>277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0115</v>
      </c>
      <c r="N780" s="69">
        <f t="shared" si="73"/>
        <v>277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0115</v>
      </c>
      <c r="N781" s="69">
        <f t="shared" si="73"/>
        <v>277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0115</v>
      </c>
      <c r="N782" s="69">
        <f t="shared" si="73"/>
        <v>277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0115</v>
      </c>
      <c r="N783" s="69">
        <f t="shared" si="73"/>
        <v>277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0115</v>
      </c>
      <c r="N784" s="69">
        <f t="shared" si="73"/>
        <v>277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0115</v>
      </c>
      <c r="N785" s="69">
        <f t="shared" si="73"/>
        <v>277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0115</v>
      </c>
      <c r="N786" s="69">
        <f t="shared" si="73"/>
        <v>277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0115</v>
      </c>
      <c r="N787" s="69">
        <f t="shared" si="73"/>
        <v>277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0115</v>
      </c>
      <c r="N788" s="69">
        <f t="shared" si="73"/>
        <v>277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0115</v>
      </c>
      <c r="N789" s="69">
        <f t="shared" si="73"/>
        <v>277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0115</v>
      </c>
      <c r="N790" s="69">
        <f t="shared" si="73"/>
        <v>277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0115</v>
      </c>
      <c r="N791" s="69">
        <f t="shared" si="73"/>
        <v>277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0115</v>
      </c>
      <c r="N792" s="69">
        <f t="shared" si="73"/>
        <v>277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0115</v>
      </c>
      <c r="N793" s="69">
        <f t="shared" si="73"/>
        <v>277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0115</v>
      </c>
      <c r="N794" s="69">
        <f t="shared" si="73"/>
        <v>277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0115</v>
      </c>
      <c r="N795" s="69">
        <f t="shared" si="73"/>
        <v>277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0115</v>
      </c>
      <c r="N796" s="69">
        <f t="shared" si="73"/>
        <v>277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0115</v>
      </c>
      <c r="N797" s="69">
        <f t="shared" si="73"/>
        <v>277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0115</v>
      </c>
      <c r="N798" s="69">
        <f t="shared" si="73"/>
        <v>277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0115</v>
      </c>
      <c r="N799" s="69">
        <f t="shared" si="73"/>
        <v>277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0115</v>
      </c>
      <c r="N800" s="69">
        <f t="shared" si="73"/>
        <v>277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0115</v>
      </c>
      <c r="N801" s="69">
        <f t="shared" si="73"/>
        <v>277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0115</v>
      </c>
      <c r="N802" s="69">
        <f t="shared" si="73"/>
        <v>277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0115</v>
      </c>
      <c r="N803" s="69">
        <f t="shared" si="73"/>
        <v>277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0115</v>
      </c>
      <c r="N804" s="69">
        <f t="shared" si="73"/>
        <v>277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0115</v>
      </c>
      <c r="N805" s="69">
        <f t="shared" si="73"/>
        <v>277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0115</v>
      </c>
      <c r="N806" s="69">
        <f t="shared" si="73"/>
        <v>277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0115</v>
      </c>
      <c r="N807" s="69">
        <f t="shared" si="73"/>
        <v>277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0115</v>
      </c>
      <c r="N808" s="69">
        <f t="shared" si="73"/>
        <v>277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0115</v>
      </c>
      <c r="N809" s="69">
        <f t="shared" si="73"/>
        <v>277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0115</v>
      </c>
      <c r="N810" s="69">
        <f t="shared" si="73"/>
        <v>277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0115</v>
      </c>
      <c r="N811" s="69">
        <f t="shared" si="73"/>
        <v>277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0115</v>
      </c>
      <c r="N812" s="69">
        <f t="shared" si="73"/>
        <v>277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0115</v>
      </c>
      <c r="N813" s="69">
        <f t="shared" si="73"/>
        <v>277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0115</v>
      </c>
      <c r="N814" s="69">
        <f t="shared" si="73"/>
        <v>277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0115</v>
      </c>
      <c r="N815" s="69">
        <f t="shared" si="73"/>
        <v>277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0115</v>
      </c>
      <c r="N816" s="69">
        <f t="shared" si="73"/>
        <v>277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0115</v>
      </c>
      <c r="N817" s="69">
        <f t="shared" si="73"/>
        <v>277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0115</v>
      </c>
      <c r="N818" s="69">
        <f t="shared" si="73"/>
        <v>277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0115</v>
      </c>
      <c r="N819" s="69">
        <f t="shared" si="73"/>
        <v>277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0115</v>
      </c>
      <c r="N820" s="69">
        <f t="shared" si="73"/>
        <v>277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0115</v>
      </c>
      <c r="N821" s="69">
        <f t="shared" si="73"/>
        <v>277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0115</v>
      </c>
      <c r="N822" s="69">
        <f t="shared" si="73"/>
        <v>277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0115</v>
      </c>
      <c r="N823" s="69">
        <f t="shared" si="73"/>
        <v>277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0115</v>
      </c>
      <c r="N824" s="69">
        <f t="shared" si="73"/>
        <v>277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0115</v>
      </c>
      <c r="N825" s="69">
        <f t="shared" si="73"/>
        <v>277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0115</v>
      </c>
      <c r="N826" s="69">
        <f t="shared" si="73"/>
        <v>277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0115</v>
      </c>
      <c r="N827" s="69">
        <f t="shared" si="73"/>
        <v>277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0115</v>
      </c>
      <c r="N828" s="69">
        <f t="shared" si="73"/>
        <v>277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0115</v>
      </c>
      <c r="N829" s="69">
        <f t="shared" si="73"/>
        <v>277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0115</v>
      </c>
      <c r="N830" s="69">
        <f t="shared" si="73"/>
        <v>277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0115</v>
      </c>
      <c r="N831" s="69">
        <f t="shared" si="73"/>
        <v>277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0115</v>
      </c>
      <c r="N832" s="69">
        <f t="shared" si="73"/>
        <v>277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0115</v>
      </c>
      <c r="N833" s="69">
        <f t="shared" si="73"/>
        <v>277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0115</v>
      </c>
      <c r="N834" s="69">
        <f t="shared" si="73"/>
        <v>277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0115</v>
      </c>
      <c r="N835" s="69">
        <f t="shared" si="73"/>
        <v>277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0115</v>
      </c>
      <c r="N836" s="69">
        <f t="shared" si="73"/>
        <v>277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0115</v>
      </c>
      <c r="N837" s="69">
        <f t="shared" si="73"/>
        <v>277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0115</v>
      </c>
      <c r="N838" s="69">
        <f t="shared" si="73"/>
        <v>277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0115</v>
      </c>
      <c r="N839" s="69">
        <f t="shared" si="73"/>
        <v>277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0115</v>
      </c>
      <c r="N840" s="69">
        <f t="shared" si="73"/>
        <v>277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0115</v>
      </c>
      <c r="N841" s="69">
        <f t="shared" si="73"/>
        <v>277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0115</v>
      </c>
      <c r="N842" s="69">
        <f t="shared" ref="N842:N905" si="77">N841+S841</f>
        <v>277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0115</v>
      </c>
      <c r="N843" s="69">
        <f t="shared" si="77"/>
        <v>277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0115</v>
      </c>
      <c r="N844" s="69">
        <f t="shared" si="77"/>
        <v>277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0115</v>
      </c>
      <c r="N845" s="69">
        <f t="shared" si="77"/>
        <v>277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0115</v>
      </c>
      <c r="N846" s="69">
        <f t="shared" si="77"/>
        <v>277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0115</v>
      </c>
      <c r="N847" s="69">
        <f t="shared" si="77"/>
        <v>277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0115</v>
      </c>
      <c r="N848" s="69">
        <f t="shared" si="77"/>
        <v>277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0115</v>
      </c>
      <c r="N849" s="69">
        <f t="shared" si="77"/>
        <v>277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0115</v>
      </c>
      <c r="N850" s="69">
        <f t="shared" si="77"/>
        <v>277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0115</v>
      </c>
      <c r="N851" s="69">
        <f t="shared" si="77"/>
        <v>277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0115</v>
      </c>
      <c r="N852" s="69">
        <f t="shared" si="77"/>
        <v>277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0115</v>
      </c>
      <c r="N853" s="69">
        <f t="shared" si="77"/>
        <v>277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0115</v>
      </c>
      <c r="N854" s="69">
        <f t="shared" si="77"/>
        <v>277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0115</v>
      </c>
      <c r="N855" s="69">
        <f t="shared" si="77"/>
        <v>277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0115</v>
      </c>
      <c r="N856" s="69">
        <f t="shared" si="77"/>
        <v>277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0115</v>
      </c>
      <c r="N857" s="69">
        <f t="shared" si="77"/>
        <v>277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0115</v>
      </c>
      <c r="N858" s="69">
        <f t="shared" si="77"/>
        <v>277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0115</v>
      </c>
      <c r="N859" s="69">
        <f t="shared" si="77"/>
        <v>277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0115</v>
      </c>
      <c r="N860" s="69">
        <f t="shared" si="77"/>
        <v>277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0115</v>
      </c>
      <c r="N861" s="69">
        <f t="shared" si="77"/>
        <v>277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0115</v>
      </c>
      <c r="N862" s="69">
        <f t="shared" si="77"/>
        <v>277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0115</v>
      </c>
      <c r="N863" s="69">
        <f t="shared" si="77"/>
        <v>277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0115</v>
      </c>
      <c r="N864" s="69">
        <f t="shared" si="77"/>
        <v>277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0115</v>
      </c>
      <c r="N865" s="69">
        <f t="shared" si="77"/>
        <v>277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0115</v>
      </c>
      <c r="N866" s="69">
        <f t="shared" si="77"/>
        <v>277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0115</v>
      </c>
      <c r="N867" s="69">
        <f t="shared" si="77"/>
        <v>277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0115</v>
      </c>
      <c r="N868" s="69">
        <f t="shared" si="77"/>
        <v>277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0115</v>
      </c>
      <c r="N869" s="69">
        <f t="shared" si="77"/>
        <v>277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0115</v>
      </c>
      <c r="N870" s="69">
        <f t="shared" si="77"/>
        <v>277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0115</v>
      </c>
      <c r="N871" s="69">
        <f t="shared" si="77"/>
        <v>277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0115</v>
      </c>
      <c r="N872" s="69">
        <f t="shared" si="77"/>
        <v>277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0115</v>
      </c>
      <c r="N873" s="69">
        <f t="shared" si="77"/>
        <v>277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0115</v>
      </c>
      <c r="N874" s="69">
        <f t="shared" si="77"/>
        <v>277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0115</v>
      </c>
      <c r="N875" s="69">
        <f t="shared" si="77"/>
        <v>277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0115</v>
      </c>
      <c r="N876" s="69">
        <f t="shared" si="77"/>
        <v>277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0115</v>
      </c>
      <c r="N877" s="69">
        <f t="shared" si="77"/>
        <v>277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0115</v>
      </c>
      <c r="N878" s="69">
        <f t="shared" si="77"/>
        <v>277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0115</v>
      </c>
      <c r="N879" s="69">
        <f t="shared" si="77"/>
        <v>277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0115</v>
      </c>
      <c r="N880" s="69">
        <f t="shared" si="77"/>
        <v>277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0115</v>
      </c>
      <c r="N881" s="69">
        <f t="shared" si="77"/>
        <v>277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0115</v>
      </c>
      <c r="N882" s="69">
        <f t="shared" si="77"/>
        <v>277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0115</v>
      </c>
      <c r="N883" s="69">
        <f t="shared" si="77"/>
        <v>277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0115</v>
      </c>
      <c r="N884" s="69">
        <f t="shared" si="77"/>
        <v>277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0115</v>
      </c>
      <c r="N885" s="69">
        <f t="shared" si="77"/>
        <v>277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0115</v>
      </c>
      <c r="N886" s="69">
        <f t="shared" si="77"/>
        <v>277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0115</v>
      </c>
      <c r="N887" s="69">
        <f t="shared" si="77"/>
        <v>277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0115</v>
      </c>
      <c r="N888" s="69">
        <f t="shared" si="77"/>
        <v>277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0115</v>
      </c>
      <c r="N889" s="69">
        <f t="shared" si="77"/>
        <v>277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0115</v>
      </c>
      <c r="N890" s="69">
        <f t="shared" si="77"/>
        <v>277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0115</v>
      </c>
      <c r="N891" s="69">
        <f t="shared" si="77"/>
        <v>277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0115</v>
      </c>
      <c r="N892" s="69">
        <f t="shared" si="77"/>
        <v>277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0115</v>
      </c>
      <c r="N893" s="69">
        <f t="shared" si="77"/>
        <v>277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0115</v>
      </c>
      <c r="N894" s="69">
        <f t="shared" si="77"/>
        <v>277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0115</v>
      </c>
      <c r="N895" s="69">
        <f t="shared" si="77"/>
        <v>277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0115</v>
      </c>
      <c r="N896" s="69">
        <f t="shared" si="77"/>
        <v>277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0115</v>
      </c>
      <c r="N897" s="69">
        <f t="shared" si="77"/>
        <v>277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0115</v>
      </c>
      <c r="N898" s="69">
        <f t="shared" si="77"/>
        <v>277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0115</v>
      </c>
      <c r="N899" s="69">
        <f t="shared" si="77"/>
        <v>277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0115</v>
      </c>
      <c r="N900" s="69">
        <f t="shared" si="77"/>
        <v>277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0115</v>
      </c>
      <c r="N901" s="69">
        <f t="shared" si="77"/>
        <v>277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0115</v>
      </c>
      <c r="N902" s="69">
        <f t="shared" si="77"/>
        <v>277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0115</v>
      </c>
      <c r="N903" s="69">
        <f t="shared" si="77"/>
        <v>277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0115</v>
      </c>
      <c r="N904" s="69">
        <f t="shared" si="77"/>
        <v>277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0115</v>
      </c>
      <c r="N905" s="69">
        <f t="shared" si="77"/>
        <v>277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0115</v>
      </c>
      <c r="N906" s="69">
        <f t="shared" ref="N906:N969" si="81">N905+S905</f>
        <v>277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0115</v>
      </c>
      <c r="N907" s="69">
        <f t="shared" si="81"/>
        <v>277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0115</v>
      </c>
      <c r="N908" s="69">
        <f t="shared" si="81"/>
        <v>277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0115</v>
      </c>
      <c r="N909" s="69">
        <f t="shared" si="81"/>
        <v>277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0115</v>
      </c>
      <c r="N910" s="69">
        <f t="shared" si="81"/>
        <v>277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0115</v>
      </c>
      <c r="N911" s="69">
        <f t="shared" si="81"/>
        <v>277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0115</v>
      </c>
      <c r="N912" s="69">
        <f t="shared" si="81"/>
        <v>277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0115</v>
      </c>
      <c r="N913" s="69">
        <f t="shared" si="81"/>
        <v>277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0115</v>
      </c>
      <c r="N914" s="69">
        <f t="shared" si="81"/>
        <v>277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0115</v>
      </c>
      <c r="N915" s="69">
        <f t="shared" si="81"/>
        <v>277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0115</v>
      </c>
      <c r="N916" s="69">
        <f t="shared" si="81"/>
        <v>277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0115</v>
      </c>
      <c r="N917" s="69">
        <f t="shared" si="81"/>
        <v>277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0115</v>
      </c>
      <c r="N918" s="69">
        <f t="shared" si="81"/>
        <v>277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0115</v>
      </c>
      <c r="N919" s="69">
        <f t="shared" si="81"/>
        <v>277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0115</v>
      </c>
      <c r="N920" s="69">
        <f t="shared" si="81"/>
        <v>277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0115</v>
      </c>
      <c r="N921" s="69">
        <f t="shared" si="81"/>
        <v>277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0115</v>
      </c>
      <c r="N922" s="69">
        <f t="shared" si="81"/>
        <v>277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0115</v>
      </c>
      <c r="N923" s="69">
        <f t="shared" si="81"/>
        <v>277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0115</v>
      </c>
      <c r="N924" s="69">
        <f t="shared" si="81"/>
        <v>277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0115</v>
      </c>
      <c r="N925" s="69">
        <f t="shared" si="81"/>
        <v>277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0115</v>
      </c>
      <c r="N926" s="69">
        <f t="shared" si="81"/>
        <v>277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0115</v>
      </c>
      <c r="N927" s="69">
        <f t="shared" si="81"/>
        <v>277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0115</v>
      </c>
      <c r="N928" s="69">
        <f t="shared" si="81"/>
        <v>277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0115</v>
      </c>
      <c r="N929" s="69">
        <f t="shared" si="81"/>
        <v>277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0115</v>
      </c>
      <c r="N930" s="69">
        <f t="shared" si="81"/>
        <v>277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0115</v>
      </c>
      <c r="N931" s="69">
        <f t="shared" si="81"/>
        <v>277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0115</v>
      </c>
      <c r="N932" s="69">
        <f t="shared" si="81"/>
        <v>277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0115</v>
      </c>
      <c r="N933" s="69">
        <f t="shared" si="81"/>
        <v>277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0115</v>
      </c>
      <c r="N934" s="69">
        <f t="shared" si="81"/>
        <v>277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0115</v>
      </c>
      <c r="N935" s="69">
        <f t="shared" si="81"/>
        <v>277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0115</v>
      </c>
      <c r="N936" s="69">
        <f t="shared" si="81"/>
        <v>277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0115</v>
      </c>
      <c r="N937" s="69">
        <f t="shared" si="81"/>
        <v>277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0115</v>
      </c>
      <c r="N938" s="69">
        <f t="shared" si="81"/>
        <v>277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0115</v>
      </c>
      <c r="N939" s="69">
        <f t="shared" si="81"/>
        <v>277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0115</v>
      </c>
      <c r="N940" s="69">
        <f t="shared" si="81"/>
        <v>277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0115</v>
      </c>
      <c r="N941" s="69">
        <f t="shared" si="81"/>
        <v>277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0115</v>
      </c>
      <c r="N942" s="69">
        <f t="shared" si="81"/>
        <v>277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0115</v>
      </c>
      <c r="N943" s="69">
        <f t="shared" si="81"/>
        <v>277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0115</v>
      </c>
      <c r="N944" s="69">
        <f t="shared" si="81"/>
        <v>277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0115</v>
      </c>
      <c r="N945" s="69">
        <f t="shared" si="81"/>
        <v>277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0115</v>
      </c>
      <c r="N946" s="69">
        <f t="shared" si="81"/>
        <v>277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0115</v>
      </c>
      <c r="N947" s="69">
        <f t="shared" si="81"/>
        <v>277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0115</v>
      </c>
      <c r="N948" s="69">
        <f t="shared" si="81"/>
        <v>277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0115</v>
      </c>
      <c r="N949" s="69">
        <f t="shared" si="81"/>
        <v>277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0115</v>
      </c>
      <c r="N950" s="69">
        <f t="shared" si="81"/>
        <v>277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0115</v>
      </c>
      <c r="N951" s="69">
        <f t="shared" si="81"/>
        <v>277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0115</v>
      </c>
      <c r="N952" s="69">
        <f t="shared" si="81"/>
        <v>277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0115</v>
      </c>
      <c r="N953" s="69">
        <f t="shared" si="81"/>
        <v>277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0115</v>
      </c>
      <c r="N954" s="69">
        <f t="shared" si="81"/>
        <v>277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0115</v>
      </c>
      <c r="N955" s="69">
        <f t="shared" si="81"/>
        <v>277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0115</v>
      </c>
      <c r="N956" s="69">
        <f t="shared" si="81"/>
        <v>277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0115</v>
      </c>
      <c r="N957" s="69">
        <f t="shared" si="81"/>
        <v>277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0115</v>
      </c>
      <c r="N958" s="69">
        <f t="shared" si="81"/>
        <v>277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0115</v>
      </c>
      <c r="N959" s="69">
        <f t="shared" si="81"/>
        <v>277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0115</v>
      </c>
      <c r="N960" s="69">
        <f t="shared" si="81"/>
        <v>277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0115</v>
      </c>
      <c r="N961" s="69">
        <f t="shared" si="81"/>
        <v>277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0115</v>
      </c>
      <c r="N962" s="69">
        <f t="shared" si="81"/>
        <v>277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0115</v>
      </c>
      <c r="N963" s="69">
        <f t="shared" si="81"/>
        <v>277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0115</v>
      </c>
      <c r="N964" s="69">
        <f t="shared" si="81"/>
        <v>277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0115</v>
      </c>
      <c r="N965" s="69">
        <f t="shared" si="81"/>
        <v>277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0115</v>
      </c>
      <c r="N966" s="69">
        <f t="shared" si="81"/>
        <v>277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0115</v>
      </c>
      <c r="N967" s="69">
        <f t="shared" si="81"/>
        <v>277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0115</v>
      </c>
      <c r="N968" s="69">
        <f t="shared" si="81"/>
        <v>277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0115</v>
      </c>
      <c r="N969" s="69">
        <f t="shared" si="81"/>
        <v>277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0115</v>
      </c>
      <c r="N970" s="69">
        <f t="shared" ref="N970:N1033" si="85">N969+S969</f>
        <v>277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0115</v>
      </c>
      <c r="N971" s="69">
        <f t="shared" si="85"/>
        <v>277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0115</v>
      </c>
      <c r="N972" s="69">
        <f t="shared" si="85"/>
        <v>277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0115</v>
      </c>
      <c r="N973" s="69">
        <f t="shared" si="85"/>
        <v>277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0115</v>
      </c>
      <c r="N974" s="69">
        <f t="shared" si="85"/>
        <v>277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0115</v>
      </c>
      <c r="N975" s="69">
        <f t="shared" si="85"/>
        <v>277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0115</v>
      </c>
      <c r="N976" s="69">
        <f t="shared" si="85"/>
        <v>277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0115</v>
      </c>
      <c r="N977" s="69">
        <f t="shared" si="85"/>
        <v>277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0115</v>
      </c>
      <c r="N978" s="69">
        <f t="shared" si="85"/>
        <v>277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0115</v>
      </c>
      <c r="N979" s="69">
        <f t="shared" si="85"/>
        <v>277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0115</v>
      </c>
      <c r="N980" s="69">
        <f t="shared" si="85"/>
        <v>277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0115</v>
      </c>
      <c r="N981" s="69">
        <f t="shared" si="85"/>
        <v>277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0115</v>
      </c>
      <c r="N982" s="69">
        <f t="shared" si="85"/>
        <v>277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0115</v>
      </c>
      <c r="N983" s="69">
        <f t="shared" si="85"/>
        <v>277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0115</v>
      </c>
      <c r="N984" s="69">
        <f t="shared" si="85"/>
        <v>277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0115</v>
      </c>
      <c r="N985" s="69">
        <f t="shared" si="85"/>
        <v>277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0115</v>
      </c>
      <c r="N986" s="69">
        <f t="shared" si="85"/>
        <v>277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0115</v>
      </c>
      <c r="N987" s="69">
        <f t="shared" si="85"/>
        <v>277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0115</v>
      </c>
      <c r="N988" s="69">
        <f t="shared" si="85"/>
        <v>277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0115</v>
      </c>
      <c r="N989" s="69">
        <f t="shared" si="85"/>
        <v>277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0115</v>
      </c>
      <c r="N990" s="69">
        <f t="shared" si="85"/>
        <v>277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0115</v>
      </c>
      <c r="N991" s="69">
        <f t="shared" si="85"/>
        <v>277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0115</v>
      </c>
      <c r="N992" s="69">
        <f t="shared" si="85"/>
        <v>277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0115</v>
      </c>
      <c r="N993" s="69">
        <f t="shared" si="85"/>
        <v>277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0115</v>
      </c>
      <c r="N994" s="69">
        <f t="shared" si="85"/>
        <v>277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0115</v>
      </c>
      <c r="N995" s="69">
        <f t="shared" si="85"/>
        <v>277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0115</v>
      </c>
      <c r="N996" s="69">
        <f t="shared" si="85"/>
        <v>277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0115</v>
      </c>
      <c r="N997" s="69">
        <f t="shared" si="85"/>
        <v>277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0115</v>
      </c>
      <c r="N998" s="69">
        <f t="shared" si="85"/>
        <v>277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0115</v>
      </c>
      <c r="N999" s="69">
        <f t="shared" si="85"/>
        <v>277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0115</v>
      </c>
      <c r="N1000" s="69">
        <f t="shared" si="85"/>
        <v>277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0115</v>
      </c>
      <c r="N1001" s="69">
        <f t="shared" si="85"/>
        <v>277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0115</v>
      </c>
      <c r="N1002" s="69">
        <f t="shared" si="85"/>
        <v>277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0115</v>
      </c>
      <c r="N1003" s="69">
        <f t="shared" si="85"/>
        <v>277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0115</v>
      </c>
      <c r="N1004" s="69">
        <f t="shared" si="85"/>
        <v>277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0115</v>
      </c>
      <c r="N1005" s="69">
        <f t="shared" si="85"/>
        <v>277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0115</v>
      </c>
      <c r="N1006" s="69">
        <f t="shared" si="85"/>
        <v>277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0115</v>
      </c>
      <c r="N1007" s="69">
        <f t="shared" si="85"/>
        <v>277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0115</v>
      </c>
      <c r="N1008" s="69">
        <f t="shared" si="85"/>
        <v>277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0115</v>
      </c>
      <c r="N1009" s="69">
        <f t="shared" si="85"/>
        <v>277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0115</v>
      </c>
      <c r="N1010" s="69">
        <f t="shared" si="85"/>
        <v>277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0115</v>
      </c>
      <c r="N1011" s="69">
        <f t="shared" si="85"/>
        <v>277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0115</v>
      </c>
      <c r="N1012" s="69">
        <f t="shared" si="85"/>
        <v>277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0115</v>
      </c>
      <c r="N1013" s="69">
        <f t="shared" si="85"/>
        <v>277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0115</v>
      </c>
      <c r="N1014" s="69">
        <f t="shared" si="85"/>
        <v>277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0115</v>
      </c>
      <c r="N1015" s="69">
        <f t="shared" si="85"/>
        <v>277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0115</v>
      </c>
      <c r="N1016" s="69">
        <f t="shared" si="85"/>
        <v>277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0115</v>
      </c>
      <c r="N1017" s="69">
        <f t="shared" si="85"/>
        <v>277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0115</v>
      </c>
      <c r="N1018" s="69">
        <f t="shared" si="85"/>
        <v>277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0115</v>
      </c>
      <c r="N1019" s="69">
        <f t="shared" si="85"/>
        <v>277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0115</v>
      </c>
      <c r="N1020" s="69">
        <f t="shared" si="85"/>
        <v>277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0115</v>
      </c>
      <c r="N1021" s="69">
        <f t="shared" si="85"/>
        <v>277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0115</v>
      </c>
      <c r="N1022" s="69">
        <f t="shared" si="85"/>
        <v>277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0115</v>
      </c>
      <c r="N1023" s="69">
        <f t="shared" si="85"/>
        <v>277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0115</v>
      </c>
      <c r="N1024" s="69">
        <f t="shared" si="85"/>
        <v>277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0115</v>
      </c>
      <c r="N1025" s="69">
        <f t="shared" si="85"/>
        <v>277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0115</v>
      </c>
      <c r="N1026" s="69">
        <f t="shared" si="85"/>
        <v>277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0115</v>
      </c>
      <c r="N1027" s="69">
        <f t="shared" si="85"/>
        <v>277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0115</v>
      </c>
      <c r="N1028" s="69">
        <f t="shared" si="85"/>
        <v>277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0115</v>
      </c>
      <c r="N1029" s="69">
        <f t="shared" si="85"/>
        <v>277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0115</v>
      </c>
      <c r="N1030" s="69">
        <f t="shared" si="85"/>
        <v>277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0115</v>
      </c>
      <c r="N1031" s="69">
        <f t="shared" si="85"/>
        <v>277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0115</v>
      </c>
      <c r="N1032" s="69">
        <f t="shared" si="85"/>
        <v>277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0115</v>
      </c>
      <c r="N1033" s="69">
        <f t="shared" si="85"/>
        <v>277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0115</v>
      </c>
      <c r="N1034" s="69">
        <f t="shared" ref="N1034:N1070" si="88">N1033+S1033</f>
        <v>277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0115</v>
      </c>
      <c r="N1035" s="69">
        <f t="shared" si="88"/>
        <v>277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0115</v>
      </c>
      <c r="N1036" s="69">
        <f t="shared" si="88"/>
        <v>277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0115</v>
      </c>
      <c r="N1037" s="69">
        <f t="shared" si="88"/>
        <v>277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0115</v>
      </c>
      <c r="N1038" s="69">
        <f t="shared" si="88"/>
        <v>277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0115</v>
      </c>
      <c r="N1039" s="69">
        <f t="shared" si="88"/>
        <v>277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0115</v>
      </c>
      <c r="N1040" s="69">
        <f t="shared" si="88"/>
        <v>277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0115</v>
      </c>
      <c r="N1041" s="69">
        <f t="shared" si="88"/>
        <v>277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0115</v>
      </c>
      <c r="N1042" s="69">
        <f t="shared" si="88"/>
        <v>277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0115</v>
      </c>
      <c r="N1043" s="69">
        <f t="shared" si="88"/>
        <v>277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0115</v>
      </c>
      <c r="N1044" s="69">
        <f t="shared" si="88"/>
        <v>277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0115</v>
      </c>
      <c r="N1045" s="69">
        <f t="shared" si="88"/>
        <v>277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0115</v>
      </c>
      <c r="N1046" s="69">
        <f t="shared" si="88"/>
        <v>277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0115</v>
      </c>
      <c r="N1047" s="69">
        <f t="shared" si="88"/>
        <v>277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0115</v>
      </c>
      <c r="N1048" s="69">
        <f t="shared" si="88"/>
        <v>277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0115</v>
      </c>
      <c r="N1049" s="69">
        <f t="shared" si="88"/>
        <v>277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0115</v>
      </c>
      <c r="N1050" s="69">
        <f t="shared" si="88"/>
        <v>277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0115</v>
      </c>
      <c r="N1051" s="69">
        <f t="shared" si="88"/>
        <v>277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0115</v>
      </c>
      <c r="N1052" s="69">
        <f t="shared" si="88"/>
        <v>277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0115</v>
      </c>
      <c r="N1053" s="69">
        <f t="shared" si="88"/>
        <v>277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0115</v>
      </c>
      <c r="N1054" s="69">
        <f t="shared" si="88"/>
        <v>277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0115</v>
      </c>
      <c r="N1055" s="69">
        <f t="shared" si="88"/>
        <v>277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0115</v>
      </c>
      <c r="N1056" s="69">
        <f t="shared" si="88"/>
        <v>277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0115</v>
      </c>
      <c r="N1057" s="69">
        <f t="shared" si="88"/>
        <v>277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0115</v>
      </c>
      <c r="N1058" s="69">
        <f t="shared" si="88"/>
        <v>277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0115</v>
      </c>
      <c r="N1059" s="69">
        <f t="shared" si="88"/>
        <v>277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0115</v>
      </c>
      <c r="N1060" s="69">
        <f t="shared" si="88"/>
        <v>277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0115</v>
      </c>
      <c r="N1061" s="69">
        <f t="shared" si="88"/>
        <v>277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0115</v>
      </c>
      <c r="N1062" s="69">
        <f t="shared" si="88"/>
        <v>277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0115</v>
      </c>
      <c r="N1063" s="69">
        <f t="shared" si="88"/>
        <v>277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0115</v>
      </c>
      <c r="N1064" s="69">
        <f t="shared" si="88"/>
        <v>277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0115</v>
      </c>
      <c r="N1065" s="69">
        <f t="shared" si="88"/>
        <v>277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0115</v>
      </c>
      <c r="N1066" s="69">
        <f t="shared" si="88"/>
        <v>277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0115</v>
      </c>
      <c r="N1067" s="69">
        <f t="shared" si="88"/>
        <v>277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0115</v>
      </c>
      <c r="N1068" s="69">
        <f t="shared" si="88"/>
        <v>277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0115</v>
      </c>
      <c r="N1069" s="69">
        <f t="shared" si="88"/>
        <v>277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0115</v>
      </c>
      <c r="N1070" s="136">
        <f t="shared" si="88"/>
        <v>277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0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8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4" customWidth="1"/>
    <col min="3" max="3" width="8.7109375" customWidth="1"/>
    <col min="4" max="5" width="10.7109375" customWidth="1"/>
    <col min="6" max="13" width="4.7109375" style="174" customWidth="1"/>
    <col min="14" max="19" width="4.7109375" customWidth="1"/>
    <col min="20" max="20" width="8.7109375" style="174" customWidth="1"/>
    <col min="21" max="22" width="10.7109375" style="174" customWidth="1"/>
    <col min="23" max="23" width="28.7109375" style="174" customWidth="1"/>
  </cols>
  <sheetData>
    <row r="1" spans="1:23" s="42" customFormat="1">
      <c r="A1" s="42" t="s">
        <v>133</v>
      </c>
      <c r="B1" s="173" t="s">
        <v>112</v>
      </c>
      <c r="C1" s="42" t="s">
        <v>1135</v>
      </c>
      <c r="D1" s="42" t="s">
        <v>129</v>
      </c>
      <c r="E1" s="42" t="s">
        <v>130</v>
      </c>
      <c r="F1" s="173" t="s">
        <v>153</v>
      </c>
      <c r="G1" s="173" t="s">
        <v>151</v>
      </c>
      <c r="H1" s="173" t="s">
        <v>189</v>
      </c>
      <c r="I1" s="173" t="s">
        <v>190</v>
      </c>
      <c r="J1" s="173" t="s">
        <v>272</v>
      </c>
      <c r="K1" s="173" t="s">
        <v>310</v>
      </c>
      <c r="L1" s="173" t="s">
        <v>334</v>
      </c>
      <c r="M1" s="173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3" t="s">
        <v>1146</v>
      </c>
      <c r="U1" s="173" t="s">
        <v>1147</v>
      </c>
      <c r="V1" s="173" t="s">
        <v>1148</v>
      </c>
      <c r="W1" s="173" t="s">
        <v>1149</v>
      </c>
    </row>
    <row r="2" spans="1:23">
      <c r="A2">
        <v>1</v>
      </c>
      <c r="B2" s="174" t="s">
        <v>1044</v>
      </c>
      <c r="C2" t="s">
        <v>296</v>
      </c>
      <c r="D2" t="s">
        <v>310</v>
      </c>
      <c r="E2" t="s">
        <v>1038</v>
      </c>
      <c r="F2" s="174" t="s">
        <v>222</v>
      </c>
      <c r="G2" s="174" t="s">
        <v>222</v>
      </c>
      <c r="H2" s="174" t="s">
        <v>222</v>
      </c>
      <c r="I2" s="174" t="s">
        <v>222</v>
      </c>
      <c r="J2" s="174" t="s">
        <v>222</v>
      </c>
      <c r="K2" s="174" t="s">
        <v>302</v>
      </c>
      <c r="L2" s="174" t="s">
        <v>521</v>
      </c>
      <c r="M2" s="174" t="s">
        <v>1142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4" t="s">
        <v>266</v>
      </c>
      <c r="U2" s="174" t="s">
        <v>266</v>
      </c>
      <c r="V2" s="174" t="s">
        <v>266</v>
      </c>
      <c r="W2" s="174" t="s">
        <v>266</v>
      </c>
    </row>
    <row r="3" spans="1:23">
      <c r="A3">
        <v>2</v>
      </c>
      <c r="B3" s="174" t="s">
        <v>1137</v>
      </c>
      <c r="C3" t="s">
        <v>148</v>
      </c>
      <c r="D3" t="s">
        <v>153</v>
      </c>
      <c r="E3">
        <v>0</v>
      </c>
      <c r="F3" s="174" t="s">
        <v>222</v>
      </c>
      <c r="G3" s="174" t="s">
        <v>222</v>
      </c>
      <c r="H3" s="174" t="s">
        <v>222</v>
      </c>
      <c r="I3" s="174" t="s">
        <v>222</v>
      </c>
      <c r="J3" s="174" t="s">
        <v>222</v>
      </c>
      <c r="K3" s="174" t="s">
        <v>302</v>
      </c>
      <c r="L3" s="174" t="s">
        <v>521</v>
      </c>
      <c r="M3" s="174" t="s">
        <v>1142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4" t="s">
        <v>266</v>
      </c>
      <c r="U3" s="174" t="s">
        <v>266</v>
      </c>
      <c r="V3" s="174" t="s">
        <v>266</v>
      </c>
      <c r="W3" s="174" t="s">
        <v>266</v>
      </c>
    </row>
    <row r="4" spans="1:23">
      <c r="A4">
        <v>3</v>
      </c>
      <c r="B4" s="174" t="s">
        <v>1144</v>
      </c>
      <c r="C4" t="s">
        <v>879</v>
      </c>
      <c r="D4" t="s">
        <v>1039</v>
      </c>
      <c r="F4" s="174" t="s">
        <v>222</v>
      </c>
      <c r="G4" s="174" t="s">
        <v>222</v>
      </c>
      <c r="H4" s="174" t="s">
        <v>222</v>
      </c>
      <c r="I4" s="174" t="s">
        <v>222</v>
      </c>
      <c r="J4" s="174" t="s">
        <v>222</v>
      </c>
      <c r="K4" s="174" t="s">
        <v>302</v>
      </c>
      <c r="L4" s="174" t="s">
        <v>521</v>
      </c>
      <c r="M4" s="174" t="s">
        <v>1142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4" t="s">
        <v>266</v>
      </c>
      <c r="U4" s="174" t="s">
        <v>266</v>
      </c>
      <c r="V4" s="174" t="s">
        <v>266</v>
      </c>
      <c r="W4" s="174" t="s">
        <v>266</v>
      </c>
    </row>
    <row r="5" spans="1:23">
      <c r="A5">
        <v>4</v>
      </c>
      <c r="B5" s="174" t="s">
        <v>1138</v>
      </c>
      <c r="C5" t="s">
        <v>983</v>
      </c>
      <c r="F5" s="174" t="s">
        <v>222</v>
      </c>
      <c r="G5" s="174" t="s">
        <v>222</v>
      </c>
      <c r="H5" s="174" t="s">
        <v>222</v>
      </c>
      <c r="I5" s="174" t="s">
        <v>222</v>
      </c>
      <c r="J5" s="174" t="s">
        <v>222</v>
      </c>
      <c r="K5" s="174" t="s">
        <v>302</v>
      </c>
      <c r="L5" s="174" t="s">
        <v>521</v>
      </c>
      <c r="M5" s="174" t="s">
        <v>1142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4" t="s">
        <v>266</v>
      </c>
      <c r="U5" s="174" t="s">
        <v>266</v>
      </c>
      <c r="V5" s="174" t="s">
        <v>266</v>
      </c>
      <c r="W5" s="174" t="s">
        <v>266</v>
      </c>
    </row>
    <row r="6" spans="1:23">
      <c r="A6">
        <v>5</v>
      </c>
      <c r="B6" s="174" t="s">
        <v>1145</v>
      </c>
      <c r="C6" t="s">
        <v>148</v>
      </c>
      <c r="D6" t="s">
        <v>153</v>
      </c>
      <c r="E6">
        <v>3</v>
      </c>
      <c r="F6" s="174" t="s">
        <v>371</v>
      </c>
      <c r="G6" s="174" t="s">
        <v>222</v>
      </c>
      <c r="H6" s="174" t="s">
        <v>222</v>
      </c>
      <c r="I6" s="174" t="s">
        <v>222</v>
      </c>
      <c r="J6" s="174" t="s">
        <v>222</v>
      </c>
      <c r="K6" s="174" t="s">
        <v>302</v>
      </c>
      <c r="L6" s="174" t="s">
        <v>521</v>
      </c>
      <c r="M6" s="174" t="s">
        <v>1142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74" t="s">
        <v>266</v>
      </c>
      <c r="U6" s="174" t="s">
        <v>266</v>
      </c>
      <c r="V6" s="174" t="s">
        <v>266</v>
      </c>
      <c r="W6" s="174" t="s">
        <v>266</v>
      </c>
    </row>
    <row r="7" spans="1:23">
      <c r="A7">
        <v>6</v>
      </c>
      <c r="B7" s="174" t="s">
        <v>1139</v>
      </c>
      <c r="C7" t="s">
        <v>971</v>
      </c>
      <c r="D7" t="s">
        <v>1042</v>
      </c>
      <c r="F7" s="174" t="s">
        <v>371</v>
      </c>
      <c r="G7" s="174" t="s">
        <v>222</v>
      </c>
      <c r="H7" s="174" t="s">
        <v>222</v>
      </c>
      <c r="I7" s="174" t="s">
        <v>222</v>
      </c>
      <c r="J7" s="174" t="s">
        <v>222</v>
      </c>
      <c r="K7" s="174" t="s">
        <v>302</v>
      </c>
      <c r="L7" s="174" t="s">
        <v>521</v>
      </c>
      <c r="M7" s="174" t="s">
        <v>1142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74" t="s">
        <v>266</v>
      </c>
      <c r="U7" s="174" t="s">
        <v>266</v>
      </c>
      <c r="V7" s="174" t="s">
        <v>266</v>
      </c>
      <c r="W7" s="174" t="s">
        <v>266</v>
      </c>
    </row>
    <row r="8" spans="1:23">
      <c r="A8">
        <v>7</v>
      </c>
      <c r="B8" s="174" t="s">
        <v>1141</v>
      </c>
      <c r="C8" t="s">
        <v>191</v>
      </c>
      <c r="F8" s="174" t="s">
        <v>371</v>
      </c>
      <c r="G8" s="174" t="s">
        <v>222</v>
      </c>
      <c r="H8" s="174" t="s">
        <v>222</v>
      </c>
      <c r="I8" s="174" t="s">
        <v>222</v>
      </c>
      <c r="J8" s="174" t="s">
        <v>222</v>
      </c>
      <c r="K8" s="174" t="s">
        <v>302</v>
      </c>
      <c r="L8" s="174" t="s">
        <v>521</v>
      </c>
      <c r="M8" s="174" t="s">
        <v>1142</v>
      </c>
      <c r="N8">
        <v>0</v>
      </c>
      <c r="O8">
        <v>0</v>
      </c>
      <c r="P8">
        <v>0</v>
      </c>
      <c r="Q8">
        <v>0</v>
      </c>
      <c r="R8">
        <v>0</v>
      </c>
      <c r="S8">
        <v>-200</v>
      </c>
      <c r="T8" s="174" t="s">
        <v>266</v>
      </c>
      <c r="U8" s="174" t="s">
        <v>266</v>
      </c>
      <c r="V8" s="174" t="s">
        <v>266</v>
      </c>
      <c r="W8" s="174" t="s">
        <v>266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8">
        <v>0</v>
      </c>
      <c r="AA1" s="158">
        <v>0</v>
      </c>
      <c r="AB1" s="158">
        <v>0</v>
      </c>
      <c r="AC1" s="158">
        <v>0</v>
      </c>
      <c r="AD1" s="158">
        <v>0</v>
      </c>
      <c r="AE1" s="158">
        <v>0</v>
      </c>
      <c r="AF1" s="159">
        <v>0</v>
      </c>
    </row>
    <row r="2" spans="1:32" ht="15.75" thickBot="1">
      <c r="B2" s="55" t="str">
        <f>CPU!C6</f>
        <v>03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0D</v>
      </c>
      <c r="I2" s="55" t="str">
        <f>PC</f>
        <v>010C</v>
      </c>
      <c r="J2" s="55" t="str">
        <f>SP</f>
        <v>0200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0</v>
      </c>
      <c r="Z3" s="134">
        <v>0</v>
      </c>
      <c r="AA3" s="134">
        <v>0</v>
      </c>
      <c r="AB3" s="134">
        <v>0</v>
      </c>
      <c r="AC3" s="134">
        <v>0</v>
      </c>
      <c r="AD3" s="134">
        <v>0</v>
      </c>
      <c r="AE3" s="134">
        <v>0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8" t="s">
        <v>337</v>
      </c>
      <c r="V5" s="179"/>
      <c r="W5" s="179"/>
      <c r="X5" s="179"/>
      <c r="Y5" s="179"/>
      <c r="Z5" s="179"/>
      <c r="AA5" s="179"/>
      <c r="AB5" s="180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1" t="s">
        <v>1143</v>
      </c>
      <c r="V6" s="181"/>
      <c r="W6" s="181"/>
      <c r="X6" s="181"/>
      <c r="Y6" s="181"/>
      <c r="Z6" s="181"/>
      <c r="AA6" s="181"/>
      <c r="AB6" s="18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2"/>
      <c r="V7" s="182"/>
      <c r="W7" s="182"/>
      <c r="X7" s="182"/>
      <c r="Y7" s="182"/>
      <c r="Z7" s="182"/>
      <c r="AA7" s="182"/>
      <c r="AB7" s="18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2"/>
      <c r="V8" s="182"/>
      <c r="W8" s="182"/>
      <c r="X8" s="182"/>
      <c r="Y8" s="182"/>
      <c r="Z8" s="182"/>
      <c r="AA8" s="182"/>
      <c r="AB8" s="18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2"/>
      <c r="V9" s="182"/>
      <c r="W9" s="182"/>
      <c r="X9" s="182"/>
      <c r="Y9" s="182"/>
      <c r="Z9" s="182"/>
      <c r="AA9" s="182"/>
      <c r="AB9" s="182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2"/>
      <c r="V10" s="182"/>
      <c r="W10" s="182"/>
      <c r="X10" s="182"/>
      <c r="Y10" s="182"/>
      <c r="Z10" s="182"/>
      <c r="AA10" s="182"/>
      <c r="AB10" s="182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2"/>
      <c r="V11" s="182"/>
      <c r="W11" s="182"/>
      <c r="X11" s="182"/>
      <c r="Y11" s="182"/>
      <c r="Z11" s="182"/>
      <c r="AA11" s="182"/>
      <c r="AB11" s="182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2"/>
      <c r="V12" s="182"/>
      <c r="W12" s="182"/>
      <c r="X12" s="182"/>
      <c r="Y12" s="182"/>
      <c r="Z12" s="182"/>
      <c r="AA12" s="182"/>
      <c r="AB12" s="182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2"/>
      <c r="V13" s="182"/>
      <c r="W13" s="182"/>
      <c r="X13" s="182"/>
      <c r="Y13" s="182"/>
      <c r="Z13" s="182"/>
      <c r="AA13" s="182"/>
      <c r="AB13" s="182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2"/>
      <c r="V14" s="182"/>
      <c r="W14" s="182"/>
      <c r="X14" s="182"/>
      <c r="Y14" s="182"/>
      <c r="Z14" s="182"/>
      <c r="AA14" s="182"/>
      <c r="AB14" s="182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2"/>
      <c r="V15" s="182"/>
      <c r="W15" s="182"/>
      <c r="X15" s="182"/>
      <c r="Y15" s="182"/>
      <c r="Z15" s="182"/>
      <c r="AA15" s="182"/>
      <c r="AB15" s="182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2"/>
      <c r="V16" s="182"/>
      <c r="W16" s="182"/>
      <c r="X16" s="182"/>
      <c r="Y16" s="182"/>
      <c r="Z16" s="182"/>
      <c r="AA16" s="182"/>
      <c r="AB16" s="18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2"/>
      <c r="V17" s="182"/>
      <c r="W17" s="182"/>
      <c r="X17" s="182"/>
      <c r="Y17" s="182"/>
      <c r="Z17" s="182"/>
      <c r="AA17" s="182"/>
      <c r="AB17" s="18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2"/>
      <c r="V18" s="182"/>
      <c r="W18" s="182"/>
      <c r="X18" s="182"/>
      <c r="Y18" s="182"/>
      <c r="Z18" s="182"/>
      <c r="AA18" s="182"/>
      <c r="AB18" s="18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2"/>
      <c r="V19" s="182"/>
      <c r="W19" s="182"/>
      <c r="X19" s="182"/>
      <c r="Y19" s="182"/>
      <c r="Z19" s="182"/>
      <c r="AA19" s="182"/>
      <c r="AB19" s="18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2"/>
      <c r="V20" s="182"/>
      <c r="W20" s="182"/>
      <c r="X20" s="182"/>
      <c r="Y20" s="182"/>
      <c r="Z20" s="182"/>
      <c r="AA20" s="182"/>
      <c r="AB20" s="18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2"/>
      <c r="V21" s="182"/>
      <c r="W21" s="182"/>
      <c r="X21" s="182"/>
      <c r="Y21" s="182"/>
      <c r="Z21" s="182"/>
      <c r="AA21" s="182"/>
      <c r="AB21" s="18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2"/>
      <c r="V22" s="182"/>
      <c r="W22" s="182"/>
      <c r="X22" s="182"/>
      <c r="Y22" s="182"/>
      <c r="Z22" s="182"/>
      <c r="AA22" s="182"/>
      <c r="AB22" s="18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2"/>
      <c r="V23" s="182"/>
      <c r="W23" s="182"/>
      <c r="X23" s="182"/>
      <c r="Y23" s="182"/>
      <c r="Z23" s="182"/>
      <c r="AA23" s="182"/>
      <c r="AB23" s="18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2"/>
      <c r="V24" s="182"/>
      <c r="W24" s="182"/>
      <c r="X24" s="182"/>
      <c r="Y24" s="182"/>
      <c r="Z24" s="182"/>
      <c r="AA24" s="182"/>
      <c r="AB24" s="18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2"/>
      <c r="V25" s="182"/>
      <c r="W25" s="182"/>
      <c r="X25" s="182"/>
      <c r="Y25" s="182"/>
      <c r="Z25" s="182"/>
      <c r="AA25" s="182"/>
      <c r="AB25" s="182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2"/>
      <c r="V26" s="182"/>
      <c r="W26" s="182"/>
      <c r="X26" s="182"/>
      <c r="Y26" s="182"/>
      <c r="Z26" s="182"/>
      <c r="AA26" s="182"/>
      <c r="AB26" s="18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2"/>
      <c r="V27" s="182"/>
      <c r="W27" s="182"/>
      <c r="X27" s="182"/>
      <c r="Y27" s="182"/>
      <c r="Z27" s="182"/>
      <c r="AA27" s="182"/>
      <c r="AB27" s="182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2"/>
      <c r="V28" s="182"/>
      <c r="W28" s="182"/>
      <c r="X28" s="182"/>
      <c r="Y28" s="182"/>
      <c r="Z28" s="182"/>
      <c r="AA28" s="182"/>
      <c r="AB28" s="182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2"/>
      <c r="V29" s="182"/>
      <c r="W29" s="182"/>
      <c r="X29" s="182"/>
      <c r="Y29" s="182"/>
      <c r="Z29" s="182"/>
      <c r="AA29" s="182"/>
      <c r="AB29" s="182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2"/>
      <c r="V30" s="182"/>
      <c r="W30" s="182"/>
      <c r="X30" s="182"/>
      <c r="Y30" s="182"/>
      <c r="Z30" s="182"/>
      <c r="AA30" s="182"/>
      <c r="AB30" s="18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2"/>
      <c r="V31" s="182"/>
      <c r="W31" s="182"/>
      <c r="X31" s="182"/>
      <c r="Y31" s="182"/>
      <c r="Z31" s="182"/>
      <c r="AA31" s="182"/>
      <c r="AB31" s="18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2"/>
      <c r="V32" s="182"/>
      <c r="W32" s="182"/>
      <c r="X32" s="182"/>
      <c r="Y32" s="182"/>
      <c r="Z32" s="182"/>
      <c r="AA32" s="182"/>
      <c r="AB32" s="18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2"/>
      <c r="V33" s="182"/>
      <c r="W33" s="182"/>
      <c r="X33" s="182"/>
      <c r="Y33" s="182"/>
      <c r="Z33" s="182"/>
      <c r="AA33" s="182"/>
      <c r="AB33" s="182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2"/>
      <c r="V34" s="182"/>
      <c r="W34" s="182"/>
      <c r="X34" s="182"/>
      <c r="Y34" s="182"/>
      <c r="Z34" s="182"/>
      <c r="AA34" s="182"/>
      <c r="AB34" s="18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2"/>
      <c r="V35" s="182"/>
      <c r="W35" s="182"/>
      <c r="X35" s="182"/>
      <c r="Y35" s="182"/>
      <c r="Z35" s="182"/>
      <c r="AA35" s="182"/>
      <c r="AB35" s="18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101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0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7" t="s">
        <v>143</v>
      </c>
      <c r="C564" s="167" t="s">
        <v>144</v>
      </c>
      <c r="D564" s="168" t="s">
        <v>131</v>
      </c>
      <c r="E564" s="46" t="s">
        <v>149</v>
      </c>
      <c r="F564" s="168" t="s">
        <v>129</v>
      </c>
      <c r="G564" s="168" t="s">
        <v>130</v>
      </c>
      <c r="H564" s="168" t="s">
        <v>252</v>
      </c>
      <c r="I564" s="163" t="s">
        <v>212</v>
      </c>
      <c r="J564" s="158">
        <f ca="1">IFERROR(IF(AND(J565:J573),0,1),0)</f>
        <v>1</v>
      </c>
      <c r="K564" s="169" t="s">
        <v>436</v>
      </c>
      <c r="L564" s="56" t="s">
        <v>1066</v>
      </c>
      <c r="M564" s="170">
        <f>IFERROR(VLOOKUP($A564,$P$6:$S$1048576,3,0),0)</f>
        <v>0</v>
      </c>
      <c r="N564" s="170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1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1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1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1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1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7" t="s">
        <v>143</v>
      </c>
      <c r="C575" s="167" t="s">
        <v>144</v>
      </c>
      <c r="D575" s="168" t="s">
        <v>131</v>
      </c>
      <c r="E575" s="46" t="s">
        <v>149</v>
      </c>
      <c r="F575" s="168" t="s">
        <v>129</v>
      </c>
      <c r="G575" s="168" t="s">
        <v>130</v>
      </c>
      <c r="H575" s="168" t="s">
        <v>252</v>
      </c>
      <c r="I575" s="163" t="s">
        <v>212</v>
      </c>
      <c r="J575" s="158">
        <f ca="1">IFERROR(IF(AND(J576:J584),0,1),0)</f>
        <v>1</v>
      </c>
      <c r="K575" s="169" t="s">
        <v>436</v>
      </c>
      <c r="L575" s="56" t="s">
        <v>1067</v>
      </c>
      <c r="M575" s="170">
        <f>IFERROR(VLOOKUP($A575,$P$6:$S$1048576,3,0),0)</f>
        <v>0</v>
      </c>
      <c r="N575" s="170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1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1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1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1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1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7" t="s">
        <v>143</v>
      </c>
      <c r="C586" s="167" t="s">
        <v>144</v>
      </c>
      <c r="D586" s="168" t="s">
        <v>131</v>
      </c>
      <c r="E586" s="46" t="s">
        <v>149</v>
      </c>
      <c r="F586" s="168" t="s">
        <v>129</v>
      </c>
      <c r="G586" s="168" t="s">
        <v>130</v>
      </c>
      <c r="H586" s="168" t="s">
        <v>252</v>
      </c>
      <c r="I586" s="163" t="s">
        <v>212</v>
      </c>
      <c r="J586" s="158">
        <f ca="1">IFERROR(IF(AND(J587:J591),0,1),0)</f>
        <v>1</v>
      </c>
      <c r="K586" s="169" t="s">
        <v>436</v>
      </c>
      <c r="L586" s="56" t="s">
        <v>1069</v>
      </c>
      <c r="M586" s="170">
        <f>IFERROR(VLOOKUP($A586,$P$6:$S$1048576,3,0),0)</f>
        <v>0</v>
      </c>
      <c r="N586" s="170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1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1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1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1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1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7" t="s">
        <v>143</v>
      </c>
      <c r="C593" s="167" t="s">
        <v>144</v>
      </c>
      <c r="D593" s="168" t="s">
        <v>131</v>
      </c>
      <c r="E593" s="46" t="s">
        <v>149</v>
      </c>
      <c r="F593" s="168" t="s">
        <v>129</v>
      </c>
      <c r="G593" s="168" t="s">
        <v>130</v>
      </c>
      <c r="H593" s="168" t="s">
        <v>252</v>
      </c>
      <c r="I593" s="163" t="s">
        <v>212</v>
      </c>
      <c r="J593" s="158">
        <f ca="1">IFERROR(IF(AND(J594:J598),0,1),0)</f>
        <v>1</v>
      </c>
      <c r="K593" s="169" t="s">
        <v>436</v>
      </c>
      <c r="L593" s="56" t="s">
        <v>1070</v>
      </c>
      <c r="M593" s="170">
        <f>IFERROR(VLOOKUP($A593,$P$6:$S$1048576,3,0),0)</f>
        <v>0</v>
      </c>
      <c r="N593" s="170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1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1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1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1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1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7" t="s">
        <v>143</v>
      </c>
      <c r="C600" s="167" t="s">
        <v>144</v>
      </c>
      <c r="D600" s="168" t="s">
        <v>131</v>
      </c>
      <c r="E600" s="46" t="s">
        <v>149</v>
      </c>
      <c r="F600" s="168" t="s">
        <v>129</v>
      </c>
      <c r="G600" s="168" t="s">
        <v>130</v>
      </c>
      <c r="H600" s="168" t="s">
        <v>252</v>
      </c>
      <c r="I600" s="163" t="s">
        <v>212</v>
      </c>
      <c r="J600" s="158">
        <f ca="1">IFERROR(IF(AND(J601:J605),0,1),0)</f>
        <v>1</v>
      </c>
      <c r="K600" s="169" t="s">
        <v>436</v>
      </c>
      <c r="L600" s="56" t="s">
        <v>1101</v>
      </c>
      <c r="M600" s="170">
        <f>IFERROR(VLOOKUP($A600,$P$6:$S$1048576,3,0),0)</f>
        <v>0</v>
      </c>
      <c r="N600" s="170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1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1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1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1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1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7" t="s">
        <v>143</v>
      </c>
      <c r="C607" s="167" t="s">
        <v>144</v>
      </c>
      <c r="D607" s="168" t="s">
        <v>131</v>
      </c>
      <c r="E607" s="46" t="s">
        <v>149</v>
      </c>
      <c r="F607" s="168" t="s">
        <v>129</v>
      </c>
      <c r="G607" s="168" t="s">
        <v>130</v>
      </c>
      <c r="H607" s="168" t="s">
        <v>252</v>
      </c>
      <c r="I607" s="163" t="s">
        <v>212</v>
      </c>
      <c r="J607" s="158">
        <f ca="1">IFERROR(IF(AND(J608:J612),0,1),0)</f>
        <v>1</v>
      </c>
      <c r="K607" s="169" t="s">
        <v>436</v>
      </c>
      <c r="L607" s="56" t="s">
        <v>1102</v>
      </c>
      <c r="M607" s="170">
        <f>IFERROR(VLOOKUP($A607,$P$6:$S$1048576,3,0),0)</f>
        <v>0</v>
      </c>
      <c r="N607" s="170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1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1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1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1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1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7" t="s">
        <v>143</v>
      </c>
      <c r="C614" s="167" t="s">
        <v>144</v>
      </c>
      <c r="D614" s="168" t="s">
        <v>131</v>
      </c>
      <c r="E614" s="46" t="s">
        <v>149</v>
      </c>
      <c r="F614" s="168" t="s">
        <v>129</v>
      </c>
      <c r="G614" s="168" t="s">
        <v>130</v>
      </c>
      <c r="H614" s="168" t="s">
        <v>252</v>
      </c>
      <c r="I614" s="163" t="s">
        <v>212</v>
      </c>
      <c r="J614" s="158">
        <f ca="1">IFERROR(IF(AND(J615:J619),0,1),0)</f>
        <v>1</v>
      </c>
      <c r="K614" s="169" t="s">
        <v>436</v>
      </c>
      <c r="L614" s="56" t="s">
        <v>1104</v>
      </c>
      <c r="M614" s="170">
        <f>IFERROR(VLOOKUP($A614,$P$6:$S$1048576,3,0),0)</f>
        <v>0</v>
      </c>
      <c r="N614" s="170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1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1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1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1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1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7" t="s">
        <v>143</v>
      </c>
      <c r="C621" s="167" t="s">
        <v>144</v>
      </c>
      <c r="D621" s="168" t="s">
        <v>131</v>
      </c>
      <c r="E621" s="46" t="s">
        <v>149</v>
      </c>
      <c r="F621" s="168" t="s">
        <v>129</v>
      </c>
      <c r="G621" s="168" t="s">
        <v>130</v>
      </c>
      <c r="H621" s="168" t="s">
        <v>252</v>
      </c>
      <c r="I621" s="163" t="s">
        <v>212</v>
      </c>
      <c r="J621" s="158">
        <f ca="1">IFERROR(IF(AND(J622:J627),0,1),0)</f>
        <v>1</v>
      </c>
      <c r="K621" s="169" t="s">
        <v>436</v>
      </c>
      <c r="L621" s="56" t="s">
        <v>1106</v>
      </c>
      <c r="M621" s="170">
        <f>IFERROR(VLOOKUP($A621,$P$6:$S$1048576,3,0),0)</f>
        <v>0</v>
      </c>
      <c r="N621" s="170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1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1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1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1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1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1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7" t="s">
        <v>143</v>
      </c>
      <c r="C629" s="167" t="s">
        <v>144</v>
      </c>
      <c r="D629" s="168" t="s">
        <v>131</v>
      </c>
      <c r="E629" s="46" t="s">
        <v>149</v>
      </c>
      <c r="F629" s="168" t="s">
        <v>129</v>
      </c>
      <c r="G629" s="168" t="s">
        <v>130</v>
      </c>
      <c r="H629" s="168" t="s">
        <v>252</v>
      </c>
      <c r="I629" s="163" t="s">
        <v>212</v>
      </c>
      <c r="J629" s="158">
        <f ca="1">IFERROR(IF(AND(J630:J635),0,1),0)</f>
        <v>1</v>
      </c>
      <c r="K629" s="169" t="s">
        <v>436</v>
      </c>
      <c r="L629" s="56" t="s">
        <v>1107</v>
      </c>
      <c r="M629" s="170">
        <f>IFERROR(VLOOKUP($A629,$P$6:$S$1048576,3,0),0)</f>
        <v>0</v>
      </c>
      <c r="N629" s="170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1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1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1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1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1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1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7" t="s">
        <v>143</v>
      </c>
      <c r="C637" s="167" t="s">
        <v>144</v>
      </c>
      <c r="D637" s="168" t="s">
        <v>131</v>
      </c>
      <c r="E637" s="46" t="s">
        <v>149</v>
      </c>
      <c r="F637" s="168" t="s">
        <v>129</v>
      </c>
      <c r="G637" s="168" t="s">
        <v>130</v>
      </c>
      <c r="H637" s="168" t="s">
        <v>252</v>
      </c>
      <c r="I637" s="163" t="s">
        <v>212</v>
      </c>
      <c r="J637" s="158">
        <f ca="1">IFERROR(IF(AND(J638:J647),0,1),0)</f>
        <v>1</v>
      </c>
      <c r="K637" s="169" t="s">
        <v>436</v>
      </c>
      <c r="L637" s="56" t="s">
        <v>1109</v>
      </c>
      <c r="M637" s="170">
        <f>IFERROR(VLOOKUP($A637,$P$6:$S$1048576,3,0),0)</f>
        <v>0</v>
      </c>
      <c r="N637" s="170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1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1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1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1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1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1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1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1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7" t="s">
        <v>143</v>
      </c>
      <c r="C647" s="167" t="s">
        <v>144</v>
      </c>
      <c r="D647" s="168" t="s">
        <v>131</v>
      </c>
      <c r="E647" s="46" t="s">
        <v>149</v>
      </c>
      <c r="F647" s="168" t="s">
        <v>129</v>
      </c>
      <c r="G647" s="168" t="s">
        <v>130</v>
      </c>
      <c r="H647" s="168" t="s">
        <v>252</v>
      </c>
      <c r="I647" s="163" t="s">
        <v>212</v>
      </c>
      <c r="J647" s="158">
        <f ca="1">IFERROR(IF(AND(J648:J653),0,1),0)</f>
        <v>1</v>
      </c>
      <c r="K647" s="169" t="s">
        <v>436</v>
      </c>
      <c r="L647" s="56" t="s">
        <v>1111</v>
      </c>
      <c r="M647" s="170">
        <f>IFERROR(VLOOKUP($A647,$P$6:$S$1048576,3,0),0)</f>
        <v>0</v>
      </c>
      <c r="N647" s="170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1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1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1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1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1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1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7" t="s">
        <v>143</v>
      </c>
      <c r="C655" s="167" t="s">
        <v>144</v>
      </c>
      <c r="D655" s="168" t="s">
        <v>131</v>
      </c>
      <c r="E655" s="46" t="s">
        <v>149</v>
      </c>
      <c r="F655" s="168" t="s">
        <v>129</v>
      </c>
      <c r="G655" s="168" t="s">
        <v>130</v>
      </c>
      <c r="H655" s="168" t="s">
        <v>252</v>
      </c>
      <c r="I655" s="163" t="s">
        <v>212</v>
      </c>
      <c r="J655" s="158">
        <f ca="1">IFERROR(IF(AND(J656:J661),0,1),0)</f>
        <v>1</v>
      </c>
      <c r="K655" s="169" t="s">
        <v>436</v>
      </c>
      <c r="L655" s="56" t="s">
        <v>1112</v>
      </c>
      <c r="M655" s="170">
        <f>IFERROR(VLOOKUP($A655,$P$6:$S$1048576,3,0),0)</f>
        <v>0</v>
      </c>
      <c r="N655" s="170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1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1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1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1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1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1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7" t="s">
        <v>143</v>
      </c>
      <c r="C663" s="167" t="s">
        <v>144</v>
      </c>
      <c r="D663" s="168" t="s">
        <v>131</v>
      </c>
      <c r="E663" s="46" t="s">
        <v>149</v>
      </c>
      <c r="F663" s="168" t="s">
        <v>129</v>
      </c>
      <c r="G663" s="168" t="s">
        <v>130</v>
      </c>
      <c r="H663" s="168" t="s">
        <v>252</v>
      </c>
      <c r="I663" s="163" t="s">
        <v>212</v>
      </c>
      <c r="J663" s="158">
        <f ca="1">IFERROR(IF(AND(J664:J670),0,1),0)</f>
        <v>1</v>
      </c>
      <c r="K663" s="169" t="s">
        <v>436</v>
      </c>
      <c r="L663" s="56" t="s">
        <v>1113</v>
      </c>
      <c r="M663" s="170">
        <f>IFERROR(VLOOKUP($A663,$P$6:$S$1048576,3,0),0)</f>
        <v>0</v>
      </c>
      <c r="N663" s="170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1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1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1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1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1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1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1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7" t="s">
        <v>143</v>
      </c>
      <c r="C672" s="167" t="s">
        <v>144</v>
      </c>
      <c r="D672" s="168" t="s">
        <v>131</v>
      </c>
      <c r="E672" s="46" t="s">
        <v>149</v>
      </c>
      <c r="F672" s="168" t="s">
        <v>129</v>
      </c>
      <c r="G672" s="168" t="s">
        <v>130</v>
      </c>
      <c r="H672" s="168" t="s">
        <v>252</v>
      </c>
      <c r="I672" s="163" t="s">
        <v>212</v>
      </c>
      <c r="J672" s="158">
        <f ca="1">IFERROR(IF(AND(J673:J679),0,1),0)</f>
        <v>1</v>
      </c>
      <c r="K672" s="169" t="s">
        <v>436</v>
      </c>
      <c r="L672" s="56" t="s">
        <v>1114</v>
      </c>
      <c r="M672" s="170">
        <f>IFERROR(VLOOKUP($A672,$P$6:$S$1048576,3,0),0)</f>
        <v>0</v>
      </c>
      <c r="N672" s="170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1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1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1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1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1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1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1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7" t="s">
        <v>143</v>
      </c>
      <c r="C681" s="167" t="s">
        <v>144</v>
      </c>
      <c r="D681" s="168" t="s">
        <v>131</v>
      </c>
      <c r="E681" s="46" t="s">
        <v>149</v>
      </c>
      <c r="F681" s="168" t="s">
        <v>129</v>
      </c>
      <c r="G681" s="168" t="s">
        <v>130</v>
      </c>
      <c r="H681" s="168" t="s">
        <v>252</v>
      </c>
      <c r="I681" s="163" t="s">
        <v>212</v>
      </c>
      <c r="J681" s="158">
        <f ca="1">IFERROR(IF(AND(J682:J688),0,1),0)</f>
        <v>1</v>
      </c>
      <c r="K681" s="169" t="s">
        <v>436</v>
      </c>
      <c r="L681" s="56" t="s">
        <v>1115</v>
      </c>
      <c r="M681" s="170">
        <f>IFERROR(VLOOKUP($A681,$P$6:$S$1048576,3,0),0)</f>
        <v>0</v>
      </c>
      <c r="N681" s="170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1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1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1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1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1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1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1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7" t="s">
        <v>143</v>
      </c>
      <c r="C690" s="167" t="s">
        <v>144</v>
      </c>
      <c r="D690" s="168" t="s">
        <v>131</v>
      </c>
      <c r="E690" s="46" t="s">
        <v>149</v>
      </c>
      <c r="F690" s="168" t="s">
        <v>129</v>
      </c>
      <c r="G690" s="168" t="s">
        <v>130</v>
      </c>
      <c r="H690" s="168" t="s">
        <v>252</v>
      </c>
      <c r="I690" s="163" t="s">
        <v>212</v>
      </c>
      <c r="J690" s="158">
        <f ca="1">IFERROR(IF(AND(J691:J697),0,1),0)</f>
        <v>1</v>
      </c>
      <c r="K690" s="169" t="s">
        <v>436</v>
      </c>
      <c r="L690" s="56" t="s">
        <v>1117</v>
      </c>
      <c r="M690" s="170">
        <f>IFERROR(VLOOKUP($A690,$P$6:$S$1048576,3,0),0)</f>
        <v>0</v>
      </c>
      <c r="N690" s="170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1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1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1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1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1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1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1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7" t="s">
        <v>143</v>
      </c>
      <c r="C699" s="167" t="s">
        <v>144</v>
      </c>
      <c r="D699" s="168" t="s">
        <v>131</v>
      </c>
      <c r="E699" s="46" t="s">
        <v>149</v>
      </c>
      <c r="F699" s="168" t="s">
        <v>129</v>
      </c>
      <c r="G699" s="168" t="s">
        <v>130</v>
      </c>
      <c r="H699" s="168" t="s">
        <v>252</v>
      </c>
      <c r="I699" s="163" t="s">
        <v>212</v>
      </c>
      <c r="J699" s="158">
        <f ca="1">IFERROR(IF(AND(J700:J706),0,1),0)</f>
        <v>1</v>
      </c>
      <c r="K699" s="169" t="s">
        <v>436</v>
      </c>
      <c r="L699" s="56" t="s">
        <v>1118</v>
      </c>
      <c r="M699" s="170">
        <f>IFERROR(VLOOKUP($A699,$P$6:$S$1048576,3,0),0)</f>
        <v>0</v>
      </c>
      <c r="N699" s="170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1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1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1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1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1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1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1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7" t="s">
        <v>143</v>
      </c>
      <c r="C708" s="167" t="s">
        <v>144</v>
      </c>
      <c r="D708" s="168" t="s">
        <v>131</v>
      </c>
      <c r="E708" s="46" t="s">
        <v>149</v>
      </c>
      <c r="F708" s="168" t="s">
        <v>129</v>
      </c>
      <c r="G708" s="168" t="s">
        <v>130</v>
      </c>
      <c r="H708" s="168" t="s">
        <v>252</v>
      </c>
      <c r="I708" s="163" t="s">
        <v>212</v>
      </c>
      <c r="J708" s="158">
        <f ca="1">IFERROR(IF(AND(J709:J715),0,1),0)</f>
        <v>1</v>
      </c>
      <c r="K708" s="169" t="s">
        <v>436</v>
      </c>
      <c r="L708" s="56" t="s">
        <v>1119</v>
      </c>
      <c r="M708" s="170">
        <f>IFERROR(VLOOKUP($A708,$P$6:$S$1048576,3,0),0)</f>
        <v>0</v>
      </c>
      <c r="N708" s="170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1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1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1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1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1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1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1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7" t="s">
        <v>143</v>
      </c>
      <c r="C717" s="167" t="s">
        <v>144</v>
      </c>
      <c r="D717" s="168" t="s">
        <v>131</v>
      </c>
      <c r="E717" s="46" t="s">
        <v>149</v>
      </c>
      <c r="F717" s="168" t="s">
        <v>129</v>
      </c>
      <c r="G717" s="168" t="s">
        <v>130</v>
      </c>
      <c r="H717" s="168" t="s">
        <v>252</v>
      </c>
      <c r="I717" s="163" t="s">
        <v>212</v>
      </c>
      <c r="J717" s="158">
        <f ca="1">IFERROR(IF(AND(J718:J724),0,1),0)</f>
        <v>1</v>
      </c>
      <c r="K717" s="169" t="s">
        <v>436</v>
      </c>
      <c r="L717" s="56" t="s">
        <v>1120</v>
      </c>
      <c r="M717" s="170">
        <f>IFERROR(VLOOKUP($A717,$P$6:$S$1048576,3,0),0)</f>
        <v>0</v>
      </c>
      <c r="N717" s="170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1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1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1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1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1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1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1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7" t="s">
        <v>143</v>
      </c>
      <c r="C726" s="167" t="s">
        <v>144</v>
      </c>
      <c r="D726" s="168" t="s">
        <v>131</v>
      </c>
      <c r="E726" s="46" t="s">
        <v>149</v>
      </c>
      <c r="F726" s="168" t="s">
        <v>129</v>
      </c>
      <c r="G726" s="168" t="s">
        <v>130</v>
      </c>
      <c r="H726" s="168" t="s">
        <v>252</v>
      </c>
      <c r="I726" s="163" t="s">
        <v>212</v>
      </c>
      <c r="J726" s="158">
        <f ca="1">IFERROR(IF(AND(J727:J733),0,1),0)</f>
        <v>1</v>
      </c>
      <c r="K726" s="169" t="s">
        <v>436</v>
      </c>
      <c r="L726" s="56" t="s">
        <v>1121</v>
      </c>
      <c r="M726" s="170">
        <f>IFERROR(VLOOKUP($A726,$P$6:$S$1048576,3,0),0)</f>
        <v>0</v>
      </c>
      <c r="N726" s="170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1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1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1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1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1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1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1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7" t="s">
        <v>143</v>
      </c>
      <c r="C735" s="167" t="s">
        <v>144</v>
      </c>
      <c r="D735" s="168" t="s">
        <v>131</v>
      </c>
      <c r="E735" s="46" t="s">
        <v>149</v>
      </c>
      <c r="F735" s="168" t="s">
        <v>129</v>
      </c>
      <c r="G735" s="168" t="s">
        <v>130</v>
      </c>
      <c r="H735" s="168" t="s">
        <v>252</v>
      </c>
      <c r="I735" s="163" t="s">
        <v>212</v>
      </c>
      <c r="J735" s="158">
        <f ca="1">IFERROR(IF(AND(J736:J742),0,1),0)</f>
        <v>1</v>
      </c>
      <c r="K735" s="169" t="s">
        <v>436</v>
      </c>
      <c r="L735" s="56" t="s">
        <v>1122</v>
      </c>
      <c r="M735" s="170">
        <f>IFERROR(VLOOKUP($A735,$P$6:$S$1048576,3,0),0)</f>
        <v>0</v>
      </c>
      <c r="N735" s="170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1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1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1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1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1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1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1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7" t="s">
        <v>143</v>
      </c>
      <c r="C744" s="167" t="s">
        <v>144</v>
      </c>
      <c r="D744" s="168" t="s">
        <v>131</v>
      </c>
      <c r="E744" s="46" t="s">
        <v>149</v>
      </c>
      <c r="F744" s="168" t="s">
        <v>129</v>
      </c>
      <c r="G744" s="168" t="s">
        <v>130</v>
      </c>
      <c r="H744" s="168" t="s">
        <v>252</v>
      </c>
      <c r="I744" s="163" t="s">
        <v>212</v>
      </c>
      <c r="J744" s="158">
        <f ca="1">IFERROR(IF(AND(J745:J751),0,1),0)</f>
        <v>0</v>
      </c>
      <c r="K744" s="169" t="s">
        <v>436</v>
      </c>
      <c r="L744" s="56" t="s">
        <v>1124</v>
      </c>
      <c r="M744" s="170">
        <f>IFERROR(VLOOKUP($A744,$P$6:$S$1048576,3,0),0)</f>
        <v>0</v>
      </c>
      <c r="N744" s="170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1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1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1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1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1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1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1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1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7" t="s">
        <v>143</v>
      </c>
      <c r="C753" s="167" t="s">
        <v>144</v>
      </c>
      <c r="D753" s="168" t="s">
        <v>131</v>
      </c>
      <c r="E753" s="46" t="s">
        <v>149</v>
      </c>
      <c r="F753" s="168" t="s">
        <v>129</v>
      </c>
      <c r="G753" s="168" t="s">
        <v>130</v>
      </c>
      <c r="H753" s="168" t="s">
        <v>252</v>
      </c>
      <c r="I753" s="163" t="s">
        <v>212</v>
      </c>
      <c r="J753" s="158">
        <f ca="1">IFERROR(IF(AND(J754:J760),0,1),0)</f>
        <v>1</v>
      </c>
      <c r="K753" s="169" t="s">
        <v>436</v>
      </c>
      <c r="L753" s="56" t="s">
        <v>1125</v>
      </c>
      <c r="M753" s="170">
        <f>IFERROR(VLOOKUP($A753,$P$6:$S$1048576,3,0),0)</f>
        <v>0</v>
      </c>
      <c r="N753" s="170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1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1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1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1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1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1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1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7" t="s">
        <v>143</v>
      </c>
      <c r="C762" s="167" t="s">
        <v>144</v>
      </c>
      <c r="D762" s="168" t="s">
        <v>131</v>
      </c>
      <c r="E762" s="46" t="s">
        <v>149</v>
      </c>
      <c r="F762" s="168" t="s">
        <v>129</v>
      </c>
      <c r="G762" s="168" t="s">
        <v>130</v>
      </c>
      <c r="H762" s="168" t="s">
        <v>252</v>
      </c>
      <c r="I762" s="163" t="s">
        <v>212</v>
      </c>
      <c r="J762" s="158">
        <f ca="1">IFERROR(IF(AND(J763:J768),0,1),0)</f>
        <v>1</v>
      </c>
      <c r="K762" s="169" t="s">
        <v>436</v>
      </c>
      <c r="L762" s="56" t="s">
        <v>1126</v>
      </c>
      <c r="M762" s="170">
        <f>IFERROR(VLOOKUP($A762,$P$6:$S$1048576,3,0),0)</f>
        <v>0</v>
      </c>
      <c r="N762" s="170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1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1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1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1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1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1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7" t="s">
        <v>143</v>
      </c>
      <c r="C770" s="167" t="s">
        <v>144</v>
      </c>
      <c r="D770" s="168" t="s">
        <v>131</v>
      </c>
      <c r="E770" s="46" t="s">
        <v>149</v>
      </c>
      <c r="F770" s="168" t="s">
        <v>129</v>
      </c>
      <c r="G770" s="168" t="s">
        <v>130</v>
      </c>
      <c r="H770" s="168" t="s">
        <v>252</v>
      </c>
      <c r="I770" s="163" t="s">
        <v>212</v>
      </c>
      <c r="J770" s="158">
        <f ca="1">IFERROR(IF(AND(J771:J780),0,1),0)</f>
        <v>1</v>
      </c>
      <c r="K770" s="169" t="s">
        <v>436</v>
      </c>
      <c r="L770" s="56" t="s">
        <v>1127</v>
      </c>
      <c r="M770" s="170">
        <f>IFERROR(VLOOKUP($A770,$P$6:$S$1048576,3,0),0)</f>
        <v>0</v>
      </c>
      <c r="N770" s="170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1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1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1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1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1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1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1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1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1" t="s">
        <v>114</v>
      </c>
      <c r="G779" s="100"/>
      <c r="H779" s="6" t="s">
        <v>114</v>
      </c>
      <c r="I779" s="172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1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7" t="s">
        <v>143</v>
      </c>
      <c r="C782" s="167" t="s">
        <v>144</v>
      </c>
      <c r="D782" s="168" t="s">
        <v>131</v>
      </c>
      <c r="E782" s="46" t="s">
        <v>149</v>
      </c>
      <c r="F782" s="168" t="s">
        <v>129</v>
      </c>
      <c r="G782" s="168" t="s">
        <v>130</v>
      </c>
      <c r="H782" s="168" t="s">
        <v>252</v>
      </c>
      <c r="I782" s="163" t="s">
        <v>212</v>
      </c>
      <c r="J782" s="158">
        <f ca="1">IFERROR(IF(AND(J783:J791),0,1),0)</f>
        <v>1</v>
      </c>
      <c r="K782" s="169" t="s">
        <v>436</v>
      </c>
      <c r="L782" s="56" t="s">
        <v>1128</v>
      </c>
      <c r="M782" s="170">
        <f>IFERROR(VLOOKUP($A782,$P$6:$S$1048576,3,0),0)</f>
        <v>0</v>
      </c>
      <c r="N782" s="170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1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1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1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1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1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1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1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1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1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7" t="s">
        <v>143</v>
      </c>
      <c r="C793" s="167" t="s">
        <v>144</v>
      </c>
      <c r="D793" s="168" t="s">
        <v>131</v>
      </c>
      <c r="E793" s="46" t="s">
        <v>149</v>
      </c>
      <c r="F793" s="168" t="s">
        <v>129</v>
      </c>
      <c r="G793" s="168" t="s">
        <v>130</v>
      </c>
      <c r="H793" s="168" t="s">
        <v>252</v>
      </c>
      <c r="I793" s="163" t="s">
        <v>212</v>
      </c>
      <c r="J793" s="158">
        <f ca="1">IFERROR(IF(AND(J794:J799),0,1),0)</f>
        <v>1</v>
      </c>
      <c r="K793" s="169" t="s">
        <v>436</v>
      </c>
      <c r="L793" s="56" t="s">
        <v>1129</v>
      </c>
      <c r="M793" s="170">
        <f>IFERROR(VLOOKUP($A793,$P$6:$S$1048576,3,0),0)</f>
        <v>0</v>
      </c>
      <c r="N793" s="170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1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1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1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1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1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1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27" activePane="bottomRight" state="frozen"/>
      <selection pane="topRight" activeCell="C1" sqref="C1"/>
      <selection pane="bottomLeft" activeCell="A2" sqref="A2"/>
      <selection pane="bottomRight" activeCell="A253" sqref="A25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  <row r="252" spans="1:8">
      <c r="A252" s="6" t="s">
        <v>1116</v>
      </c>
      <c r="B252" s="55" t="s">
        <v>1039</v>
      </c>
      <c r="C252" s="55">
        <f t="shared" ref="C252" si="9">COUNTA(D252:E252)</f>
        <v>1</v>
      </c>
      <c r="D252" s="6" t="s">
        <v>496</v>
      </c>
      <c r="E252" s="6"/>
      <c r="F252" s="6">
        <v>1</v>
      </c>
      <c r="G252" s="6">
        <v>10</v>
      </c>
      <c r="H252" s="6" t="s">
        <v>1130</v>
      </c>
    </row>
    <row r="253" spans="1:8">
      <c r="A253" s="6" t="s">
        <v>1123</v>
      </c>
      <c r="B253" s="55" t="s">
        <v>1131</v>
      </c>
      <c r="C253" s="55">
        <f t="shared" ref="C253" si="10">COUNTA(D253:E253)</f>
        <v>1</v>
      </c>
      <c r="D253" s="6" t="s">
        <v>496</v>
      </c>
      <c r="E253" s="6"/>
      <c r="F253" s="6">
        <v>1</v>
      </c>
      <c r="G253" s="6">
        <v>10</v>
      </c>
      <c r="H253" s="6" t="s">
        <v>1132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83" t="s">
        <v>1031</v>
      </c>
      <c r="B1" s="184"/>
      <c r="C1" s="184"/>
      <c r="D1" s="185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83" t="s">
        <v>1032</v>
      </c>
      <c r="B24" s="184"/>
      <c r="C24" s="184"/>
      <c r="D24" s="185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83" t="s">
        <v>1041</v>
      </c>
      <c r="B49" s="184"/>
      <c r="C49" s="184"/>
      <c r="D49" s="185"/>
    </row>
    <row r="50" spans="1:4">
      <c r="A50" s="95"/>
      <c r="B50" s="96" t="s">
        <v>296</v>
      </c>
      <c r="C50" s="156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6" t="s">
        <v>1040</v>
      </c>
      <c r="D51" s="98"/>
    </row>
    <row r="52" spans="1:4">
      <c r="A52" s="95"/>
      <c r="B52" s="96" t="s">
        <v>879</v>
      </c>
      <c r="C52" s="156" t="s">
        <v>1039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83" t="s">
        <v>1046</v>
      </c>
      <c r="B56" s="184"/>
      <c r="C56" s="184"/>
      <c r="D56" s="185"/>
    </row>
    <row r="57" spans="1:4">
      <c r="A57" s="95"/>
      <c r="B57" s="96" t="s">
        <v>1026</v>
      </c>
      <c r="C57" s="156" t="s">
        <v>1044</v>
      </c>
      <c r="D57" s="98"/>
    </row>
    <row r="58" spans="1:4">
      <c r="A58" s="95" t="s">
        <v>1042</v>
      </c>
      <c r="B58" s="96" t="s">
        <v>165</v>
      </c>
      <c r="C58" s="156" t="s">
        <v>1045</v>
      </c>
      <c r="D58" s="98"/>
    </row>
    <row r="59" spans="1:4">
      <c r="A59" s="95"/>
      <c r="B59" s="96" t="s">
        <v>296</v>
      </c>
      <c r="C59" s="156" t="s">
        <v>310</v>
      </c>
      <c r="D59" s="98" t="s">
        <v>1038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1039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1042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1038</v>
      </c>
      <c r="B67" s="96" t="s">
        <v>299</v>
      </c>
      <c r="C67" s="156" t="s">
        <v>1043</v>
      </c>
      <c r="D67" s="98"/>
    </row>
    <row r="68" spans="1:4" ht="15.75" thickBot="1"/>
    <row r="69" spans="1:4" ht="15.75" thickBot="1">
      <c r="A69" s="183" t="s">
        <v>1049</v>
      </c>
      <c r="B69" s="184"/>
      <c r="C69" s="184"/>
      <c r="D69" s="185"/>
    </row>
    <row r="70" spans="1:4">
      <c r="A70" s="95"/>
      <c r="B70" s="96" t="s">
        <v>296</v>
      </c>
      <c r="C70" s="156" t="s">
        <v>310</v>
      </c>
      <c r="D70" s="98" t="s">
        <v>1047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1039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1038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1047</v>
      </c>
      <c r="B78" s="96" t="s">
        <v>1048</v>
      </c>
      <c r="C78" s="156">
        <v>50</v>
      </c>
      <c r="D78" s="98"/>
    </row>
    <row r="79" spans="1:4">
      <c r="A79" s="95" t="s">
        <v>1038</v>
      </c>
      <c r="B79" s="96" t="s">
        <v>299</v>
      </c>
      <c r="C79" s="156" t="s">
        <v>1050</v>
      </c>
      <c r="D79" s="98"/>
    </row>
    <row r="80" spans="1:4" ht="15.75" thickBot="1"/>
    <row r="81" spans="1:4" ht="15.75" thickBot="1">
      <c r="A81" s="183" t="s">
        <v>1064</v>
      </c>
      <c r="B81" s="184"/>
      <c r="C81" s="184"/>
      <c r="D81" s="185"/>
    </row>
    <row r="82" spans="1:4">
      <c r="A82" s="95" t="s">
        <v>1059</v>
      </c>
      <c r="B82" s="96" t="s">
        <v>879</v>
      </c>
      <c r="C82" s="156" t="s">
        <v>1039</v>
      </c>
      <c r="D82" s="98"/>
    </row>
    <row r="83" spans="1:4">
      <c r="A83" s="95"/>
      <c r="B83" s="96" t="s">
        <v>296</v>
      </c>
      <c r="C83" s="156" t="s">
        <v>310</v>
      </c>
      <c r="D83" s="98" t="s">
        <v>1060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1051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1058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1057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1058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1057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1056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1051</v>
      </c>
      <c r="B108" s="96" t="s">
        <v>296</v>
      </c>
      <c r="C108" s="156" t="s">
        <v>310</v>
      </c>
      <c r="D108" s="98" t="s">
        <v>1061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1060</v>
      </c>
      <c r="B112" s="96" t="s">
        <v>299</v>
      </c>
      <c r="C112" s="156" t="s">
        <v>1062</v>
      </c>
      <c r="D112" s="98"/>
    </row>
    <row r="113" spans="1:4">
      <c r="A113" s="95" t="s">
        <v>1061</v>
      </c>
      <c r="B113" s="96" t="s">
        <v>299</v>
      </c>
      <c r="C113" s="156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90</vt:i4>
      </vt:variant>
    </vt:vector>
  </HeadingPairs>
  <TitlesOfParts>
    <vt:vector size="97" baseType="lpstr">
      <vt:lpstr>CPU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2026-03-02T22:31:32Z</dcterms:modified>
</cp:coreProperties>
</file>