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C3B44781-162B-42DD-839C-FEAF72A47E95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S35" i="2" a="1"/>
  <c r="S34" i="2" a="1"/>
  <c r="S33" i="2" a="1"/>
  <c r="S31" i="2" a="1"/>
  <c r="S30" i="2" a="1"/>
  <c r="S27" i="2" a="1"/>
  <c r="S29" i="2" a="1"/>
  <c r="S28" i="2" a="1"/>
  <c r="S25" i="2" a="1"/>
  <c r="S26" i="2" a="1"/>
  <c r="S23" i="2" a="1"/>
  <c r="S20" i="2" a="1"/>
  <c r="S19" i="2" a="1"/>
  <c r="S18" i="2" a="1"/>
  <c r="S24" i="2" a="1"/>
  <c r="AB28" i="2" a="1"/>
  <c r="AB27" i="2" a="1"/>
  <c r="AB26" i="2" a="1"/>
  <c r="AB25" i="2" a="1"/>
  <c r="AB24" i="2" a="1"/>
  <c r="AB23" i="2" a="1"/>
  <c r="AB22" i="2" a="1"/>
  <c r="AB21" i="2" a="1"/>
  <c r="AB20" i="2" a="1"/>
  <c r="AB19" i="2" a="1"/>
  <c r="AB18" i="2" a="1"/>
  <c r="AB17" i="2" a="1"/>
  <c r="AB16" i="2" a="1"/>
  <c r="AB15" i="2" a="1"/>
  <c r="S21" i="2" a="1"/>
  <c r="S22" i="2" a="1"/>
  <c r="S17" i="2" a="1"/>
  <c r="S16" i="2" a="1"/>
  <c r="S15" i="2" a="1"/>
  <c r="S11" i="2" a="1"/>
  <c r="S13" i="2" a="1"/>
  <c r="S14" i="2" a="1"/>
  <c r="S8" i="2" a="1"/>
  <c r="S12" i="2" a="1"/>
  <c r="S9" i="2" a="1"/>
  <c r="S10" i="2" a="1"/>
  <c r="J185" i="5" a="1"/>
  <c r="J286" i="5" a="1"/>
  <c r="J755" i="5" a="1"/>
  <c r="J396" i="5" a="1"/>
  <c r="J802" i="5" a="1"/>
  <c r="J314" i="5" a="1"/>
  <c r="J394" i="5" a="1"/>
  <c r="J226" i="5" a="1"/>
  <c r="J179" i="5" a="1"/>
  <c r="J291" i="5" a="1"/>
  <c r="J645" i="5" a="1"/>
  <c r="J132" i="5" a="1"/>
  <c r="J302" i="5" a="1"/>
  <c r="J431" i="5" a="1"/>
  <c r="J405" i="5" a="1"/>
  <c r="J44" i="5" a="1"/>
  <c r="J644" i="5" a="1"/>
  <c r="J805" i="5" a="1"/>
  <c r="J811" i="5" a="1"/>
  <c r="J359" i="5" a="1"/>
  <c r="J145" i="5" a="1"/>
  <c r="J372" i="5" a="1"/>
  <c r="J562" i="5" a="1"/>
  <c r="J327" i="5" a="1"/>
  <c r="J167" i="5" a="1"/>
  <c r="J152" i="5" a="1"/>
  <c r="J424" i="5" a="1"/>
  <c r="J246" i="5" a="1"/>
  <c r="J196" i="5" a="1"/>
  <c r="J386" i="5" a="1"/>
  <c r="J356" i="5" a="1"/>
  <c r="J595" i="5" a="1"/>
  <c r="J587" i="5" a="1"/>
  <c r="J473" i="5" a="1"/>
  <c r="J336" i="5" a="1"/>
  <c r="J704" i="5" a="1"/>
  <c r="J634" i="5" a="1"/>
  <c r="J385" i="5" a="1"/>
  <c r="J618" i="5" a="1"/>
  <c r="J46" i="5" a="1"/>
  <c r="J138" i="5" a="1"/>
  <c r="J474" i="5" a="1"/>
  <c r="J130" i="5" a="1"/>
  <c r="J178" i="5" a="1"/>
  <c r="J151" i="5" a="1"/>
  <c r="J608" i="5" a="1"/>
  <c r="J187" i="5" a="1"/>
  <c r="J156" i="5" a="1"/>
  <c r="J401" i="5" a="1"/>
  <c r="J248" i="5" a="1"/>
  <c r="J548" i="5" a="1"/>
  <c r="J171" i="5" a="1"/>
  <c r="J719" i="5" a="1"/>
  <c r="J283" i="5" a="1"/>
  <c r="J127" i="5" a="1"/>
  <c r="J285" i="5" a="1"/>
  <c r="J384" i="5" a="1"/>
  <c r="J318" i="5" a="1"/>
  <c r="J323" i="5" a="1"/>
  <c r="J480" i="5" a="1"/>
  <c r="J313" i="5" a="1"/>
  <c r="J303" i="5" a="1"/>
  <c r="J294" i="5" a="1"/>
  <c r="J677" i="5" a="1"/>
  <c r="J493" i="5" a="1"/>
  <c r="J357" i="5" a="1"/>
  <c r="J354" i="5" a="1"/>
  <c r="J322" i="5" a="1"/>
  <c r="J311" i="5" a="1"/>
  <c r="J417" i="5" a="1"/>
  <c r="J215" i="5" a="1"/>
  <c r="J150" i="5" a="1"/>
  <c r="J829" i="5" a="1"/>
  <c r="J387" i="5" a="1"/>
  <c r="J651" i="5" a="1"/>
  <c r="J324" i="5" a="1"/>
  <c r="J358" i="5" a="1"/>
  <c r="J247" i="5" a="1"/>
  <c r="J188" i="5" a="1"/>
  <c r="J710" i="5" a="1"/>
  <c r="J475" i="5" a="1"/>
  <c r="J168" i="5" a="1"/>
  <c r="J788" i="5" a="1"/>
  <c r="J496" i="5" a="1"/>
  <c r="J212" i="5" a="1"/>
  <c r="J329" i="5" a="1"/>
  <c r="J284" i="5" a="1"/>
  <c r="J559" i="5" a="1"/>
  <c r="J377" i="5" a="1"/>
  <c r="J276" i="5" a="1"/>
  <c r="J576" i="5" a="1"/>
  <c r="J249" i="5" a="1"/>
  <c r="J349" i="5" a="1"/>
  <c r="J464" i="5" a="1"/>
  <c r="J200" i="5" a="1"/>
  <c r="J268" i="5" a="1"/>
  <c r="J552" i="5" a="1"/>
  <c r="J235" i="5" a="1"/>
  <c r="J594" i="5" a="1"/>
  <c r="J341" i="5" a="1"/>
  <c r="J413" i="5" a="1"/>
  <c r="J142" i="5" a="1"/>
  <c r="J201" i="5" a="1"/>
  <c r="J555" i="5" a="1"/>
  <c r="J383" i="5" a="1"/>
  <c r="J817" i="5" a="1"/>
  <c r="J342" i="5" a="1"/>
  <c r="J776" i="5" a="1"/>
  <c r="J816" i="5" a="1"/>
  <c r="J306" i="5" a="1"/>
  <c r="J237" i="5" a="1"/>
  <c r="J367" i="5" a="1"/>
  <c r="J686" i="5" a="1"/>
  <c r="J345" i="5" a="1"/>
  <c r="J737" i="5" a="1"/>
  <c r="J186" i="5" a="1"/>
  <c r="J275" i="5" a="1"/>
  <c r="J546" i="5" a="1"/>
  <c r="J487" i="5" a="1"/>
  <c r="J129" i="5" a="1"/>
  <c r="J136" i="5" a="1"/>
  <c r="J131" i="5" a="1"/>
  <c r="J547" i="5" a="1"/>
  <c r="J128" i="5" a="1"/>
  <c r="J428" i="5" a="1"/>
  <c r="J218" i="5" a="1"/>
  <c r="J806" i="5" a="1"/>
  <c r="J403" i="5" a="1"/>
  <c r="J267" i="5" a="1"/>
  <c r="J332" i="5" a="1"/>
  <c r="J277" i="5" a="1"/>
  <c r="J333" i="5" a="1"/>
  <c r="J463" i="5" a="1"/>
  <c r="J578" i="5" a="1"/>
  <c r="J404" i="5" a="1"/>
  <c r="J803" i="5" a="1"/>
  <c r="J309" i="5" a="1"/>
  <c r="J176" i="5" a="1"/>
  <c r="J295" i="5" a="1"/>
  <c r="J393" i="5" a="1"/>
  <c r="J305" i="5" a="1"/>
  <c r="J668" i="5" a="1"/>
  <c r="J626" i="5" a="1"/>
  <c r="J288" i="5" a="1"/>
  <c r="J243" i="5" a="1"/>
  <c r="J492" i="5" a="1"/>
  <c r="J812" i="5" a="1"/>
  <c r="J577" i="5" a="1"/>
  <c r="J315" i="5" a="1"/>
  <c r="J449" i="5" a="1"/>
  <c r="J262" i="5" a="1"/>
  <c r="J779" i="5" a="1"/>
  <c r="J560" i="5" a="1"/>
  <c r="J588" i="5" a="1"/>
  <c r="J835" i="5" a="1"/>
  <c r="J728" i="5" a="1"/>
  <c r="J197" i="5" a="1"/>
  <c r="J376" i="5" a="1"/>
  <c r="J823" i="5" a="1"/>
  <c r="J181" i="5" a="1"/>
  <c r="J350" i="5" a="1"/>
  <c r="J293" i="5" a="1"/>
  <c r="J278" i="5" a="1"/>
  <c r="J170" i="5" a="1"/>
  <c r="J565" i="5" a="1"/>
  <c r="J126" i="5" a="1"/>
  <c r="J340" i="5" a="1"/>
  <c r="J165" i="5" a="1"/>
  <c r="J378" i="5" a="1"/>
  <c r="J399" i="5" a="1"/>
  <c r="J312" i="5" a="1"/>
  <c r="J331" i="5" a="1"/>
  <c r="J773" i="5" a="1"/>
  <c r="J619" i="5" a="1"/>
  <c r="J392" i="5" a="1"/>
  <c r="J374" i="5" a="1"/>
  <c r="J822" i="5" a="1"/>
  <c r="J242" i="5" a="1"/>
  <c r="J561" i="5" a="1"/>
  <c r="J245" i="5" a="1"/>
  <c r="J270" i="5" a="1"/>
  <c r="J551" i="5" a="1"/>
  <c r="J279" i="5" a="1"/>
  <c r="J137" i="5" a="1"/>
  <c r="J381" i="5" a="1"/>
  <c r="J602" i="5" a="1"/>
  <c r="J166" i="5" a="1"/>
  <c r="J321" i="5" a="1"/>
  <c r="J158" i="5" a="1"/>
  <c r="J234" i="5" a="1"/>
  <c r="J348" i="5" a="1"/>
  <c r="J155" i="5" a="1"/>
  <c r="J292" i="5" a="1"/>
  <c r="J260" i="5" a="1"/>
  <c r="J390" i="5" a="1"/>
  <c r="J338" i="5" a="1"/>
  <c r="J191" i="5" a="1"/>
  <c r="J360" i="5" a="1"/>
  <c r="J144" i="5" a="1"/>
  <c r="J236" i="5" a="1"/>
  <c r="J549" i="5" a="1"/>
  <c r="J554" i="5" a="1"/>
  <c r="J799" i="5" a="1"/>
  <c r="J659" i="5" a="1"/>
  <c r="J266" i="5" a="1"/>
  <c r="J274" i="5" a="1"/>
  <c r="J287" i="5" a="1"/>
  <c r="J746" i="5" a="1"/>
  <c r="J271" i="5" a="1"/>
  <c r="J330" i="5" a="1"/>
  <c r="J261" i="5" a="1"/>
  <c r="J206" i="5" a="1"/>
  <c r="J447" i="5" a="1"/>
  <c r="J296" i="5" a="1"/>
  <c r="J472" i="5" a="1"/>
  <c r="J310" i="5" a="1"/>
  <c r="J339" i="5" a="1"/>
  <c r="J580" i="5" a="1"/>
  <c r="J453" i="5" a="1"/>
  <c r="J282" i="5" a="1"/>
  <c r="J195" i="5" a="1"/>
  <c r="J143" i="5" a="1"/>
  <c r="J837" i="5" a="1"/>
  <c r="J838" i="5" a="1"/>
  <c r="J557" i="5" a="1"/>
  <c r="J446" i="5" a="1"/>
  <c r="J256" i="5" a="1"/>
  <c r="J375" i="5" a="1"/>
  <c r="J219" i="5" a="1"/>
  <c r="J228" i="5" a="1"/>
  <c r="J255" i="5" a="1"/>
  <c r="J363" i="5" a="1"/>
  <c r="J550" i="5" a="1"/>
  <c r="J189" i="5" a="1"/>
  <c r="J798" i="5" a="1"/>
  <c r="J351" i="5" a="1"/>
  <c r="J175" i="5" a="1"/>
  <c r="J558" i="5" a="1"/>
  <c r="J227" i="5" a="1"/>
  <c r="J347" i="5" a="1"/>
  <c r="J553" i="5" a="1"/>
  <c r="J320" i="5" a="1"/>
  <c r="J494" i="5" a="1"/>
  <c r="J141" i="5" a="1"/>
  <c r="J365" i="5" a="1"/>
  <c r="J438" i="5" a="1"/>
  <c r="J804" i="5" a="1"/>
  <c r="J695" i="5" a="1"/>
  <c r="J300" i="5" a="1"/>
  <c r="J241" i="5" a="1"/>
  <c r="J834" i="5" a="1"/>
  <c r="J601" i="5" a="1"/>
  <c r="J581" i="5" a="1"/>
  <c r="J366" i="5" a="1"/>
  <c r="J807" i="5" a="1"/>
  <c r="J304" i="5" a="1"/>
  <c r="J225" i="5" a="1"/>
  <c r="J766" i="5" a="1"/>
  <c r="J368" i="5" a="1"/>
  <c r="J263" i="5" a="1"/>
  <c r="J198" i="5" a="1"/>
  <c r="J836" i="5" a="1"/>
  <c r="J199" i="5" a="1"/>
  <c r="J828" i="5" a="1"/>
  <c r="J395" i="5" a="1"/>
  <c r="J408" i="5" a="1"/>
  <c r="J269" i="5" a="1"/>
  <c r="J177" i="5" a="1"/>
  <c r="J579" i="5" a="1"/>
  <c r="J369" i="5" a="1"/>
  <c r="J556" i="5" a="1"/>
  <c r="J297" i="5" a="1"/>
  <c r="J391" i="5" a="1"/>
  <c r="J402" i="5" a="1"/>
  <c r="J448" i="5" a="1"/>
  <c r="J153" i="5" a="1"/>
  <c r="S8" i="2" l="1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4" i="5" a="1"/>
  <c r="J101" i="5" a="1"/>
  <c r="J107" i="5" a="1"/>
  <c r="J87" i="5" a="1"/>
  <c r="J99" i="5" a="1"/>
  <c r="J91" i="5" a="1"/>
  <c r="J102" i="5" a="1"/>
  <c r="J88" i="5" a="1"/>
  <c r="J89" i="5" a="1"/>
  <c r="J109" i="5" a="1"/>
  <c r="J86" i="5" a="1"/>
  <c r="J80" i="5" a="1"/>
  <c r="J100" i="5" a="1"/>
  <c r="J85" i="5" a="1"/>
  <c r="J108" i="5" a="1"/>
  <c r="J90" i="5" a="1"/>
  <c r="J110" i="5" a="1"/>
  <c r="J833" i="5" l="1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1" i="5" a="1"/>
  <c r="J33" i="5" a="1"/>
  <c r="J12" i="5" a="1"/>
  <c r="J59" i="5" a="1"/>
  <c r="J63" i="5" a="1"/>
  <c r="J22" i="5" a="1"/>
  <c r="J71" i="5" a="1"/>
  <c r="J72" i="5" a="1"/>
  <c r="J35" i="5" a="1"/>
  <c r="J42" i="5" a="1"/>
  <c r="J52" i="5" a="1"/>
  <c r="J61" i="5" a="1"/>
  <c r="J60" i="5" a="1"/>
  <c r="J78" i="5" a="1"/>
  <c r="J79" i="5" a="1"/>
  <c r="J70" i="5" a="1"/>
  <c r="J51" i="5" a="1"/>
  <c r="J19" i="5" a="1"/>
  <c r="J26" i="5" a="1"/>
  <c r="J40" i="5" a="1"/>
  <c r="J69" i="5" a="1"/>
  <c r="J77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6" i="5" a="1"/>
  <c r="J8" i="5" a="1"/>
  <c r="J5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<sst xmlns="http://schemas.openxmlformats.org/spreadsheetml/2006/main" count="4773" uniqueCount="1213">
  <si>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</si>
  <si>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</si>
  <si>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</si>
  <si>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</si>
  <si>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</si>
  <si>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</si>
  <si>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</si>
  <si>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</si>
  <si>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</si>
  <si>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</si>
  <si>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</si>
  <si>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</si>
  <si>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</si>
  <si>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</si>
  <si>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</si>
  <si>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</si>
  <si>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</si>
  <si>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</si>
  <si>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</si>
  <si>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</si>
  <si>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</si>
  <si>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</si>
  <si>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</si>
  <si>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</si>
  <si>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</si>
  <si>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</si>
  <si>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</si>
  <si>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</si>
  <si>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</si>
  <si>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</si>
  <si>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</si>
  <si>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</si>
  <si>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</si>
  <si>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</si>
  <si>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</si>
  <si>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</si>
  <si>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</si>
  <si>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</si>
  <si>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</si>
  <si>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</si>
  <si>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</si>
  <si>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</si>
  <si>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</si>
  <si>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</si>
  <si>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</si>
  <si>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</si>
  <si>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</si>
  <si>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</si>
  <si>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</si>
  <si>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</si>
  <si>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</si>
  <si>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</si>
  <si>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</si>
  <si>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</si>
  <si>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</si>
  <si>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</si>
  <si>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</si>
  <si>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</si>
  <si>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</si>
  <si>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</si>
  <si>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</si>
  <si>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</si>
  <si>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</si>
  <si>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</si>
  <si>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</si>
  <si>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</si>
  <si>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</si>
  <si>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</si>
  <si>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</si>
  <si>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</si>
  <si>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</si>
  <si>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</si>
  <si>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</si>
  <si>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</si>
  <si>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</si>
  <si>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</si>
  <si>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</si>
  <si>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</si>
  <si>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</si>
  <si>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</si>
  <si>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</si>
  <si>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</si>
  <si>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</si>
  <si>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</si>
  <si>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</si>
  <si>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</si>
  <si>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</si>
  <si>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</si>
  <si>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</si>
  <si>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</si>
  <si>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</si>
  <si>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</si>
  <si>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</si>
  <si>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</si>
  <si>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</si>
  <si>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</si>
  <si>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</si>
  <si>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</si>
  <si>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</si>
  <si>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</si>
  <si>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</si>
  <si>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</si>
  <si>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</si>
  <si>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</si>
  <si>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</si>
  <si>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</si>
  <si>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</si>
  <si>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</si>
  <si>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</si>
  <si>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</si>
  <si>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</si>
  <si>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</si>
  <si>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</si>
  <si>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</si>
  <si>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</si>
  <si>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</si>
  <si>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</si>
  <si>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</si>
  <si>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</si>
  <si>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</si>
  <si>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</si>
  <si>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</si>
  <si>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</si>
  <si>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</si>
  <si>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</si>
  <si>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</si>
  <si>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</si>
  <si>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</si>
  <si>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</si>
  <si>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</si>
  <si>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</si>
  <si>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</si>
  <si>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</si>
  <si>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</si>
  <si>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</si>
  <si>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</si>
  <si>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</si>
  <si>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</si>
  <si>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</si>
  <si>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</si>
  <si>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</si>
  <si>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</si>
  <si>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</si>
  <si>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</si>
  <si>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</si>
  <si>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</si>
  <si>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</si>
  <si>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</si>
  <si>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</si>
  <si>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</si>
  <si>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</si>
  <si>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</si>
  <si>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</si>
  <si>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</si>
  <si>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</si>
  <si>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</si>
  <si>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</si>
  <si>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</si>
  <si>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</si>
  <si>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</si>
  <si>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</si>
  <si>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</si>
  <si>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</si>
  <si>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</si>
  <si>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</si>
  <si>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</si>
  <si>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</si>
  <si>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</si>
  <si>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</si>
  <si>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</si>
  <si>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</si>
  <si>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</si>
  <si>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</si>
  <si>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</si>
  <si>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</si>
  <si>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</si>
  <si>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</si>
  <si>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</si>
  <si>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</si>
  <si>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</si>
  <si>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</si>
  <si>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</si>
  <si>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</si>
  <si>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</si>
  <si>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</si>
  <si>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</si>
  <si>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</si>
  <si>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</si>
  <si>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</si>
  <si>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</si>
  <si>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</si>
  <si>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</si>
  <si>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</si>
  <si>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</si>
  <si>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</si>
  <si>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</si>
  <si>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</si>
  <si>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</si>
  <si>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</si>
  <si>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</si>
  <si>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</si>
  <si>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</si>
  <si>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</si>
  <si>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</si>
  <si>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</si>
  <si>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</si>
  <si>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</si>
  <si>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</si>
  <si>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</si>
  <si>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</si>
  <si>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</si>
  <si>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</si>
  <si>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</si>
  <si>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</si>
  <si>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</si>
  <si>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</si>
  <si>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</si>
  <si>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</si>
  <si>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</si>
  <si>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</si>
  <si>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</si>
  <si>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</si>
  <si>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</si>
  <si>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</si>
  <si>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</si>
  <si>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</si>
  <si>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</si>
  <si>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</si>
  <si>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</si>
  <si>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</si>
  <si>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</si>
  <si>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</si>
  <si>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</si>
  <si>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</si>
  <si>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</si>
  <si>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</si>
  <si>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</si>
  <si>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</si>
  <si>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</si>
  <si>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</si>
  <si>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</si>
  <si>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</si>
  <si>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</si>
  <si>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</si>
  <si>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</si>
  <si>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</si>
  <si>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</si>
  <si>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</si>
  <si>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</si>
  <si>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</si>
  <si>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</si>
  <si>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</si>
  <si>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</si>
  <si>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</si>
  <si>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</si>
  <si>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</si>
  <si>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</si>
  <si>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</si>
  <si>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</si>
  <si>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</si>
  <si>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</si>
  <si>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</si>
  <si>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</si>
  <si>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</si>
  <si>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</si>
  <si>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</si>
  <si>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</si>
  <si>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</si>
  <si>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</si>
  <si>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</si>
  <si>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</si>
  <si>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</si>
  <si>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</si>
  <si>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</si>
  <si>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</si>
  <si>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</si>
  <si>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</si>
  <si>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</si>
  <si>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</si>
  <si>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</si>
  <si>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</si>
  <si>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</si>
  <si>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</si>
  <si>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</si>
  <si>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</si>
  <si>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</si>
  <si>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</si>
  <si>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</si>
  <si>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</si>
  <si>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</si>
  <si>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</si>
  <si>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</si>
  <si>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</si>
  <si>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</si>
  <si>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</si>
  <si>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</si>
  <si>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</si>
  <si>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</si>
  <si>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</si>
  <si>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</si>
  <si>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</si>
  <si>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</si>
  <si>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</si>
  <si>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</si>
  <si>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</si>
  <si>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</si>
  <si>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</si>
  <si>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</si>
  <si>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</si>
  <si>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</si>
  <si>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</si>
  <si>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</si>
  <si>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</si>
  <si>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</si>
  <si>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</si>
  <si>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</si>
  <si>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</si>
  <si>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</si>
  <si>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</si>
  <si>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</si>
  <si>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</si>
  <si>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</si>
  <si>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</si>
  <si>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</si>
  <si>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</si>
  <si>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</si>
  <si>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</si>
  <si>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</si>
  <si>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</si>
  <si>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</si>
  <si>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</si>
  <si>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</si>
  <si>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</si>
  <si>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</si>
  <si>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</si>
  <si>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</si>
  <si>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</si>
  <si>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</si>
  <si>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</si>
  <si>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</si>
  <si>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</si>
  <si>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</si>
  <si>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</si>
  <si>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</si>
  <si>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</si>
  <si>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</si>
  <si>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</si>
  <si>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</si>
  <si>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</si>
  <si>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</si>
  <si>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</si>
  <si>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</si>
  <si>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</si>
  <si>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</si>
  <si>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</si>
  <si>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</si>
  <si>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</si>
  <si>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</si>
  <si>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</si>
  <si>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</si>
  <si>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</si>
  <si>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</si>
  <si>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</si>
  <si>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</si>
  <si>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</si>
  <si>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</si>
  <si>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</si>
  <si>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</si>
  <si>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</si>
  <si>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</si>
  <si>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</si>
  <si>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</si>
  <si>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</si>
  <si>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</si>
  <si>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</si>
  <si>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</si>
  <si>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</si>
  <si>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</si>
  <si>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</si>
  <si>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</si>
  <si>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</si>
  <si>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</si>
  <si>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</si>
  <si>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</si>
  <si>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</si>
  <si>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</si>
  <si>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</si>
  <si>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</si>
  <si>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</si>
  <si>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</si>
  <si>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</si>
  <si>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</si>
  <si>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</si>
  <si>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</si>
  <si>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</si>
  <si>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</si>
  <si>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</si>
  <si>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</si>
  <si>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</si>
  <si>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</si>
  <si>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</si>
  <si>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</si>
  <si>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</si>
  <si>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</si>
  <si>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</si>
  <si>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</si>
  <si>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</si>
  <si>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</si>
  <si>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</si>
  <si>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</si>
  <si>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</si>
  <si>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</si>
  <si>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</si>
  <si>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</si>
  <si>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</si>
  <si>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</si>
  <si>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</si>
  <si>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</si>
  <si>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</si>
  <si>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</si>
  <si>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</si>
  <si>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</si>
  <si>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</si>
  <si>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</si>
  <si>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</si>
  <si>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</si>
  <si>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</si>
  <si>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</si>
  <si>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</si>
  <si>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</si>
  <si>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</si>
  <si>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</si>
  <si>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</si>
  <si>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</si>
  <si>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</si>
  <si>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</si>
  <si>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</si>
  <si>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</si>
  <si>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</si>
  <si>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</si>
  <si>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</si>
  <si>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</si>
  <si>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</si>
  <si>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</si>
  <si>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</si>
  <si>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</si>
  <si>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</si>
  <si>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</si>
  <si>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</si>
  <si>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</si>
  <si>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</si>
  <si>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</si>
  <si>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</si>
  <si>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</si>
  <si>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</si>
  <si>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</si>
  <si>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</si>
  <si>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</si>
  <si>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</si>
  <si>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</si>
  <si>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</si>
  <si>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</si>
  <si>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</si>
  <si>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</si>
  <si>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</si>
  <si>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</si>
  <si>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</si>
  <si>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</si>
  <si>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</si>
  <si>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</si>
  <si>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</si>
  <si>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</si>
  <si>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</si>
  <si>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</si>
  <si>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</si>
  <si>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</si>
  <si>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</si>
  <si>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</si>
  <si>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</si>
  <si>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</si>
  <si>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</si>
  <si>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</si>
  <si>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</si>
  <si>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</si>
  <si>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</si>
  <si>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</si>
  <si>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</si>
  <si>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</si>
  <si>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</si>
  <si>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</si>
  <si>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</si>
  <si>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</si>
  <si>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</si>
  <si>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</si>
  <si>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</si>
  <si>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</si>
  <si>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</si>
  <si>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</si>
  <si>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</si>
  <si>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</si>
  <si>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</si>
  <si>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</si>
  <si>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</si>
  <si>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</si>
  <si>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</si>
  <si>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</si>
  <si>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</si>
  <si>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</si>
  <si>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</si>
  <si>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</si>
  <si>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</si>
  <si>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</si>
  <si>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</si>
  <si>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</si>
  <si>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</si>
  <si>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</si>
  <si>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</si>
  <si>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</si>
  <si>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</si>
  <si>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</si>
  <si>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</si>
  <si>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</si>
  <si>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</si>
  <si>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</si>
  <si>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</si>
  <si>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</si>
  <si>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</si>
  <si>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</si>
  <si>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</si>
  <si>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</si>
  <si>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</si>
  <si>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</si>
  <si>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</si>
  <si>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</si>
  <si>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</si>
  <si>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</si>
  <si>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</si>
  <si>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</si>
  <si>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</si>
  <si>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</si>
  <si>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</si>
  <si>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</si>
  <si>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</si>
  <si>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</si>
  <si>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</si>
  <si>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</si>
  <si>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</si>
  <si>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</si>
  <si>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</si>
  <si>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</si>
  <si>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</si>
  <si>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</si>
  <si>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</si>
  <si>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</si>
  <si>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</si>
  <si>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</si>
  <si>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</si>
  <si>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</si>
  <si>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</si>
  <si>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</si>
  <si>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</si>
  <si>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</si>
  <si>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</si>
  <si>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</si>
  <si>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</si>
  <si>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</si>
  <si>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</si>
  <si>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</si>
  <si>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</si>
  <si>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</si>
  <si>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</si>
  <si>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</si>
  <si>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</si>
  <si>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</si>
  <si>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</si>
  <si>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</si>
  <si>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</si>
  <si>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</si>
  <si>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</si>
  <si>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</si>
  <si>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</si>
  <si>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</si>
  <si>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</si>
  <si>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</si>
  <si>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</si>
  <si>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</si>
  <si>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</si>
  <si>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</si>
  <si>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</si>
  <si>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</si>
  <si>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</si>
  <si>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</si>
  <si>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</si>
  <si>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</si>
  <si>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</si>
  <si>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</si>
  <si>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</si>
  <si>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</si>
  <si>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</si>
  <si>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</si>
  <si>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</si>
  <si>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</si>
  <si>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</si>
  <si>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</si>
  <si>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</si>
  <si>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</si>
  <si>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</si>
  <si>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</si>
  <si>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</si>
  <si>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</si>
  <si>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</si>
  <si>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</si>
  <si>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</si>
  <si>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</si>
  <si>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</si>
  <si>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</si>
  <si>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</si>
  <si>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</si>
  <si>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</si>
  <si>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</si>
  <si>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</si>
  <si>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</si>
  <si>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</si>
  <si>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</si>
  <si>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</si>
  <si>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</si>
  <si>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</si>
  <si>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</si>
  <si>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</si>
  <si>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</si>
  <si>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</si>
  <si>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</si>
  <si>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</si>
  <si>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</si>
  <si>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</si>
  <si>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</si>
  <si>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</si>
  <si>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</si>
  <si>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</si>
  <si>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</si>
  <si>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</si>
  <si>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</si>
  <si>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</si>
  <si>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</si>
  <si>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</si>
  <si>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</si>
  <si>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</si>
  <si>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</si>
  <si>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</si>
  <si>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</si>
  <si>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</si>
  <si>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</si>
  <si>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</si>
  <si>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</si>
  <si>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</si>
  <si>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</si>
  <si>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</si>
  <si>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</si>
  <si>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</si>
  <si>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</si>
  <si>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</si>
  <si>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</si>
  <si>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</si>
  <si>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</si>
  <si>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</si>
  <si>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</si>
  <si>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</si>
  <si>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</si>
  <si>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</si>
  <si>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</si>
  <si>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</si>
  <si>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</si>
  <si>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</si>
  <si>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</si>
  <si>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</si>
  <si>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</si>
  <si>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</si>
  <si>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</si>
  <si>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</si>
  <si>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</si>
  <si>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</si>
  <si>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</si>
  <si>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</si>
  <si>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</si>
  <si>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</si>
  <si>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</si>
  <si>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</si>
  <si>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</si>
  <si>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</si>
  <si>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</si>
  <si>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</si>
  <si>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</si>
  <si>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</si>
  <si>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</si>
  <si>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</si>
  <si>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</si>
  <si>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</si>
  <si>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</si>
  <si>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</si>
  <si>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</si>
  <si>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</si>
  <si>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</si>
  <si>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</si>
  <si>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</si>
  <si>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</si>
  <si>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</si>
  <si>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</si>
  <si>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</si>
  <si>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</si>
  <si>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</si>
  <si>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</si>
  <si>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</si>
  <si>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</si>
  <si>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</si>
  <si>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</si>
  <si>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</si>
  <si>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</si>
  <si>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</si>
  <si>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</si>
  <si>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</si>
  <si>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</si>
  <si>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</si>
  <si>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</si>
  <si>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</si>
  <si>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</si>
  <si>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</si>
  <si>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</si>
  <si>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</si>
  <si>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</si>
  <si>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</si>
  <si>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</si>
  <si>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</si>
  <si>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</si>
  <si>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</si>
  <si>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</si>
  <si>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</si>
  <si>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</si>
  <si>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</si>
  <si>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</si>
  <si>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</si>
  <si>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</si>
  <si>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</si>
  <si>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</si>
  <si>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</si>
  <si>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</si>
  <si>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</si>
  <si>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</si>
  <si>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</si>
  <si>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</si>
  <si>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</si>
  <si>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</si>
  <si>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</si>
  <si>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</si>
  <si>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</si>
  <si>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</si>
  <si>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</si>
  <si>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</si>
  <si>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</si>
  <si>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</si>
  <si>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</si>
  <si>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</si>
  <si>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</si>
  <si>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</si>
  <si>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</si>
  <si>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</si>
  <si>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</si>
  <si>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</si>
  <si>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</si>
  <si>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</si>
  <si>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</si>
  <si>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</si>
  <si>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</si>
  <si>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</si>
  <si>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</si>
  <si>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</si>
  <si>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</si>
  <si>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</si>
  <si>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</si>
  <si>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</si>
  <si>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</si>
  <si>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</si>
  <si>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</si>
  <si>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</si>
  <si>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</si>
  <si>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</si>
  <si>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</si>
  <si>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</si>
  <si>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</si>
  <si>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</si>
  <si>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</si>
  <si>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</si>
  <si>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</si>
  <si>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</si>
  <si>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</si>
  <si>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</si>
  <si>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</si>
  <si>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</si>
  <si>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</si>
  <si>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</si>
  <si>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</si>
  <si>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</si>
  <si>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</si>
  <si>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</si>
  <si>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</si>
  <si>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</si>
  <si>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</si>
  <si>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</si>
  <si>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</si>
  <si>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</si>
  <si>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</si>
  <si>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</si>
  <si>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</si>
  <si>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</si>
  <si>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</si>
  <si>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</si>
  <si>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</si>
  <si>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</si>
  <si>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</si>
  <si>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</si>
  <si>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</si>
  <si>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</si>
  <si>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</si>
  <si>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</si>
  <si>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</si>
  <si>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</si>
  <si>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</si>
  <si>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</si>
  <si>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</si>
  <si>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</si>
  <si>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</si>
  <si>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</si>
  <si>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</si>
  <si>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</si>
  <si>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</si>
  <si>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</si>
  <si>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</si>
  <si>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</si>
  <si>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</si>
  <si>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</si>
  <si>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</si>
  <si>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</si>
  <si>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</si>
  <si>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</si>
  <si>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</si>
  <si>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</si>
  <si>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</si>
  <si>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</si>
  <si>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</si>
  <si>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</si>
  <si>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</si>
  <si>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</si>
  <si>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</si>
  <si>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</si>
  <si>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</si>
  <si>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</si>
  <si>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</si>
  <si>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</si>
  <si>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</si>
  <si>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</si>
  <si>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</si>
  <si>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</si>
  <si>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</si>
  <si>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</si>
  <si>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</si>
  <si>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</si>
  <si>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</si>
  <si>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</si>
  <si>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</si>
  <si>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</si>
  <si>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</si>
  <si>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</si>
  <si>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</si>
  <si>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</si>
  <si>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</si>
  <si>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</si>
  <si>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</si>
  <si>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</si>
  <si>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</si>
  <si>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</si>
  <si>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</si>
  <si>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</si>
  <si>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</si>
  <si>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</si>
  <si>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</si>
  <si>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</si>
  <si>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</si>
  <si>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</si>
  <si>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</si>
  <si>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</si>
  <si>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</si>
  <si>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</si>
  <si>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</si>
  <si>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</si>
  <si>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</si>
  <si>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</si>
  <si>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</si>
  <si>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</si>
  <si>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</si>
  <si>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</si>
  <si>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</si>
  <si>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</si>
  <si>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</si>
  <si>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</si>
  <si>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</si>
  <si>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</si>
  <si>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</si>
  <si>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</si>
  <si>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</si>
  <si>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</si>
  <si>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</si>
  <si>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</si>
  <si>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</si>
  <si>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</si>
  <si>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</si>
  <si>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</si>
  <si>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</si>
  <si>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</si>
  <si>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</si>
  <si>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</si>
  <si>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</si>
  <si>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</si>
  <si>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</si>
  <si>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</si>
  <si>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</si>
  <si>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</si>
  <si>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</si>
  <si>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</si>
  <si>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</si>
  <si>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</si>
  <si>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</si>
  <si>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</si>
  <si>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</si>
  <si>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</si>
  <si>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</si>
  <si>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</si>
  <si>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</si>
  <si>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</si>
  <si>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</si>
  <si>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</si>
  <si>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</si>
  <si>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</si>
  <si>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</si>
  <si>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</si>
  <si>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</si>
  <si>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</si>
  <si>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</si>
  <si>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</si>
  <si>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</si>
  <si>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</si>
  <si>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</si>
  <si>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</si>
  <si>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</si>
  <si>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</si>
  <si>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</si>
  <si>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</si>
  <si>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</si>
  <si>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</si>
  <si>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</si>
  <si>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</si>
  <si>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</si>
  <si>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</si>
  <si>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</si>
  <si>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</si>
  <si>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</si>
  <si>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</si>
  <si>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</si>
  <si>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</si>
  <si>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</si>
  <si>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</si>
  <si>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</si>
  <si>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</si>
  <si>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</si>
  <si>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</si>
  <si>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</si>
  <si>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</si>
  <si>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</si>
  <si>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</si>
  <si>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</si>
  <si>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</si>
  <si>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</si>
  <si>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</si>
  <si>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</si>
  <si>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</si>
  <si>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</si>
  <si>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</si>
  <si>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</si>
  <si>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</si>
  <si>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</si>
  <si>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</si>
  <si>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</si>
  <si>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</si>
  <si>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</si>
  <si>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</si>
  <si>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</si>
  <si>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</si>
  <si>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</si>
  <si>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</si>
  <si>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</si>
  <si>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</si>
  <si>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</si>
  <si>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</si>
  <si>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</si>
  <si>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</si>
  <si>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</si>
  <si>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</si>
  <si>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</si>
  <si>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</si>
  <si>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</si>
  <si>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</si>
  <si>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</si>
  <si>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</si>
  <si>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</si>
  <si>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</si>
  <si>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</si>
  <si>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</si>
  <si>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</si>
  <si>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</si>
  <si>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</si>
  <si>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</si>
  <si>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</si>
  <si>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</si>
  <si>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</si>
  <si>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</si>
  <si>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</si>
  <si>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</si>
  <si>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</si>
  <si>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</si>
  <si>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</si>
  <si>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</si>
  <si>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</si>
  <si>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</si>
  <si>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</si>
  <si>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</si>
  <si>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</si>
  <si>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</si>
  <si>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</si>
  <si>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</si>
  <si>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</si>
  <si>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</si>
  <si>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</si>
  <si>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</si>
  <si>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</si>
  <si>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</si>
  <si>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</si>
  <si>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</si>
  <si>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</si>
  <si>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</si>
  <si>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</si>
  <si>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</si>
  <si>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</si>
  <si>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</si>
  <si>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</si>
  <si>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</si>
  <si>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</si>
  <si>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</si>
  <si>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</si>
  <si>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</si>
  <si>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</si>
  <si>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</si>
  <si>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</si>
  <si>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</si>
  <si>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</si>
  <si>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</si>
  <si>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</si>
  <si>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</si>
  <si>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</si>
  <si>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</si>
  <si>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</si>
  <si>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</si>
  <si>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</si>
  <si>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</si>
  <si>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</si>
  <si>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</si>
  <si>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</si>
  <si>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</si>
  <si>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</si>
  <si>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</si>
  <si>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</si>
  <si>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</si>
  <si>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</si>
  <si>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</si>
  <si>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</si>
  <si>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</si>
  <si>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</si>
  <si>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</si>
  <si>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</si>
  <si>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</si>
  <si>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</si>
  <si>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</si>
  <si>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</si>
  <si>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</si>
  <si>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</si>
  <si>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</si>
  <si>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</si>
  <si>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</si>
  <si>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</si>
  <si>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</si>
  <si>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</si>
  <si>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</si>
  <si>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</si>
  <si>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</si>
  <si>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</si>
  <si>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</si>
  <si>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</si>
  <si>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</si>
  <si>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</si>
  <si>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</si>
  <si>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</si>
  <si>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</si>
  <si>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</si>
  <si>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</si>
  <si>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</si>
  <si>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</si>
  <si>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</si>
  <si>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</si>
  <si>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</si>
  <si>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</si>
  <si>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</si>
  <si>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</si>
  <si>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</si>
  <si>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</si>
  <si>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</si>
  <si>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</si>
  <si>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</si>
  <si>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</si>
  <si>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</si>
  <si>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</si>
  <si>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</si>
  <si>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</si>
  <si>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</si>
  <si>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</si>
  <si>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</si>
  <si>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</si>
  <si>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</si>
  <si>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</si>
  <si>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</si>
  <si>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</si>
  <si>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</si>
  <si>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</si>
  <si>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</si>
  <si>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</si>
  <si>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</si>
  <si>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</si>
  <si>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</si>
  <si>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</si>
  <si>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</si>
  <si>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</si>
  <si>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</si>
  <si>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</si>
  <si>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</si>
  <si>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</si>
  <si>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</si>
  <si>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</si>
  <si>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</si>
  <si>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</si>
  <si>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</si>
  <si>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</si>
  <si>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</si>
  <si>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</si>
  <si>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</si>
  <si>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</si>
  <si>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</si>
  <si>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</si>
  <si>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</si>
  <si>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</si>
  <si>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</si>
  <si>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</si>
  <si>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</si>
  <si>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</si>
  <si>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</si>
  <si>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</si>
  <si>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</si>
  <si>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</si>
  <si>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</si>
  <si>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</si>
  <si>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</si>
  <si>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</si>
  <si>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</si>
  <si>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</si>
  <si>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</si>
  <si>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</si>
  <si>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</si>
  <si>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</si>
  <si>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</si>
  <si>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</si>
  <si>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</si>
  <si>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</si>
  <si>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</si>
  <si>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</si>
  <si>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</si>
  <si>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</si>
  <si>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</si>
  <si>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</si>
  <si>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</si>
  <si>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</si>
  <si>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</si>
  <si>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</si>
  <si>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</si>
  <si>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</si>
  <si>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</si>
  <si>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</si>
  <si>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</si>
  <si>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</si>
  <si>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</si>
  <si>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</si>
  <si>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</si>
  <si>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</si>
  <si>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</si>
  <si>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</si>
  <si>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</si>
  <si>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010C</t>
  </si>
  <si>
    <t>Error: Execution Stopped. Iteration: 221 at Line 268</t>
  </si>
  <si>
    <t xml:space="preserve">_x0001__x0002__x000D_
 _x0003__x000D_
_x0004_ _x0005__x0006__x000D_
  _x000D_
_x0008_ 	_x000D_
_x000D_
 _x000B__x000D_
_x000C_ _x000D_
_x000E__x000D_
 _x000F__x000D_
_x0010_ _x0011__x0012__x000D_
 _x0013__x000D_
_x0014_ _x0015__x0016__x000D_
 _x0017__x000D_
_x0018_ _x0019__x001A__x000D_
 _x001B__x000D_
_x001C_ _x001D__x001E__x000D_
 _x001F__x000D_
  !"_x000D_
 #_x000D_
$ %&amp;_x000D_
 '_x000D_
( )*_x000D_
 +_x000D_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</si>
</sst>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Fill="1" applyBorder="1" applyAlignment="1">
      <alignment horizontal="left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549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3" sqref="E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-9997</v>
      </c>
      <c r="F1" s="189" t="s">
        <v>1211</v>
      </c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191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128</v>
      </c>
      <c r="AD4" s="110">
        <f t="shared" ref="AD4:AK4" si="0">AC4-AD5*AD6</f>
        <v>0</v>
      </c>
      <c r="AE4" s="104">
        <f t="shared" si="0"/>
        <v>0</v>
      </c>
      <c r="AF4" s="104">
        <f t="shared" si="0"/>
        <v>0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>
        <v>80</v>
      </c>
      <c r="AD5" s="103">
        <f>IF(AC4&gt;=AD6,1,0)</f>
        <v>1</v>
      </c>
      <c r="AE5" s="103">
        <f t="shared" ref="AE5:AK5" si="1">IF(AD4&gt;=AE6,1,0)</f>
        <v>0</v>
      </c>
      <c r="AF5" s="103">
        <f t="shared" si="1"/>
        <v>0</v>
      </c>
      <c r="AG5" s="103">
        <f t="shared" si="1"/>
        <v>0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1</v>
      </c>
      <c r="AM5" s="118">
        <f>IF(AL5/2=INT(AL5/2),1,0)</f>
        <v>0</v>
      </c>
    </row>
    <row r="6" spans="1:43" ht="15.75" thickBot="1">
      <c r="A6" s="26">
        <v>0</v>
      </c>
      <c r="B6" s="24" t="s">
        <v>121</v>
      </c>
      <c r="C6" s="44" t="s">
        <v>555</v>
      </c>
      <c r="D6" s="34" t="str">
        <f>IF(AND(E6&gt;=32,E6&lt;=126),CHAR(E6),".")</f>
        <v>,</v>
      </c>
      <c r="E6" s="35">
        <f>HEX2DEC(C6)</f>
        <v>44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0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128</v>
      </c>
      <c r="AD7" s="103">
        <f t="shared" ref="AD7" si="5">AD6*AD5</f>
        <v>128</v>
      </c>
      <c r="AE7" s="103">
        <f t="shared" ref="AE7" si="6">AE6*AE5</f>
        <v>0</v>
      </c>
      <c r="AF7" s="103">
        <f t="shared" ref="AF7" si="7">AF6*AF5</f>
        <v>0</v>
      </c>
      <c r="AG7" s="103">
        <f t="shared" ref="AG7" si="8">AG6*AG5</f>
        <v>0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5"/>
      <c r="P8" s="96" t="s">
        <v>878</v>
      </c>
      <c r="Q8" s="154" t="s">
        <v>1035</v>
      </c>
      <c r="R8" s="98"/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878</v>
      </c>
      <c r="Q9" s="154" t="s">
        <v>1037</v>
      </c>
      <c r="R9" s="98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7F</v>
      </c>
      <c r="AD9" s="119">
        <f>1-AD5</f>
        <v>0</v>
      </c>
      <c r="AE9" s="119">
        <f t="shared" ref="AE9:AK9" si="13">1-AE5</f>
        <v>1</v>
      </c>
      <c r="AF9" s="119">
        <f t="shared" si="13"/>
        <v>1</v>
      </c>
      <c r="AG9" s="119">
        <f t="shared" si="13"/>
        <v>1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147</v>
      </c>
      <c r="Q10" s="154" t="s">
        <v>152</v>
      </c>
      <c r="R10" s="98" t="s">
        <v>215</v>
      </c>
      <c r="S10" s="152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127</v>
      </c>
      <c r="AD10" s="121">
        <f t="shared" ref="AD10" si="16">AD9*AD6</f>
        <v>0</v>
      </c>
      <c r="AE10" s="121">
        <f t="shared" ref="AE10" si="17">AE9*AE6</f>
        <v>64</v>
      </c>
      <c r="AF10" s="121">
        <f t="shared" ref="AF10" si="18">AF9*AF6</f>
        <v>32</v>
      </c>
      <c r="AG10" s="121">
        <f t="shared" ref="AG10" si="19">AG9*AG6</f>
        <v>16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301</v>
      </c>
      <c r="D11" s="34" t="str">
        <f t="shared" si="3"/>
        <v>.</v>
      </c>
      <c r="E11" s="35">
        <f t="shared" si="4"/>
        <v>1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0106</v>
      </c>
      <c r="N11" s="69">
        <f t="shared" si="15"/>
        <v>262</v>
      </c>
      <c r="O11" s="95"/>
      <c r="P11" s="96" t="s">
        <v>295</v>
      </c>
      <c r="Q11" s="154" t="s">
        <v>309</v>
      </c>
      <c r="R11" s="98" t="s">
        <v>1036</v>
      </c>
      <c r="S11" s="152" cm="1">
        <f t="array" ref="S11">IF(P11="",0,IF(OR(O11=";",P11="EQU",P11="ORG"),0,IF(P11="DS",HEX2DEC(Q11),IF(P11="DB",LEN(Q11)+1,HlpGetInstructionSize(P11,Q11,R11)))))</f>
        <v>3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893</v>
      </c>
      <c r="D12" s="34" t="str">
        <f t="shared" si="3"/>
        <v>.</v>
      </c>
      <c r="E12" s="35">
        <f t="shared" si="4"/>
        <v>19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>L</v>
      </c>
      <c r="M12" s="38" t="str">
        <f t="shared" si="12"/>
        <v>0109</v>
      </c>
      <c r="N12" s="69">
        <f t="shared" si="15"/>
        <v>265</v>
      </c>
      <c r="O12" s="95" t="s">
        <v>1027</v>
      </c>
      <c r="P12" s="96" t="s">
        <v>214</v>
      </c>
      <c r="Q12" s="154" t="s">
        <v>152</v>
      </c>
      <c r="R12" s="98"/>
      <c r="S12" s="152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268</v>
      </c>
      <c r="K13" s="85"/>
      <c r="L13" s="54" t="str">
        <f>IF(UPPER(P13)="EQU","E",IF(P13="DB","D",IF(O13&lt;&gt;"","L",IF(N13="","F",""))))</f>
        <v/>
      </c>
      <c r="M13" s="38" t="str">
        <f t="shared" si="12"/>
        <v>010A</v>
      </c>
      <c r="N13" s="69">
        <f t="shared" si="15"/>
        <v>266</v>
      </c>
      <c r="O13" s="95"/>
      <c r="P13" s="96" t="s">
        <v>878</v>
      </c>
      <c r="Q13" s="154" t="s">
        <v>983</v>
      </c>
      <c r="R13" s="98"/>
      <c r="S13" s="152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010C</v>
      </c>
      <c r="N14" s="69">
        <f t="shared" si="15"/>
        <v>268</v>
      </c>
      <c r="O14" s="95"/>
      <c r="P14" s="96" t="s">
        <v>872</v>
      </c>
      <c r="Q14" s="154" t="s">
        <v>1036</v>
      </c>
      <c r="R14" s="98"/>
      <c r="S14" s="152" cm="1">
        <f t="array" ref="S14">IF(P14="",0,IF(OR(O14=";",P14="EQU",P14="ORG"),0,IF(P14="DS",HEX2DEC(Q14),IF(P14="DB",LEN(Q14)+1,HlpGetInstructionSize(P14,Q14,R14)))))</f>
        <v>3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010F</v>
      </c>
      <c r="N15" s="69">
        <f t="shared" si="15"/>
        <v>271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010F</v>
      </c>
      <c r="N16" s="69">
        <f t="shared" si="15"/>
        <v>271</v>
      </c>
      <c r="O16" s="95"/>
      <c r="P16" s="96" t="s">
        <v>982</v>
      </c>
      <c r="Q16" s="154"/>
      <c r="R16" s="98"/>
      <c r="S16" s="152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0110</v>
      </c>
      <c r="N17" s="69">
        <f t="shared" si="15"/>
        <v>272</v>
      </c>
      <c r="O17" s="95"/>
      <c r="P17" s="96" t="s">
        <v>353</v>
      </c>
      <c r="Q17" s="154" t="s">
        <v>1027</v>
      </c>
      <c r="R17" s="98"/>
      <c r="S17" s="152" cm="1">
        <f t="array" ref="S17">IF(P17="",0,IF(OR(O17=";",P17="EQU",P17="ORG"),0,IF(P17="DS",HEX2DEC(Q17),IF(P17="DB",LEN(Q17)+1,HlpGetInstructionSize(P17,Q17,R17)))))</f>
        <v>3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0113</v>
      </c>
      <c r="N18" s="69">
        <f t="shared" si="15"/>
        <v>275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>L</v>
      </c>
      <c r="M19" s="38" t="str">
        <f t="shared" si="12"/>
        <v>0113</v>
      </c>
      <c r="N19" s="69">
        <f t="shared" si="15"/>
        <v>275</v>
      </c>
      <c r="O19" s="95" t="s">
        <v>1036</v>
      </c>
      <c r="P19" s="96" t="s">
        <v>1046</v>
      </c>
      <c r="Q19" s="154">
        <v>1</v>
      </c>
      <c r="R19" s="98"/>
      <c r="S19" s="152" cm="1">
        <f t="array" ref="S19">IF(P19="",0,IF(OR(O19=";",P19="EQU",P19="ORG"),0,IF(P19="DS",HEX2DEC(Q19),IF(P19="DB",LEN(Q19)+1,HlpGetInstructionSize(P19,Q19,R19)))))</f>
        <v>1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0114</v>
      </c>
      <c r="N20" s="69">
        <f t="shared" si="15"/>
        <v>276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0114</v>
      </c>
      <c r="N21" s="69">
        <f t="shared" si="15"/>
        <v>276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0114</v>
      </c>
      <c r="N22" s="69">
        <f t="shared" si="15"/>
        <v>276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0114</v>
      </c>
      <c r="N23" s="69">
        <f t="shared" si="15"/>
        <v>276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0114</v>
      </c>
      <c r="N24" s="69">
        <f t="shared" si="15"/>
        <v>276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200" t="s">
        <v>1199</v>
      </c>
      <c r="H25" s="201">
        <v>1000</v>
      </c>
      <c r="K25" s="85"/>
      <c r="L25" s="54" t="str">
        <f t="shared" si="14"/>
        <v/>
      </c>
      <c r="M25" s="38" t="str">
        <f t="shared" si="12"/>
        <v>0114</v>
      </c>
      <c r="N25" s="69">
        <f t="shared" si="15"/>
        <v>276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202" t="s">
        <v>1209</v>
      </c>
      <c r="H26" s="203">
        <v>1</v>
      </c>
      <c r="K26" s="85"/>
      <c r="L26" s="54" t="str">
        <f t="shared" si="14"/>
        <v/>
      </c>
      <c r="M26" s="38" t="str">
        <f t="shared" si="12"/>
        <v>0114</v>
      </c>
      <c r="N26" s="69">
        <f t="shared" si="15"/>
        <v>276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0114</v>
      </c>
      <c r="N27" s="69">
        <f t="shared" si="15"/>
        <v>276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0114</v>
      </c>
      <c r="N28" s="69">
        <f t="shared" si="15"/>
        <v>276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0114</v>
      </c>
      <c r="N29" s="69">
        <f t="shared" si="15"/>
        <v>276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0114</v>
      </c>
      <c r="N30" s="69">
        <f t="shared" si="15"/>
        <v>276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0114</v>
      </c>
      <c r="N31" s="69">
        <f t="shared" si="15"/>
        <v>276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0114</v>
      </c>
      <c r="N32" s="69">
        <f t="shared" si="15"/>
        <v>276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0114</v>
      </c>
      <c r="N33" s="69">
        <f t="shared" si="15"/>
        <v>276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0114</v>
      </c>
      <c r="N34" s="69">
        <f t="shared" si="15"/>
        <v>276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0114</v>
      </c>
      <c r="N35" s="69">
        <f t="shared" si="15"/>
        <v>276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0114</v>
      </c>
      <c r="N36" s="69">
        <f t="shared" si="15"/>
        <v>276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0114</v>
      </c>
      <c r="N37" s="69">
        <f t="shared" si="15"/>
        <v>276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0114</v>
      </c>
      <c r="N38" s="69">
        <f t="shared" si="15"/>
        <v>276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0114</v>
      </c>
      <c r="N39" s="69">
        <f t="shared" si="15"/>
        <v>276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0114</v>
      </c>
      <c r="N40" s="69">
        <f t="shared" si="15"/>
        <v>276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0114</v>
      </c>
      <c r="N41" s="69">
        <f t="shared" si="15"/>
        <v>276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0114</v>
      </c>
      <c r="N42" s="69">
        <f t="shared" si="15"/>
        <v>276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0114</v>
      </c>
      <c r="N43" s="69">
        <f t="shared" si="15"/>
        <v>276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0114</v>
      </c>
      <c r="N44" s="69">
        <f t="shared" si="15"/>
        <v>276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0114</v>
      </c>
      <c r="N45" s="69">
        <f t="shared" si="15"/>
        <v>276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0114</v>
      </c>
      <c r="N46" s="69">
        <f t="shared" si="15"/>
        <v>276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0114</v>
      </c>
      <c r="N47" s="69">
        <f t="shared" si="15"/>
        <v>276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0114</v>
      </c>
      <c r="N48" s="69">
        <f t="shared" si="15"/>
        <v>276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0114</v>
      </c>
      <c r="N49" s="69">
        <f t="shared" si="15"/>
        <v>276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0114</v>
      </c>
      <c r="N50" s="69">
        <f t="shared" si="15"/>
        <v>276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0114</v>
      </c>
      <c r="N51" s="69">
        <f t="shared" si="15"/>
        <v>276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0114</v>
      </c>
      <c r="N52" s="69">
        <f t="shared" si="15"/>
        <v>276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0114</v>
      </c>
      <c r="N53" s="69">
        <f t="shared" si="15"/>
        <v>276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0114</v>
      </c>
      <c r="N54" s="69">
        <f t="shared" si="15"/>
        <v>276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0114</v>
      </c>
      <c r="N55" s="69">
        <f t="shared" si="15"/>
        <v>276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0114</v>
      </c>
      <c r="N56" s="69">
        <f t="shared" si="15"/>
        <v>276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0114</v>
      </c>
      <c r="N57" s="69">
        <f t="shared" si="15"/>
        <v>276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0114</v>
      </c>
      <c r="N58" s="69">
        <f t="shared" si="15"/>
        <v>276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0114</v>
      </c>
      <c r="N59" s="69">
        <f t="shared" si="15"/>
        <v>276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0114</v>
      </c>
      <c r="N60" s="69">
        <f t="shared" si="15"/>
        <v>276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0114</v>
      </c>
      <c r="N61" s="69">
        <f t="shared" si="15"/>
        <v>276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0114</v>
      </c>
      <c r="N62" s="69">
        <f t="shared" si="15"/>
        <v>276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0114</v>
      </c>
      <c r="N63" s="69">
        <f t="shared" si="15"/>
        <v>276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0114</v>
      </c>
      <c r="N64" s="69">
        <f t="shared" si="15"/>
        <v>276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0114</v>
      </c>
      <c r="N65" s="69">
        <f t="shared" si="15"/>
        <v>276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0114</v>
      </c>
      <c r="N66" s="69">
        <f t="shared" si="15"/>
        <v>276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0114</v>
      </c>
      <c r="N67" s="69">
        <f t="shared" si="15"/>
        <v>276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0114</v>
      </c>
      <c r="N68" s="69">
        <f t="shared" si="15"/>
        <v>276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0114</v>
      </c>
      <c r="N69" s="69">
        <f t="shared" si="15"/>
        <v>276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0114</v>
      </c>
      <c r="N70" s="69">
        <f t="shared" si="15"/>
        <v>276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0114</v>
      </c>
      <c r="N71" s="69">
        <f t="shared" si="15"/>
        <v>276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0114</v>
      </c>
      <c r="N72" s="69">
        <f t="shared" si="15"/>
        <v>276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0114</v>
      </c>
      <c r="N73" s="69">
        <f t="shared" si="15"/>
        <v>276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0114</v>
      </c>
      <c r="N74" s="69">
        <f t="shared" ref="N74:N137" si="34">N73+S73</f>
        <v>276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0114</v>
      </c>
      <c r="N75" s="69">
        <f t="shared" si="34"/>
        <v>276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0114</v>
      </c>
      <c r="N76" s="69">
        <f t="shared" si="34"/>
        <v>276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0114</v>
      </c>
      <c r="N77" s="69">
        <f t="shared" si="34"/>
        <v>276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0114</v>
      </c>
      <c r="N78" s="69">
        <f t="shared" si="34"/>
        <v>276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0114</v>
      </c>
      <c r="N79" s="69">
        <f t="shared" si="34"/>
        <v>276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0114</v>
      </c>
      <c r="N80" s="69">
        <f t="shared" si="34"/>
        <v>276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0114</v>
      </c>
      <c r="N81" s="69">
        <f t="shared" si="34"/>
        <v>276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0114</v>
      </c>
      <c r="N82" s="69">
        <f t="shared" si="34"/>
        <v>276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0114</v>
      </c>
      <c r="N83" s="69">
        <f t="shared" si="34"/>
        <v>276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0114</v>
      </c>
      <c r="N84" s="69">
        <f t="shared" si="34"/>
        <v>276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0114</v>
      </c>
      <c r="N85" s="69">
        <f t="shared" si="34"/>
        <v>276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0114</v>
      </c>
      <c r="N86" s="69">
        <f t="shared" si="34"/>
        <v>276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0114</v>
      </c>
      <c r="N87" s="69">
        <f t="shared" si="34"/>
        <v>276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0114</v>
      </c>
      <c r="N88" s="69">
        <f t="shared" si="34"/>
        <v>276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0114</v>
      </c>
      <c r="N89" s="69">
        <f t="shared" si="34"/>
        <v>276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0114</v>
      </c>
      <c r="N90" s="69">
        <f t="shared" si="34"/>
        <v>276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0114</v>
      </c>
      <c r="N91" s="69">
        <f t="shared" si="34"/>
        <v>276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0114</v>
      </c>
      <c r="N92" s="69">
        <f t="shared" si="34"/>
        <v>276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0114</v>
      </c>
      <c r="N93" s="69">
        <f t="shared" si="34"/>
        <v>276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0114</v>
      </c>
      <c r="N94" s="69">
        <f t="shared" si="34"/>
        <v>276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0114</v>
      </c>
      <c r="N95" s="69">
        <f t="shared" si="34"/>
        <v>276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0114</v>
      </c>
      <c r="N96" s="69">
        <f t="shared" si="34"/>
        <v>276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0114</v>
      </c>
      <c r="N97" s="69">
        <f t="shared" si="34"/>
        <v>276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0114</v>
      </c>
      <c r="N98" s="69">
        <f t="shared" si="34"/>
        <v>276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0114</v>
      </c>
      <c r="N99" s="69">
        <f t="shared" si="34"/>
        <v>276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0114</v>
      </c>
      <c r="N100" s="69">
        <f t="shared" si="34"/>
        <v>276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0114</v>
      </c>
      <c r="N101" s="69">
        <f t="shared" si="34"/>
        <v>276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0114</v>
      </c>
      <c r="N102" s="69">
        <f t="shared" si="34"/>
        <v>276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0114</v>
      </c>
      <c r="N103" s="69">
        <f t="shared" si="34"/>
        <v>276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0114</v>
      </c>
      <c r="N104" s="69">
        <f t="shared" si="34"/>
        <v>276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0114</v>
      </c>
      <c r="N105" s="69">
        <f t="shared" si="34"/>
        <v>276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0114</v>
      </c>
      <c r="N106" s="69">
        <f t="shared" si="34"/>
        <v>276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0114</v>
      </c>
      <c r="N107" s="69">
        <f t="shared" si="34"/>
        <v>276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0114</v>
      </c>
      <c r="N108" s="69">
        <f t="shared" si="34"/>
        <v>276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0114</v>
      </c>
      <c r="N109" s="69">
        <f t="shared" si="34"/>
        <v>276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0114</v>
      </c>
      <c r="N110" s="69">
        <f t="shared" si="34"/>
        <v>276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0114</v>
      </c>
      <c r="N111" s="69">
        <f t="shared" si="34"/>
        <v>276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0114</v>
      </c>
      <c r="N112" s="69">
        <f t="shared" si="34"/>
        <v>276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0114</v>
      </c>
      <c r="N113" s="69">
        <f t="shared" si="34"/>
        <v>276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0114</v>
      </c>
      <c r="N114" s="69">
        <f t="shared" si="34"/>
        <v>276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0114</v>
      </c>
      <c r="N115" s="69">
        <f t="shared" si="34"/>
        <v>276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0114</v>
      </c>
      <c r="N116" s="69">
        <f t="shared" si="34"/>
        <v>276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0114</v>
      </c>
      <c r="N117" s="69">
        <f t="shared" si="34"/>
        <v>276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0114</v>
      </c>
      <c r="N118" s="69">
        <f t="shared" si="34"/>
        <v>276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0114</v>
      </c>
      <c r="N119" s="69">
        <f t="shared" si="34"/>
        <v>276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0114</v>
      </c>
      <c r="N120" s="69">
        <f t="shared" si="34"/>
        <v>276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0114</v>
      </c>
      <c r="N121" s="69">
        <f t="shared" si="34"/>
        <v>276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0114</v>
      </c>
      <c r="N122" s="69">
        <f t="shared" si="34"/>
        <v>276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0114</v>
      </c>
      <c r="N123" s="69">
        <f t="shared" si="34"/>
        <v>276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0114</v>
      </c>
      <c r="N124" s="69">
        <f t="shared" si="34"/>
        <v>276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0114</v>
      </c>
      <c r="N125" s="69">
        <f t="shared" si="34"/>
        <v>276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0114</v>
      </c>
      <c r="N126" s="69">
        <f t="shared" si="34"/>
        <v>276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0114</v>
      </c>
      <c r="N127" s="69">
        <f t="shared" si="34"/>
        <v>276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0114</v>
      </c>
      <c r="N128" s="69">
        <f t="shared" si="34"/>
        <v>276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0114</v>
      </c>
      <c r="N129" s="69">
        <f t="shared" si="34"/>
        <v>276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0114</v>
      </c>
      <c r="N130" s="69">
        <f t="shared" si="34"/>
        <v>276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0114</v>
      </c>
      <c r="N131" s="69">
        <f t="shared" si="34"/>
        <v>276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0114</v>
      </c>
      <c r="N132" s="69">
        <f t="shared" si="34"/>
        <v>276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0114</v>
      </c>
      <c r="N133" s="69">
        <f t="shared" si="34"/>
        <v>276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0114</v>
      </c>
      <c r="N134" s="69">
        <f t="shared" si="34"/>
        <v>276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0114</v>
      </c>
      <c r="N135" s="69">
        <f t="shared" si="34"/>
        <v>276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0114</v>
      </c>
      <c r="N136" s="69">
        <f t="shared" si="34"/>
        <v>276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0114</v>
      </c>
      <c r="N137" s="69">
        <f t="shared" si="34"/>
        <v>276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0114</v>
      </c>
      <c r="N138" s="69">
        <f t="shared" ref="N138:N201" si="38">N137+S137</f>
        <v>276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0114</v>
      </c>
      <c r="N139" s="69">
        <f t="shared" si="38"/>
        <v>276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0114</v>
      </c>
      <c r="N140" s="69">
        <f t="shared" si="38"/>
        <v>276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0114</v>
      </c>
      <c r="N141" s="69">
        <f t="shared" si="38"/>
        <v>276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0114</v>
      </c>
      <c r="N142" s="69">
        <f t="shared" si="38"/>
        <v>276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0114</v>
      </c>
      <c r="N143" s="69">
        <f t="shared" si="38"/>
        <v>276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0114</v>
      </c>
      <c r="N144" s="69">
        <f t="shared" si="38"/>
        <v>276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0114</v>
      </c>
      <c r="N145" s="69">
        <f t="shared" si="38"/>
        <v>276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0114</v>
      </c>
      <c r="N146" s="69">
        <f t="shared" si="38"/>
        <v>276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0114</v>
      </c>
      <c r="N147" s="69">
        <f t="shared" si="38"/>
        <v>276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0114</v>
      </c>
      <c r="N148" s="69">
        <f t="shared" si="38"/>
        <v>276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0114</v>
      </c>
      <c r="N149" s="69">
        <f t="shared" si="38"/>
        <v>276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0114</v>
      </c>
      <c r="N150" s="69">
        <f t="shared" si="38"/>
        <v>276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0114</v>
      </c>
      <c r="N151" s="69">
        <f t="shared" si="38"/>
        <v>276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0114</v>
      </c>
      <c r="N152" s="69">
        <f t="shared" si="38"/>
        <v>276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0114</v>
      </c>
      <c r="N153" s="69">
        <f t="shared" si="38"/>
        <v>276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0114</v>
      </c>
      <c r="N154" s="69">
        <f t="shared" si="38"/>
        <v>276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0114</v>
      </c>
      <c r="N155" s="69">
        <f t="shared" si="38"/>
        <v>276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0114</v>
      </c>
      <c r="N156" s="69">
        <f t="shared" si="38"/>
        <v>276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0114</v>
      </c>
      <c r="N157" s="69">
        <f t="shared" si="38"/>
        <v>276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0114</v>
      </c>
      <c r="N158" s="69">
        <f t="shared" si="38"/>
        <v>276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0114</v>
      </c>
      <c r="N159" s="69">
        <f t="shared" si="38"/>
        <v>276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0114</v>
      </c>
      <c r="N160" s="69">
        <f t="shared" si="38"/>
        <v>276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0114</v>
      </c>
      <c r="N161" s="69">
        <f t="shared" si="38"/>
        <v>276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0114</v>
      </c>
      <c r="N162" s="69">
        <f t="shared" si="38"/>
        <v>276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0114</v>
      </c>
      <c r="N163" s="69">
        <f t="shared" si="38"/>
        <v>276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0114</v>
      </c>
      <c r="N164" s="69">
        <f t="shared" si="38"/>
        <v>276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0114</v>
      </c>
      <c r="N165" s="69">
        <f t="shared" si="38"/>
        <v>276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0114</v>
      </c>
      <c r="N166" s="69">
        <f t="shared" si="38"/>
        <v>276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0114</v>
      </c>
      <c r="N167" s="69">
        <f t="shared" si="38"/>
        <v>276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0114</v>
      </c>
      <c r="N168" s="69">
        <f t="shared" si="38"/>
        <v>276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0114</v>
      </c>
      <c r="N169" s="69">
        <f t="shared" si="38"/>
        <v>276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0114</v>
      </c>
      <c r="N170" s="69">
        <f t="shared" si="38"/>
        <v>276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0114</v>
      </c>
      <c r="N171" s="69">
        <f t="shared" si="38"/>
        <v>276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0114</v>
      </c>
      <c r="N172" s="69">
        <f t="shared" si="38"/>
        <v>276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0114</v>
      </c>
      <c r="N173" s="69">
        <f t="shared" si="38"/>
        <v>276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0114</v>
      </c>
      <c r="N174" s="69">
        <f t="shared" si="38"/>
        <v>276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0114</v>
      </c>
      <c r="N175" s="69">
        <f t="shared" si="38"/>
        <v>276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0114</v>
      </c>
      <c r="N176" s="69">
        <f t="shared" si="38"/>
        <v>276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0114</v>
      </c>
      <c r="N177" s="69">
        <f t="shared" si="38"/>
        <v>276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0114</v>
      </c>
      <c r="N178" s="69">
        <f t="shared" si="38"/>
        <v>276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0114</v>
      </c>
      <c r="N179" s="69">
        <f t="shared" si="38"/>
        <v>276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0114</v>
      </c>
      <c r="N180" s="69">
        <f t="shared" si="38"/>
        <v>276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0114</v>
      </c>
      <c r="N181" s="69">
        <f t="shared" si="38"/>
        <v>276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0114</v>
      </c>
      <c r="N182" s="69">
        <f t="shared" si="38"/>
        <v>276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0114</v>
      </c>
      <c r="N183" s="69">
        <f t="shared" si="38"/>
        <v>276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0114</v>
      </c>
      <c r="N184" s="69">
        <f t="shared" si="38"/>
        <v>276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0114</v>
      </c>
      <c r="N185" s="69">
        <f t="shared" si="38"/>
        <v>276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0114</v>
      </c>
      <c r="N186" s="69">
        <f t="shared" si="38"/>
        <v>276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0114</v>
      </c>
      <c r="N187" s="69">
        <f t="shared" si="38"/>
        <v>276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0114</v>
      </c>
      <c r="N188" s="69">
        <f t="shared" si="38"/>
        <v>276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0114</v>
      </c>
      <c r="N189" s="69">
        <f t="shared" si="38"/>
        <v>276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0114</v>
      </c>
      <c r="N190" s="69">
        <f t="shared" si="38"/>
        <v>276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0114</v>
      </c>
      <c r="N191" s="69">
        <f t="shared" si="38"/>
        <v>276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0114</v>
      </c>
      <c r="N192" s="69">
        <f t="shared" si="38"/>
        <v>276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0114</v>
      </c>
      <c r="N193" s="69">
        <f t="shared" si="38"/>
        <v>276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0114</v>
      </c>
      <c r="N194" s="69">
        <f t="shared" si="38"/>
        <v>276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0114</v>
      </c>
      <c r="N195" s="69">
        <f t="shared" si="38"/>
        <v>276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0114</v>
      </c>
      <c r="N196" s="69">
        <f t="shared" si="38"/>
        <v>276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0114</v>
      </c>
      <c r="N197" s="69">
        <f t="shared" si="38"/>
        <v>276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0114</v>
      </c>
      <c r="N198" s="69">
        <f t="shared" si="38"/>
        <v>276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0114</v>
      </c>
      <c r="N199" s="69">
        <f t="shared" si="38"/>
        <v>276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0114</v>
      </c>
      <c r="N200" s="69">
        <f t="shared" si="38"/>
        <v>276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0114</v>
      </c>
      <c r="N201" s="69">
        <f t="shared" si="38"/>
        <v>276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0114</v>
      </c>
      <c r="N202" s="69">
        <f t="shared" ref="N202:N265" si="42">N201+S201</f>
        <v>276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0114</v>
      </c>
      <c r="N203" s="69">
        <f t="shared" si="42"/>
        <v>276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0114</v>
      </c>
      <c r="N204" s="69">
        <f t="shared" si="42"/>
        <v>276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0114</v>
      </c>
      <c r="N205" s="69">
        <f t="shared" si="42"/>
        <v>276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0114</v>
      </c>
      <c r="N206" s="69">
        <f t="shared" si="42"/>
        <v>276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0114</v>
      </c>
      <c r="N207" s="69">
        <f t="shared" si="42"/>
        <v>276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0114</v>
      </c>
      <c r="N208" s="69">
        <f t="shared" si="42"/>
        <v>276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0114</v>
      </c>
      <c r="N209" s="69">
        <f t="shared" si="42"/>
        <v>276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0114</v>
      </c>
      <c r="N210" s="69">
        <f t="shared" si="42"/>
        <v>276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0114</v>
      </c>
      <c r="N211" s="69">
        <f t="shared" si="42"/>
        <v>276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0114</v>
      </c>
      <c r="N212" s="69">
        <f t="shared" si="42"/>
        <v>276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0114</v>
      </c>
      <c r="N213" s="69">
        <f t="shared" si="42"/>
        <v>276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0114</v>
      </c>
      <c r="N214" s="69">
        <f t="shared" si="42"/>
        <v>276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0114</v>
      </c>
      <c r="N215" s="69">
        <f t="shared" si="42"/>
        <v>276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0114</v>
      </c>
      <c r="N216" s="69">
        <f t="shared" si="42"/>
        <v>276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0114</v>
      </c>
      <c r="N217" s="69">
        <f t="shared" si="42"/>
        <v>276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0114</v>
      </c>
      <c r="N218" s="69">
        <f t="shared" si="42"/>
        <v>276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0114</v>
      </c>
      <c r="N219" s="69">
        <f t="shared" si="42"/>
        <v>276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0114</v>
      </c>
      <c r="N220" s="69">
        <f t="shared" si="42"/>
        <v>276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0114</v>
      </c>
      <c r="N221" s="69">
        <f t="shared" si="42"/>
        <v>276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0114</v>
      </c>
      <c r="N222" s="69">
        <f t="shared" si="42"/>
        <v>276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0114</v>
      </c>
      <c r="N223" s="69">
        <f t="shared" si="42"/>
        <v>276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0114</v>
      </c>
      <c r="N224" s="69">
        <f t="shared" si="42"/>
        <v>276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0114</v>
      </c>
      <c r="N225" s="69">
        <f t="shared" si="42"/>
        <v>276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0114</v>
      </c>
      <c r="N226" s="69">
        <f t="shared" si="42"/>
        <v>276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0114</v>
      </c>
      <c r="N227" s="69">
        <f t="shared" si="42"/>
        <v>276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0114</v>
      </c>
      <c r="N228" s="69">
        <f t="shared" si="42"/>
        <v>276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0114</v>
      </c>
      <c r="N229" s="69">
        <f t="shared" si="42"/>
        <v>276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0114</v>
      </c>
      <c r="N230" s="69">
        <f t="shared" si="42"/>
        <v>276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0114</v>
      </c>
      <c r="N231" s="69">
        <f t="shared" si="42"/>
        <v>276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0114</v>
      </c>
      <c r="N232" s="69">
        <f t="shared" si="42"/>
        <v>276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0114</v>
      </c>
      <c r="N233" s="69">
        <f t="shared" si="42"/>
        <v>276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0114</v>
      </c>
      <c r="N234" s="69">
        <f t="shared" si="42"/>
        <v>276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0114</v>
      </c>
      <c r="N235" s="69">
        <f t="shared" si="42"/>
        <v>276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0114</v>
      </c>
      <c r="N236" s="69">
        <f t="shared" si="42"/>
        <v>276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0114</v>
      </c>
      <c r="N237" s="69">
        <f t="shared" si="42"/>
        <v>276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0114</v>
      </c>
      <c r="N238" s="69">
        <f t="shared" si="42"/>
        <v>276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0114</v>
      </c>
      <c r="N239" s="69">
        <f t="shared" si="42"/>
        <v>276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0114</v>
      </c>
      <c r="N240" s="69">
        <f t="shared" si="42"/>
        <v>276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0114</v>
      </c>
      <c r="N241" s="69">
        <f t="shared" si="42"/>
        <v>276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0114</v>
      </c>
      <c r="N242" s="69">
        <f t="shared" si="42"/>
        <v>276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0114</v>
      </c>
      <c r="N243" s="69">
        <f t="shared" si="42"/>
        <v>276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0114</v>
      </c>
      <c r="N244" s="69">
        <f t="shared" si="42"/>
        <v>276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0114</v>
      </c>
      <c r="N245" s="69">
        <f t="shared" si="42"/>
        <v>276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0114</v>
      </c>
      <c r="N246" s="69">
        <f t="shared" si="42"/>
        <v>276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0114</v>
      </c>
      <c r="N247" s="69">
        <f t="shared" si="42"/>
        <v>276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0114</v>
      </c>
      <c r="N248" s="69">
        <f t="shared" si="42"/>
        <v>276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0114</v>
      </c>
      <c r="N249" s="69">
        <f t="shared" si="42"/>
        <v>276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0114</v>
      </c>
      <c r="N250" s="69">
        <f t="shared" si="42"/>
        <v>276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0114</v>
      </c>
      <c r="N251" s="69">
        <f t="shared" si="42"/>
        <v>276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0114</v>
      </c>
      <c r="N252" s="69">
        <f t="shared" si="42"/>
        <v>276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0114</v>
      </c>
      <c r="N253" s="69">
        <f t="shared" si="42"/>
        <v>276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0114</v>
      </c>
      <c r="N254" s="69">
        <f t="shared" si="42"/>
        <v>276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0114</v>
      </c>
      <c r="N255" s="69">
        <f t="shared" si="42"/>
        <v>276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0114</v>
      </c>
      <c r="N256" s="69">
        <f t="shared" si="42"/>
        <v>276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0114</v>
      </c>
      <c r="N257" s="69">
        <f t="shared" si="42"/>
        <v>276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0114</v>
      </c>
      <c r="N258" s="69">
        <f t="shared" si="42"/>
        <v>276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0114</v>
      </c>
      <c r="N259" s="69">
        <f t="shared" si="42"/>
        <v>276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0114</v>
      </c>
      <c r="N260" s="69">
        <f t="shared" si="42"/>
        <v>276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0114</v>
      </c>
      <c r="N261" s="69">
        <f t="shared" si="42"/>
        <v>276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0114</v>
      </c>
      <c r="N262" s="69">
        <f t="shared" si="42"/>
        <v>276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0114</v>
      </c>
      <c r="N263" s="69">
        <f t="shared" si="42"/>
        <v>276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0114</v>
      </c>
      <c r="N264" s="69">
        <f t="shared" si="42"/>
        <v>276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0114</v>
      </c>
      <c r="N265" s="69">
        <f t="shared" si="42"/>
        <v>276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0114</v>
      </c>
      <c r="N266" s="69">
        <f t="shared" ref="N266:N329" si="46">N265+S265</f>
        <v>276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0114</v>
      </c>
      <c r="N267" s="69">
        <f t="shared" si="46"/>
        <v>276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0114</v>
      </c>
      <c r="N268" s="69">
        <f t="shared" si="46"/>
        <v>276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0114</v>
      </c>
      <c r="N269" s="69">
        <f t="shared" si="46"/>
        <v>276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0114</v>
      </c>
      <c r="N270" s="69">
        <f t="shared" si="46"/>
        <v>276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0114</v>
      </c>
      <c r="N271" s="69">
        <f t="shared" si="46"/>
        <v>276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0114</v>
      </c>
      <c r="N272" s="69">
        <f t="shared" si="46"/>
        <v>276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0114</v>
      </c>
      <c r="N273" s="69">
        <f t="shared" si="46"/>
        <v>276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0114</v>
      </c>
      <c r="N274" s="69">
        <f t="shared" si="46"/>
        <v>276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0114</v>
      </c>
      <c r="N275" s="69">
        <f t="shared" si="46"/>
        <v>276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0114</v>
      </c>
      <c r="N276" s="69">
        <f t="shared" si="46"/>
        <v>276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0114</v>
      </c>
      <c r="N277" s="69">
        <f t="shared" si="46"/>
        <v>276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0114</v>
      </c>
      <c r="N278" s="69">
        <f t="shared" si="46"/>
        <v>276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0114</v>
      </c>
      <c r="N279" s="69">
        <f t="shared" si="46"/>
        <v>276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0114</v>
      </c>
      <c r="N280" s="69">
        <f t="shared" si="46"/>
        <v>276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0114</v>
      </c>
      <c r="N281" s="69">
        <f t="shared" si="46"/>
        <v>276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0114</v>
      </c>
      <c r="N282" s="69">
        <f t="shared" si="46"/>
        <v>276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0114</v>
      </c>
      <c r="N283" s="69">
        <f t="shared" si="46"/>
        <v>276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0114</v>
      </c>
      <c r="N284" s="69">
        <f t="shared" si="46"/>
        <v>276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0114</v>
      </c>
      <c r="N285" s="69">
        <f t="shared" si="46"/>
        <v>276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0114</v>
      </c>
      <c r="N286" s="69">
        <f t="shared" si="46"/>
        <v>276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0114</v>
      </c>
      <c r="N287" s="69">
        <f t="shared" si="46"/>
        <v>276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0114</v>
      </c>
      <c r="N288" s="69">
        <f t="shared" si="46"/>
        <v>276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0114</v>
      </c>
      <c r="N289" s="69">
        <f t="shared" si="46"/>
        <v>276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0114</v>
      </c>
      <c r="N290" s="69">
        <f t="shared" si="46"/>
        <v>276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0114</v>
      </c>
      <c r="N291" s="69">
        <f t="shared" si="46"/>
        <v>276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0114</v>
      </c>
      <c r="N292" s="69">
        <f t="shared" si="46"/>
        <v>276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0114</v>
      </c>
      <c r="N293" s="69">
        <f t="shared" si="46"/>
        <v>276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0114</v>
      </c>
      <c r="N294" s="69">
        <f t="shared" si="46"/>
        <v>276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0114</v>
      </c>
      <c r="N295" s="69">
        <f t="shared" si="46"/>
        <v>276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0114</v>
      </c>
      <c r="N296" s="69">
        <f t="shared" si="46"/>
        <v>276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0114</v>
      </c>
      <c r="N297" s="69">
        <f t="shared" si="46"/>
        <v>276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0114</v>
      </c>
      <c r="N298" s="69">
        <f t="shared" si="46"/>
        <v>276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0114</v>
      </c>
      <c r="N299" s="69">
        <f t="shared" si="46"/>
        <v>276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0114</v>
      </c>
      <c r="N300" s="69">
        <f t="shared" si="46"/>
        <v>276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0114</v>
      </c>
      <c r="N301" s="69">
        <f t="shared" si="46"/>
        <v>276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0114</v>
      </c>
      <c r="N302" s="69">
        <f t="shared" si="46"/>
        <v>276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0114</v>
      </c>
      <c r="N303" s="69">
        <f t="shared" si="46"/>
        <v>276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0114</v>
      </c>
      <c r="N304" s="69">
        <f t="shared" si="46"/>
        <v>276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0114</v>
      </c>
      <c r="N305" s="69">
        <f t="shared" si="46"/>
        <v>276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0114</v>
      </c>
      <c r="N306" s="69">
        <f t="shared" si="46"/>
        <v>276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0114</v>
      </c>
      <c r="N307" s="69">
        <f t="shared" si="46"/>
        <v>276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0114</v>
      </c>
      <c r="N308" s="69">
        <f t="shared" si="46"/>
        <v>276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0114</v>
      </c>
      <c r="N309" s="69">
        <f t="shared" si="46"/>
        <v>276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0114</v>
      </c>
      <c r="N310" s="69">
        <f t="shared" si="46"/>
        <v>276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0114</v>
      </c>
      <c r="N311" s="69">
        <f t="shared" si="46"/>
        <v>276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0114</v>
      </c>
      <c r="N312" s="69">
        <f t="shared" si="46"/>
        <v>276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0114</v>
      </c>
      <c r="N313" s="69">
        <f t="shared" si="46"/>
        <v>276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0114</v>
      </c>
      <c r="N314" s="69">
        <f t="shared" si="46"/>
        <v>276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0114</v>
      </c>
      <c r="N315" s="69">
        <f t="shared" si="46"/>
        <v>276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0114</v>
      </c>
      <c r="N316" s="69">
        <f t="shared" si="46"/>
        <v>276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0114</v>
      </c>
      <c r="N317" s="69">
        <f t="shared" si="46"/>
        <v>276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0114</v>
      </c>
      <c r="N318" s="69">
        <f t="shared" si="46"/>
        <v>276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0114</v>
      </c>
      <c r="N319" s="69">
        <f t="shared" si="46"/>
        <v>276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0114</v>
      </c>
      <c r="N320" s="69">
        <f t="shared" si="46"/>
        <v>276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0114</v>
      </c>
      <c r="N321" s="69">
        <f t="shared" si="46"/>
        <v>276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0114</v>
      </c>
      <c r="N322" s="69">
        <f t="shared" si="46"/>
        <v>276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0114</v>
      </c>
      <c r="N323" s="69">
        <f t="shared" si="46"/>
        <v>276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0114</v>
      </c>
      <c r="N324" s="69">
        <f t="shared" si="46"/>
        <v>276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0114</v>
      </c>
      <c r="N325" s="69">
        <f t="shared" si="46"/>
        <v>276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0114</v>
      </c>
      <c r="N326" s="69">
        <f t="shared" si="46"/>
        <v>276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0114</v>
      </c>
      <c r="N327" s="69">
        <f t="shared" si="46"/>
        <v>276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0114</v>
      </c>
      <c r="N328" s="69">
        <f t="shared" si="46"/>
        <v>276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0114</v>
      </c>
      <c r="N329" s="69">
        <f t="shared" si="46"/>
        <v>276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0114</v>
      </c>
      <c r="N330" s="69">
        <f t="shared" ref="N330:N393" si="50">N329+S329</f>
        <v>276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0114</v>
      </c>
      <c r="N331" s="69">
        <f t="shared" si="50"/>
        <v>276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0114</v>
      </c>
      <c r="N332" s="69">
        <f t="shared" si="50"/>
        <v>276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0114</v>
      </c>
      <c r="N333" s="69">
        <f t="shared" si="50"/>
        <v>276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0114</v>
      </c>
      <c r="N334" s="69">
        <f t="shared" si="50"/>
        <v>276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0114</v>
      </c>
      <c r="N335" s="69">
        <f t="shared" si="50"/>
        <v>276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0114</v>
      </c>
      <c r="N336" s="69">
        <f t="shared" si="50"/>
        <v>276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0114</v>
      </c>
      <c r="N337" s="69">
        <f t="shared" si="50"/>
        <v>276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0114</v>
      </c>
      <c r="N338" s="69">
        <f t="shared" si="50"/>
        <v>276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0114</v>
      </c>
      <c r="N339" s="69">
        <f t="shared" si="50"/>
        <v>276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0114</v>
      </c>
      <c r="N340" s="69">
        <f t="shared" si="50"/>
        <v>276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0114</v>
      </c>
      <c r="N341" s="69">
        <f t="shared" si="50"/>
        <v>276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0114</v>
      </c>
      <c r="N342" s="69">
        <f t="shared" si="50"/>
        <v>276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0114</v>
      </c>
      <c r="N343" s="69">
        <f t="shared" si="50"/>
        <v>276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0114</v>
      </c>
      <c r="N344" s="69">
        <f t="shared" si="50"/>
        <v>276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0114</v>
      </c>
      <c r="N345" s="69">
        <f t="shared" si="50"/>
        <v>276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0114</v>
      </c>
      <c r="N346" s="69">
        <f t="shared" si="50"/>
        <v>276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0114</v>
      </c>
      <c r="N347" s="69">
        <f t="shared" si="50"/>
        <v>276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0114</v>
      </c>
      <c r="N348" s="69">
        <f t="shared" si="50"/>
        <v>276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0114</v>
      </c>
      <c r="N349" s="69">
        <f t="shared" si="50"/>
        <v>276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0114</v>
      </c>
      <c r="N350" s="69">
        <f t="shared" si="50"/>
        <v>276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0114</v>
      </c>
      <c r="N351" s="69">
        <f t="shared" si="50"/>
        <v>276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0114</v>
      </c>
      <c r="N352" s="69">
        <f t="shared" si="50"/>
        <v>276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0114</v>
      </c>
      <c r="N353" s="69">
        <f t="shared" si="50"/>
        <v>276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0114</v>
      </c>
      <c r="N354" s="69">
        <f t="shared" si="50"/>
        <v>276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0114</v>
      </c>
      <c r="N355" s="69">
        <f t="shared" si="50"/>
        <v>276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0114</v>
      </c>
      <c r="N356" s="69">
        <f t="shared" si="50"/>
        <v>276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0114</v>
      </c>
      <c r="N357" s="69">
        <f t="shared" si="50"/>
        <v>276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0114</v>
      </c>
      <c r="N358" s="69">
        <f t="shared" si="50"/>
        <v>276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0114</v>
      </c>
      <c r="N359" s="69">
        <f t="shared" si="50"/>
        <v>276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0114</v>
      </c>
      <c r="N360" s="69">
        <f t="shared" si="50"/>
        <v>276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0114</v>
      </c>
      <c r="N361" s="69">
        <f t="shared" si="50"/>
        <v>276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0114</v>
      </c>
      <c r="N362" s="69">
        <f t="shared" si="50"/>
        <v>276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0114</v>
      </c>
      <c r="N363" s="69">
        <f t="shared" si="50"/>
        <v>276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0114</v>
      </c>
      <c r="N364" s="69">
        <f t="shared" si="50"/>
        <v>276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0114</v>
      </c>
      <c r="N365" s="69">
        <f t="shared" si="50"/>
        <v>276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0114</v>
      </c>
      <c r="N366" s="69">
        <f t="shared" si="50"/>
        <v>276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0114</v>
      </c>
      <c r="N367" s="69">
        <f t="shared" si="50"/>
        <v>276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0114</v>
      </c>
      <c r="N368" s="69">
        <f t="shared" si="50"/>
        <v>276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0114</v>
      </c>
      <c r="N369" s="69">
        <f t="shared" si="50"/>
        <v>276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0114</v>
      </c>
      <c r="N370" s="69">
        <f t="shared" si="50"/>
        <v>276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0114</v>
      </c>
      <c r="N371" s="69">
        <f t="shared" si="50"/>
        <v>276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0114</v>
      </c>
      <c r="N372" s="69">
        <f t="shared" si="50"/>
        <v>276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0114</v>
      </c>
      <c r="N373" s="69">
        <f t="shared" si="50"/>
        <v>276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0114</v>
      </c>
      <c r="N374" s="69">
        <f t="shared" si="50"/>
        <v>276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0114</v>
      </c>
      <c r="N375" s="69">
        <f t="shared" si="50"/>
        <v>276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0114</v>
      </c>
      <c r="N376" s="69">
        <f t="shared" si="50"/>
        <v>276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0114</v>
      </c>
      <c r="N377" s="69">
        <f t="shared" si="50"/>
        <v>276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0114</v>
      </c>
      <c r="N378" s="69">
        <f t="shared" si="50"/>
        <v>276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0114</v>
      </c>
      <c r="N379" s="69">
        <f t="shared" si="50"/>
        <v>276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0114</v>
      </c>
      <c r="N380" s="69">
        <f t="shared" si="50"/>
        <v>276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0114</v>
      </c>
      <c r="N381" s="69">
        <f t="shared" si="50"/>
        <v>276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0114</v>
      </c>
      <c r="N382" s="69">
        <f t="shared" si="50"/>
        <v>276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0114</v>
      </c>
      <c r="N383" s="69">
        <f t="shared" si="50"/>
        <v>276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0114</v>
      </c>
      <c r="N384" s="69">
        <f t="shared" si="50"/>
        <v>276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0114</v>
      </c>
      <c r="N385" s="69">
        <f t="shared" si="50"/>
        <v>276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0114</v>
      </c>
      <c r="N386" s="69">
        <f t="shared" si="50"/>
        <v>276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0114</v>
      </c>
      <c r="N387" s="69">
        <f t="shared" si="50"/>
        <v>276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0114</v>
      </c>
      <c r="N388" s="69">
        <f t="shared" si="50"/>
        <v>276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0114</v>
      </c>
      <c r="N389" s="69">
        <f t="shared" si="50"/>
        <v>276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0114</v>
      </c>
      <c r="N390" s="69">
        <f t="shared" si="50"/>
        <v>276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0114</v>
      </c>
      <c r="N391" s="69">
        <f t="shared" si="50"/>
        <v>276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0114</v>
      </c>
      <c r="N392" s="69">
        <f t="shared" si="50"/>
        <v>276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0114</v>
      </c>
      <c r="N393" s="69">
        <f t="shared" si="50"/>
        <v>276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0114</v>
      </c>
      <c r="N394" s="69">
        <f t="shared" ref="N394:N457" si="54">N393+S393</f>
        <v>276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0114</v>
      </c>
      <c r="N395" s="69">
        <f t="shared" si="54"/>
        <v>276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0114</v>
      </c>
      <c r="N396" s="69">
        <f t="shared" si="54"/>
        <v>276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0114</v>
      </c>
      <c r="N397" s="69">
        <f t="shared" si="54"/>
        <v>276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0114</v>
      </c>
      <c r="N398" s="69">
        <f t="shared" si="54"/>
        <v>276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0114</v>
      </c>
      <c r="N399" s="69">
        <f t="shared" si="54"/>
        <v>276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0114</v>
      </c>
      <c r="N400" s="69">
        <f t="shared" si="54"/>
        <v>276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0114</v>
      </c>
      <c r="N401" s="69">
        <f t="shared" si="54"/>
        <v>276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0114</v>
      </c>
      <c r="N402" s="69">
        <f t="shared" si="54"/>
        <v>276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0114</v>
      </c>
      <c r="N403" s="69">
        <f t="shared" si="54"/>
        <v>276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0114</v>
      </c>
      <c r="N404" s="69">
        <f t="shared" si="54"/>
        <v>276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0114</v>
      </c>
      <c r="N405" s="69">
        <f t="shared" si="54"/>
        <v>276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0114</v>
      </c>
      <c r="N406" s="69">
        <f t="shared" si="54"/>
        <v>276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0114</v>
      </c>
      <c r="N407" s="69">
        <f t="shared" si="54"/>
        <v>276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0114</v>
      </c>
      <c r="N408" s="69">
        <f t="shared" si="54"/>
        <v>276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0114</v>
      </c>
      <c r="N409" s="69">
        <f t="shared" si="54"/>
        <v>276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0114</v>
      </c>
      <c r="N410" s="69">
        <f t="shared" si="54"/>
        <v>276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0114</v>
      </c>
      <c r="N411" s="69">
        <f t="shared" si="54"/>
        <v>276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0114</v>
      </c>
      <c r="N412" s="69">
        <f t="shared" si="54"/>
        <v>276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0114</v>
      </c>
      <c r="N413" s="69">
        <f t="shared" si="54"/>
        <v>276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0114</v>
      </c>
      <c r="N414" s="69">
        <f t="shared" si="54"/>
        <v>276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0114</v>
      </c>
      <c r="N415" s="69">
        <f t="shared" si="54"/>
        <v>276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0114</v>
      </c>
      <c r="N416" s="69">
        <f t="shared" si="54"/>
        <v>276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0114</v>
      </c>
      <c r="N417" s="69">
        <f t="shared" si="54"/>
        <v>276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0114</v>
      </c>
      <c r="N418" s="69">
        <f t="shared" si="54"/>
        <v>276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0114</v>
      </c>
      <c r="N419" s="69">
        <f t="shared" si="54"/>
        <v>276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0114</v>
      </c>
      <c r="N420" s="69">
        <f t="shared" si="54"/>
        <v>276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0114</v>
      </c>
      <c r="N421" s="69">
        <f t="shared" si="54"/>
        <v>276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0114</v>
      </c>
      <c r="N422" s="69">
        <f t="shared" si="54"/>
        <v>276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0114</v>
      </c>
      <c r="N423" s="69">
        <f t="shared" si="54"/>
        <v>276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0114</v>
      </c>
      <c r="N424" s="69">
        <f t="shared" si="54"/>
        <v>276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0114</v>
      </c>
      <c r="N425" s="69">
        <f t="shared" si="54"/>
        <v>276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0114</v>
      </c>
      <c r="N426" s="69">
        <f t="shared" si="54"/>
        <v>276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0114</v>
      </c>
      <c r="N427" s="69">
        <f t="shared" si="54"/>
        <v>276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0114</v>
      </c>
      <c r="N428" s="69">
        <f t="shared" si="54"/>
        <v>276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0114</v>
      </c>
      <c r="N429" s="69">
        <f t="shared" si="54"/>
        <v>276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0114</v>
      </c>
      <c r="N430" s="69">
        <f t="shared" si="54"/>
        <v>276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0114</v>
      </c>
      <c r="N431" s="69">
        <f t="shared" si="54"/>
        <v>276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0114</v>
      </c>
      <c r="N432" s="69">
        <f t="shared" si="54"/>
        <v>276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0114</v>
      </c>
      <c r="N433" s="69">
        <f t="shared" si="54"/>
        <v>276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0114</v>
      </c>
      <c r="N434" s="69">
        <f t="shared" si="54"/>
        <v>276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0114</v>
      </c>
      <c r="N435" s="69">
        <f t="shared" si="54"/>
        <v>276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0114</v>
      </c>
      <c r="N436" s="69">
        <f t="shared" si="54"/>
        <v>276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0114</v>
      </c>
      <c r="N437" s="69">
        <f t="shared" si="54"/>
        <v>276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0114</v>
      </c>
      <c r="N438" s="69">
        <f t="shared" si="54"/>
        <v>276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0114</v>
      </c>
      <c r="N439" s="69">
        <f t="shared" si="54"/>
        <v>276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0114</v>
      </c>
      <c r="N440" s="69">
        <f t="shared" si="54"/>
        <v>276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0114</v>
      </c>
      <c r="N441" s="69">
        <f t="shared" si="54"/>
        <v>276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0114</v>
      </c>
      <c r="N442" s="69">
        <f t="shared" si="54"/>
        <v>276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0114</v>
      </c>
      <c r="N443" s="69">
        <f t="shared" si="54"/>
        <v>276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0114</v>
      </c>
      <c r="N444" s="69">
        <f t="shared" si="54"/>
        <v>276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0114</v>
      </c>
      <c r="N445" s="69">
        <f t="shared" si="54"/>
        <v>276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0114</v>
      </c>
      <c r="N446" s="69">
        <f t="shared" si="54"/>
        <v>276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0114</v>
      </c>
      <c r="N447" s="69">
        <f t="shared" si="54"/>
        <v>276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0114</v>
      </c>
      <c r="N448" s="69">
        <f t="shared" si="54"/>
        <v>276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0114</v>
      </c>
      <c r="N449" s="69">
        <f t="shared" si="54"/>
        <v>276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0114</v>
      </c>
      <c r="N450" s="69">
        <f t="shared" si="54"/>
        <v>276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0114</v>
      </c>
      <c r="N451" s="69">
        <f t="shared" si="54"/>
        <v>276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0114</v>
      </c>
      <c r="N452" s="69">
        <f t="shared" si="54"/>
        <v>276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0114</v>
      </c>
      <c r="N453" s="69">
        <f t="shared" si="54"/>
        <v>276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0114</v>
      </c>
      <c r="N454" s="69">
        <f t="shared" si="54"/>
        <v>276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0114</v>
      </c>
      <c r="N455" s="69">
        <f t="shared" si="54"/>
        <v>276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0114</v>
      </c>
      <c r="N456" s="69">
        <f t="shared" si="54"/>
        <v>276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0114</v>
      </c>
      <c r="N457" s="69">
        <f t="shared" si="54"/>
        <v>276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0114</v>
      </c>
      <c r="N458" s="69">
        <f t="shared" ref="N458:N521" si="58">N457+S457</f>
        <v>276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0114</v>
      </c>
      <c r="N459" s="69">
        <f t="shared" si="58"/>
        <v>276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0114</v>
      </c>
      <c r="N460" s="69">
        <f t="shared" si="58"/>
        <v>276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0114</v>
      </c>
      <c r="N461" s="69">
        <f t="shared" si="58"/>
        <v>276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0114</v>
      </c>
      <c r="N462" s="69">
        <f t="shared" si="58"/>
        <v>276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0114</v>
      </c>
      <c r="N463" s="69">
        <f t="shared" si="58"/>
        <v>276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0114</v>
      </c>
      <c r="N464" s="69">
        <f t="shared" si="58"/>
        <v>276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0114</v>
      </c>
      <c r="N465" s="69">
        <f t="shared" si="58"/>
        <v>276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0114</v>
      </c>
      <c r="N466" s="69">
        <f t="shared" si="58"/>
        <v>276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0114</v>
      </c>
      <c r="N467" s="69">
        <f t="shared" si="58"/>
        <v>276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0114</v>
      </c>
      <c r="N468" s="69">
        <f t="shared" si="58"/>
        <v>276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0114</v>
      </c>
      <c r="N469" s="69">
        <f t="shared" si="58"/>
        <v>276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0114</v>
      </c>
      <c r="N470" s="69">
        <f t="shared" si="58"/>
        <v>276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0114</v>
      </c>
      <c r="N471" s="69">
        <f t="shared" si="58"/>
        <v>276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0114</v>
      </c>
      <c r="N472" s="69">
        <f t="shared" si="58"/>
        <v>276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0114</v>
      </c>
      <c r="N473" s="69">
        <f t="shared" si="58"/>
        <v>276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0114</v>
      </c>
      <c r="N474" s="69">
        <f t="shared" si="58"/>
        <v>276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0114</v>
      </c>
      <c r="N475" s="69">
        <f t="shared" si="58"/>
        <v>276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0114</v>
      </c>
      <c r="N476" s="69">
        <f t="shared" si="58"/>
        <v>276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0114</v>
      </c>
      <c r="N477" s="69">
        <f t="shared" si="58"/>
        <v>276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0114</v>
      </c>
      <c r="N478" s="69">
        <f t="shared" si="58"/>
        <v>276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0114</v>
      </c>
      <c r="N479" s="69">
        <f t="shared" si="58"/>
        <v>276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0114</v>
      </c>
      <c r="N480" s="69">
        <f t="shared" si="58"/>
        <v>276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0114</v>
      </c>
      <c r="N481" s="69">
        <f t="shared" si="58"/>
        <v>276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0114</v>
      </c>
      <c r="N482" s="69">
        <f t="shared" si="58"/>
        <v>276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0114</v>
      </c>
      <c r="N483" s="69">
        <f t="shared" si="58"/>
        <v>276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0114</v>
      </c>
      <c r="N484" s="69">
        <f t="shared" si="58"/>
        <v>276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0114</v>
      </c>
      <c r="N485" s="69">
        <f t="shared" si="58"/>
        <v>276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0114</v>
      </c>
      <c r="N486" s="69">
        <f t="shared" si="58"/>
        <v>276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0114</v>
      </c>
      <c r="N487" s="69">
        <f t="shared" si="58"/>
        <v>276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0114</v>
      </c>
      <c r="N488" s="69">
        <f t="shared" si="58"/>
        <v>276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0114</v>
      </c>
      <c r="N489" s="69">
        <f t="shared" si="58"/>
        <v>276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0114</v>
      </c>
      <c r="N490" s="69">
        <f t="shared" si="58"/>
        <v>276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0114</v>
      </c>
      <c r="N491" s="69">
        <f t="shared" si="58"/>
        <v>276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0114</v>
      </c>
      <c r="N492" s="69">
        <f t="shared" si="58"/>
        <v>276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0114</v>
      </c>
      <c r="N493" s="69">
        <f t="shared" si="58"/>
        <v>276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0114</v>
      </c>
      <c r="N494" s="69">
        <f t="shared" si="58"/>
        <v>276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0114</v>
      </c>
      <c r="N495" s="69">
        <f t="shared" si="58"/>
        <v>276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0114</v>
      </c>
      <c r="N496" s="69">
        <f t="shared" si="58"/>
        <v>276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0114</v>
      </c>
      <c r="N497" s="69">
        <f t="shared" si="58"/>
        <v>276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0114</v>
      </c>
      <c r="N498" s="69">
        <f t="shared" si="58"/>
        <v>276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0114</v>
      </c>
      <c r="N499" s="69">
        <f t="shared" si="58"/>
        <v>276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0114</v>
      </c>
      <c r="N500" s="69">
        <f t="shared" si="58"/>
        <v>276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0114</v>
      </c>
      <c r="N501" s="69">
        <f t="shared" si="58"/>
        <v>276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0114</v>
      </c>
      <c r="N502" s="69">
        <f t="shared" si="58"/>
        <v>276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0114</v>
      </c>
      <c r="N503" s="69">
        <f t="shared" si="58"/>
        <v>276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0114</v>
      </c>
      <c r="N504" s="69">
        <f t="shared" si="58"/>
        <v>276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0114</v>
      </c>
      <c r="N505" s="69">
        <f t="shared" si="58"/>
        <v>276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0114</v>
      </c>
      <c r="N506" s="69">
        <f t="shared" si="58"/>
        <v>276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0114</v>
      </c>
      <c r="N507" s="69">
        <f t="shared" si="58"/>
        <v>276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0114</v>
      </c>
      <c r="N508" s="69">
        <f t="shared" si="58"/>
        <v>276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0114</v>
      </c>
      <c r="N509" s="69">
        <f t="shared" si="58"/>
        <v>276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0114</v>
      </c>
      <c r="N510" s="69">
        <f t="shared" si="58"/>
        <v>276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0114</v>
      </c>
      <c r="N511" s="69">
        <f t="shared" si="58"/>
        <v>276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0114</v>
      </c>
      <c r="N512" s="69">
        <f t="shared" si="58"/>
        <v>276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0114</v>
      </c>
      <c r="N513" s="69">
        <f t="shared" si="58"/>
        <v>276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0114</v>
      </c>
      <c r="N514" s="69">
        <f t="shared" si="58"/>
        <v>276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0114</v>
      </c>
      <c r="N515" s="69">
        <f t="shared" si="58"/>
        <v>276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0114</v>
      </c>
      <c r="N516" s="69">
        <f t="shared" si="58"/>
        <v>276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0114</v>
      </c>
      <c r="N517" s="69">
        <f t="shared" si="58"/>
        <v>276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0114</v>
      </c>
      <c r="N518" s="69">
        <f t="shared" si="58"/>
        <v>276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0114</v>
      </c>
      <c r="N519" s="69">
        <f t="shared" si="58"/>
        <v>276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0114</v>
      </c>
      <c r="N520" s="69">
        <f t="shared" si="58"/>
        <v>276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0114</v>
      </c>
      <c r="N521" s="69">
        <f t="shared" si="58"/>
        <v>276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0114</v>
      </c>
      <c r="N522" s="69">
        <f t="shared" ref="N522:N585" si="62">N521+S521</f>
        <v>276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0114</v>
      </c>
      <c r="N523" s="69">
        <f t="shared" si="62"/>
        <v>276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0114</v>
      </c>
      <c r="N524" s="69">
        <f t="shared" si="62"/>
        <v>276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0114</v>
      </c>
      <c r="N525" s="69">
        <f t="shared" si="62"/>
        <v>276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0114</v>
      </c>
      <c r="N526" s="69">
        <f t="shared" si="62"/>
        <v>276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0114</v>
      </c>
      <c r="N527" s="69">
        <f t="shared" si="62"/>
        <v>276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0114</v>
      </c>
      <c r="N528" s="69">
        <f t="shared" si="62"/>
        <v>276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0114</v>
      </c>
      <c r="N529" s="69">
        <f t="shared" si="62"/>
        <v>276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0114</v>
      </c>
      <c r="N530" s="69">
        <f t="shared" si="62"/>
        <v>276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0114</v>
      </c>
      <c r="N531" s="69">
        <f t="shared" si="62"/>
        <v>276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0114</v>
      </c>
      <c r="N532" s="69">
        <f t="shared" si="62"/>
        <v>276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0114</v>
      </c>
      <c r="N533" s="69">
        <f t="shared" si="62"/>
        <v>276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0114</v>
      </c>
      <c r="N534" s="69">
        <f t="shared" si="62"/>
        <v>276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0114</v>
      </c>
      <c r="N535" s="69">
        <f t="shared" si="62"/>
        <v>276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0114</v>
      </c>
      <c r="N536" s="69">
        <f t="shared" si="62"/>
        <v>276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0114</v>
      </c>
      <c r="N537" s="69">
        <f t="shared" si="62"/>
        <v>276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0114</v>
      </c>
      <c r="N538" s="69">
        <f t="shared" si="62"/>
        <v>276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0114</v>
      </c>
      <c r="N539" s="69">
        <f t="shared" si="62"/>
        <v>276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0114</v>
      </c>
      <c r="N540" s="69">
        <f t="shared" si="62"/>
        <v>276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0114</v>
      </c>
      <c r="N541" s="69">
        <f t="shared" si="62"/>
        <v>276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0114</v>
      </c>
      <c r="N542" s="69">
        <f t="shared" si="62"/>
        <v>276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0114</v>
      </c>
      <c r="N543" s="69">
        <f t="shared" si="62"/>
        <v>276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0114</v>
      </c>
      <c r="N544" s="69">
        <f t="shared" si="62"/>
        <v>276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0114</v>
      </c>
      <c r="N545" s="69">
        <f t="shared" si="62"/>
        <v>276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0114</v>
      </c>
      <c r="N546" s="69">
        <f t="shared" si="62"/>
        <v>276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0114</v>
      </c>
      <c r="N547" s="69">
        <f t="shared" si="62"/>
        <v>276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0114</v>
      </c>
      <c r="N548" s="69">
        <f t="shared" si="62"/>
        <v>276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0114</v>
      </c>
      <c r="N549" s="69">
        <f t="shared" si="62"/>
        <v>276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0114</v>
      </c>
      <c r="N550" s="69">
        <f t="shared" si="62"/>
        <v>276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0114</v>
      </c>
      <c r="N551" s="69">
        <f t="shared" si="62"/>
        <v>276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0114</v>
      </c>
      <c r="N552" s="69">
        <f t="shared" si="62"/>
        <v>276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0114</v>
      </c>
      <c r="N553" s="69">
        <f t="shared" si="62"/>
        <v>276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0114</v>
      </c>
      <c r="N554" s="69">
        <f t="shared" si="62"/>
        <v>276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0114</v>
      </c>
      <c r="N555" s="69">
        <f t="shared" si="62"/>
        <v>276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0114</v>
      </c>
      <c r="N556" s="69">
        <f t="shared" si="62"/>
        <v>276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0114</v>
      </c>
      <c r="N557" s="69">
        <f t="shared" si="62"/>
        <v>276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0114</v>
      </c>
      <c r="N558" s="69">
        <f t="shared" si="62"/>
        <v>276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0114</v>
      </c>
      <c r="N559" s="69">
        <f t="shared" si="62"/>
        <v>276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0114</v>
      </c>
      <c r="N560" s="69">
        <f t="shared" si="62"/>
        <v>276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0114</v>
      </c>
      <c r="N561" s="69">
        <f t="shared" si="62"/>
        <v>276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0114</v>
      </c>
      <c r="N562" s="69">
        <f t="shared" si="62"/>
        <v>276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0114</v>
      </c>
      <c r="N563" s="69">
        <f t="shared" si="62"/>
        <v>276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0114</v>
      </c>
      <c r="N564" s="69">
        <f t="shared" si="62"/>
        <v>276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0114</v>
      </c>
      <c r="N565" s="69">
        <f t="shared" si="62"/>
        <v>276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0114</v>
      </c>
      <c r="N566" s="69">
        <f t="shared" si="62"/>
        <v>276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0114</v>
      </c>
      <c r="N567" s="69">
        <f t="shared" si="62"/>
        <v>276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0114</v>
      </c>
      <c r="N568" s="69">
        <f t="shared" si="62"/>
        <v>276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0114</v>
      </c>
      <c r="N569" s="69">
        <f t="shared" si="62"/>
        <v>276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0114</v>
      </c>
      <c r="N570" s="69">
        <f t="shared" si="62"/>
        <v>276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0114</v>
      </c>
      <c r="N571" s="69">
        <f t="shared" si="62"/>
        <v>276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0114</v>
      </c>
      <c r="N572" s="69">
        <f t="shared" si="62"/>
        <v>276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0114</v>
      </c>
      <c r="N573" s="69">
        <f t="shared" si="62"/>
        <v>276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0114</v>
      </c>
      <c r="N574" s="69">
        <f t="shared" si="62"/>
        <v>276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0114</v>
      </c>
      <c r="N575" s="69">
        <f t="shared" si="62"/>
        <v>276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0114</v>
      </c>
      <c r="N576" s="69">
        <f t="shared" si="62"/>
        <v>276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0114</v>
      </c>
      <c r="N577" s="69">
        <f t="shared" si="62"/>
        <v>276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0114</v>
      </c>
      <c r="N578" s="69">
        <f t="shared" si="62"/>
        <v>276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0114</v>
      </c>
      <c r="N579" s="69">
        <f t="shared" si="62"/>
        <v>276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0114</v>
      </c>
      <c r="N580" s="69">
        <f t="shared" si="62"/>
        <v>276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0114</v>
      </c>
      <c r="N581" s="69">
        <f t="shared" si="62"/>
        <v>276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0114</v>
      </c>
      <c r="N582" s="69">
        <f t="shared" si="62"/>
        <v>276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0114</v>
      </c>
      <c r="N583" s="69">
        <f t="shared" si="62"/>
        <v>276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0114</v>
      </c>
      <c r="N584" s="69">
        <f t="shared" si="62"/>
        <v>276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0114</v>
      </c>
      <c r="N585" s="69">
        <f t="shared" si="62"/>
        <v>276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0114</v>
      </c>
      <c r="N586" s="69">
        <f t="shared" ref="N586:N649" si="66">N585+S585</f>
        <v>276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0114</v>
      </c>
      <c r="N587" s="69">
        <f t="shared" si="66"/>
        <v>276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0114</v>
      </c>
      <c r="N588" s="69">
        <f t="shared" si="66"/>
        <v>276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0114</v>
      </c>
      <c r="N589" s="69">
        <f t="shared" si="66"/>
        <v>276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0114</v>
      </c>
      <c r="N590" s="69">
        <f t="shared" si="66"/>
        <v>276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0114</v>
      </c>
      <c r="N591" s="69">
        <f t="shared" si="66"/>
        <v>276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0114</v>
      </c>
      <c r="N592" s="69">
        <f t="shared" si="66"/>
        <v>276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0114</v>
      </c>
      <c r="N593" s="69">
        <f t="shared" si="66"/>
        <v>276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0114</v>
      </c>
      <c r="N594" s="69">
        <f t="shared" si="66"/>
        <v>276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0114</v>
      </c>
      <c r="N595" s="69">
        <f t="shared" si="66"/>
        <v>276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0114</v>
      </c>
      <c r="N596" s="69">
        <f t="shared" si="66"/>
        <v>276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0114</v>
      </c>
      <c r="N597" s="69">
        <f t="shared" si="66"/>
        <v>276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0114</v>
      </c>
      <c r="N598" s="69">
        <f t="shared" si="66"/>
        <v>276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0114</v>
      </c>
      <c r="N599" s="69">
        <f t="shared" si="66"/>
        <v>276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0114</v>
      </c>
      <c r="N600" s="69">
        <f t="shared" si="66"/>
        <v>276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0114</v>
      </c>
      <c r="N601" s="69">
        <f t="shared" si="66"/>
        <v>276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0114</v>
      </c>
      <c r="N602" s="69">
        <f t="shared" si="66"/>
        <v>276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0114</v>
      </c>
      <c r="N603" s="69">
        <f t="shared" si="66"/>
        <v>276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0114</v>
      </c>
      <c r="N604" s="69">
        <f t="shared" si="66"/>
        <v>276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0114</v>
      </c>
      <c r="N605" s="69">
        <f t="shared" si="66"/>
        <v>276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0114</v>
      </c>
      <c r="N606" s="69">
        <f t="shared" si="66"/>
        <v>276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0114</v>
      </c>
      <c r="N607" s="69">
        <f t="shared" si="66"/>
        <v>276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0114</v>
      </c>
      <c r="N608" s="69">
        <f t="shared" si="66"/>
        <v>276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0114</v>
      </c>
      <c r="N609" s="69">
        <f t="shared" si="66"/>
        <v>276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0114</v>
      </c>
      <c r="N610" s="69">
        <f t="shared" si="66"/>
        <v>276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0114</v>
      </c>
      <c r="N611" s="69">
        <f t="shared" si="66"/>
        <v>276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0114</v>
      </c>
      <c r="N612" s="69">
        <f t="shared" si="66"/>
        <v>276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0114</v>
      </c>
      <c r="N613" s="69">
        <f t="shared" si="66"/>
        <v>276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0114</v>
      </c>
      <c r="N614" s="69">
        <f t="shared" si="66"/>
        <v>276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0114</v>
      </c>
      <c r="N615" s="69">
        <f t="shared" si="66"/>
        <v>276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0114</v>
      </c>
      <c r="N616" s="69">
        <f t="shared" si="66"/>
        <v>276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0114</v>
      </c>
      <c r="N617" s="69">
        <f t="shared" si="66"/>
        <v>276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0114</v>
      </c>
      <c r="N618" s="69">
        <f t="shared" si="66"/>
        <v>276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0114</v>
      </c>
      <c r="N619" s="69">
        <f t="shared" si="66"/>
        <v>276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0114</v>
      </c>
      <c r="N620" s="69">
        <f t="shared" si="66"/>
        <v>276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0114</v>
      </c>
      <c r="N621" s="69">
        <f t="shared" si="66"/>
        <v>276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0114</v>
      </c>
      <c r="N622" s="69">
        <f t="shared" si="66"/>
        <v>276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0114</v>
      </c>
      <c r="N623" s="69">
        <f t="shared" si="66"/>
        <v>276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0114</v>
      </c>
      <c r="N624" s="69">
        <f t="shared" si="66"/>
        <v>276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0114</v>
      </c>
      <c r="N625" s="69">
        <f t="shared" si="66"/>
        <v>276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0114</v>
      </c>
      <c r="N626" s="69">
        <f t="shared" si="66"/>
        <v>276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0114</v>
      </c>
      <c r="N627" s="69">
        <f t="shared" si="66"/>
        <v>276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0114</v>
      </c>
      <c r="N628" s="69">
        <f t="shared" si="66"/>
        <v>276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0114</v>
      </c>
      <c r="N629" s="69">
        <f t="shared" si="66"/>
        <v>276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0114</v>
      </c>
      <c r="N630" s="69">
        <f t="shared" si="66"/>
        <v>276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0114</v>
      </c>
      <c r="N631" s="69">
        <f t="shared" si="66"/>
        <v>276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0114</v>
      </c>
      <c r="N632" s="69">
        <f t="shared" si="66"/>
        <v>276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0114</v>
      </c>
      <c r="N633" s="69">
        <f t="shared" si="66"/>
        <v>276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0114</v>
      </c>
      <c r="N634" s="69">
        <f t="shared" si="66"/>
        <v>276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0114</v>
      </c>
      <c r="N635" s="69">
        <f t="shared" si="66"/>
        <v>276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0114</v>
      </c>
      <c r="N636" s="69">
        <f t="shared" si="66"/>
        <v>276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0114</v>
      </c>
      <c r="N637" s="69">
        <f t="shared" si="66"/>
        <v>276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0114</v>
      </c>
      <c r="N638" s="69">
        <f t="shared" si="66"/>
        <v>276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0114</v>
      </c>
      <c r="N639" s="69">
        <f t="shared" si="66"/>
        <v>276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0114</v>
      </c>
      <c r="N640" s="69">
        <f t="shared" si="66"/>
        <v>276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0114</v>
      </c>
      <c r="N641" s="69">
        <f t="shared" si="66"/>
        <v>276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0114</v>
      </c>
      <c r="N642" s="69">
        <f t="shared" si="66"/>
        <v>276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0114</v>
      </c>
      <c r="N643" s="69">
        <f t="shared" si="66"/>
        <v>276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0114</v>
      </c>
      <c r="N644" s="69">
        <f t="shared" si="66"/>
        <v>276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0114</v>
      </c>
      <c r="N645" s="69">
        <f t="shared" si="66"/>
        <v>276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0114</v>
      </c>
      <c r="N646" s="69">
        <f t="shared" si="66"/>
        <v>276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0114</v>
      </c>
      <c r="N647" s="69">
        <f t="shared" si="66"/>
        <v>276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0114</v>
      </c>
      <c r="N648" s="69">
        <f t="shared" si="66"/>
        <v>276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0114</v>
      </c>
      <c r="N649" s="69">
        <f t="shared" si="66"/>
        <v>276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0114</v>
      </c>
      <c r="N650" s="69">
        <f t="shared" ref="N650:N713" si="70">N649+S649</f>
        <v>276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0114</v>
      </c>
      <c r="N651" s="69">
        <f t="shared" si="70"/>
        <v>276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0114</v>
      </c>
      <c r="N652" s="69">
        <f t="shared" si="70"/>
        <v>276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0114</v>
      </c>
      <c r="N653" s="69">
        <f t="shared" si="70"/>
        <v>276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0114</v>
      </c>
      <c r="N654" s="69">
        <f t="shared" si="70"/>
        <v>276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0114</v>
      </c>
      <c r="N655" s="69">
        <f t="shared" si="70"/>
        <v>276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0114</v>
      </c>
      <c r="N656" s="69">
        <f t="shared" si="70"/>
        <v>276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0114</v>
      </c>
      <c r="N657" s="69">
        <f t="shared" si="70"/>
        <v>276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0114</v>
      </c>
      <c r="N658" s="69">
        <f t="shared" si="70"/>
        <v>276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0114</v>
      </c>
      <c r="N659" s="69">
        <f t="shared" si="70"/>
        <v>276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0114</v>
      </c>
      <c r="N660" s="69">
        <f t="shared" si="70"/>
        <v>276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0114</v>
      </c>
      <c r="N661" s="69">
        <f t="shared" si="70"/>
        <v>276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0114</v>
      </c>
      <c r="N662" s="69">
        <f t="shared" si="70"/>
        <v>276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0114</v>
      </c>
      <c r="N663" s="69">
        <f t="shared" si="70"/>
        <v>276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0114</v>
      </c>
      <c r="N664" s="69">
        <f t="shared" si="70"/>
        <v>276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0114</v>
      </c>
      <c r="N665" s="69">
        <f t="shared" si="70"/>
        <v>276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0114</v>
      </c>
      <c r="N666" s="69">
        <f t="shared" si="70"/>
        <v>276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0114</v>
      </c>
      <c r="N667" s="69">
        <f t="shared" si="70"/>
        <v>276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0114</v>
      </c>
      <c r="N668" s="69">
        <f t="shared" si="70"/>
        <v>276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0114</v>
      </c>
      <c r="N669" s="69">
        <f t="shared" si="70"/>
        <v>276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0114</v>
      </c>
      <c r="N670" s="69">
        <f t="shared" si="70"/>
        <v>276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0114</v>
      </c>
      <c r="N671" s="69">
        <f t="shared" si="70"/>
        <v>276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0114</v>
      </c>
      <c r="N672" s="69">
        <f t="shared" si="70"/>
        <v>276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0114</v>
      </c>
      <c r="N673" s="69">
        <f t="shared" si="70"/>
        <v>276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0114</v>
      </c>
      <c r="N674" s="69">
        <f t="shared" si="70"/>
        <v>276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0114</v>
      </c>
      <c r="N675" s="69">
        <f t="shared" si="70"/>
        <v>276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0114</v>
      </c>
      <c r="N676" s="69">
        <f t="shared" si="70"/>
        <v>276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0114</v>
      </c>
      <c r="N677" s="69">
        <f t="shared" si="70"/>
        <v>276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0114</v>
      </c>
      <c r="N678" s="69">
        <f t="shared" si="70"/>
        <v>276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0114</v>
      </c>
      <c r="N679" s="69">
        <f t="shared" si="70"/>
        <v>276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0114</v>
      </c>
      <c r="N680" s="69">
        <f t="shared" si="70"/>
        <v>276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0114</v>
      </c>
      <c r="N681" s="69">
        <f t="shared" si="70"/>
        <v>276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0114</v>
      </c>
      <c r="N682" s="69">
        <f t="shared" si="70"/>
        <v>276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0114</v>
      </c>
      <c r="N683" s="69">
        <f t="shared" si="70"/>
        <v>276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0114</v>
      </c>
      <c r="N684" s="69">
        <f t="shared" si="70"/>
        <v>276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0114</v>
      </c>
      <c r="N685" s="69">
        <f t="shared" si="70"/>
        <v>276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0114</v>
      </c>
      <c r="N686" s="69">
        <f t="shared" si="70"/>
        <v>276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0114</v>
      </c>
      <c r="N687" s="69">
        <f t="shared" si="70"/>
        <v>276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0114</v>
      </c>
      <c r="N688" s="69">
        <f t="shared" si="70"/>
        <v>276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0114</v>
      </c>
      <c r="N689" s="69">
        <f t="shared" si="70"/>
        <v>276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0114</v>
      </c>
      <c r="N690" s="69">
        <f t="shared" si="70"/>
        <v>276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0114</v>
      </c>
      <c r="N691" s="69">
        <f t="shared" si="70"/>
        <v>276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0114</v>
      </c>
      <c r="N692" s="69">
        <f t="shared" si="70"/>
        <v>276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0114</v>
      </c>
      <c r="N693" s="69">
        <f t="shared" si="70"/>
        <v>276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0114</v>
      </c>
      <c r="N694" s="69">
        <f t="shared" si="70"/>
        <v>276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0114</v>
      </c>
      <c r="N695" s="69">
        <f t="shared" si="70"/>
        <v>276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0114</v>
      </c>
      <c r="N696" s="69">
        <f t="shared" si="70"/>
        <v>276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0114</v>
      </c>
      <c r="N697" s="69">
        <f t="shared" si="70"/>
        <v>276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0114</v>
      </c>
      <c r="N698" s="69">
        <f t="shared" si="70"/>
        <v>276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0114</v>
      </c>
      <c r="N699" s="69">
        <f t="shared" si="70"/>
        <v>276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0114</v>
      </c>
      <c r="N700" s="69">
        <f t="shared" si="70"/>
        <v>276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0114</v>
      </c>
      <c r="N701" s="69">
        <f t="shared" si="70"/>
        <v>276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0114</v>
      </c>
      <c r="N702" s="69">
        <f t="shared" si="70"/>
        <v>276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0114</v>
      </c>
      <c r="N703" s="69">
        <f t="shared" si="70"/>
        <v>276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0114</v>
      </c>
      <c r="N704" s="69">
        <f t="shared" si="70"/>
        <v>276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0114</v>
      </c>
      <c r="N705" s="69">
        <f t="shared" si="70"/>
        <v>276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0114</v>
      </c>
      <c r="N706" s="69">
        <f t="shared" si="70"/>
        <v>276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0114</v>
      </c>
      <c r="N707" s="69">
        <f t="shared" si="70"/>
        <v>276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0114</v>
      </c>
      <c r="N708" s="69">
        <f t="shared" si="70"/>
        <v>276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0114</v>
      </c>
      <c r="N709" s="69">
        <f t="shared" si="70"/>
        <v>276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0114</v>
      </c>
      <c r="N710" s="69">
        <f t="shared" si="70"/>
        <v>276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0114</v>
      </c>
      <c r="N711" s="69">
        <f t="shared" si="70"/>
        <v>276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0114</v>
      </c>
      <c r="N712" s="69">
        <f t="shared" si="70"/>
        <v>276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0114</v>
      </c>
      <c r="N713" s="69">
        <f t="shared" si="70"/>
        <v>276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0114</v>
      </c>
      <c r="N714" s="69">
        <f t="shared" ref="N714:N777" si="74">N713+S713</f>
        <v>276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0114</v>
      </c>
      <c r="N715" s="69">
        <f t="shared" si="74"/>
        <v>276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0114</v>
      </c>
      <c r="N716" s="69">
        <f t="shared" si="74"/>
        <v>276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0114</v>
      </c>
      <c r="N717" s="69">
        <f t="shared" si="74"/>
        <v>276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0114</v>
      </c>
      <c r="N718" s="69">
        <f t="shared" si="74"/>
        <v>276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0114</v>
      </c>
      <c r="N719" s="69">
        <f t="shared" si="74"/>
        <v>276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0114</v>
      </c>
      <c r="N720" s="69">
        <f t="shared" si="74"/>
        <v>276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0114</v>
      </c>
      <c r="N721" s="69">
        <f t="shared" si="74"/>
        <v>276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0114</v>
      </c>
      <c r="N722" s="69">
        <f t="shared" si="74"/>
        <v>276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0114</v>
      </c>
      <c r="N723" s="69">
        <f t="shared" si="74"/>
        <v>276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0114</v>
      </c>
      <c r="N724" s="69">
        <f t="shared" si="74"/>
        <v>276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0114</v>
      </c>
      <c r="N725" s="69">
        <f t="shared" si="74"/>
        <v>276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0114</v>
      </c>
      <c r="N726" s="69">
        <f t="shared" si="74"/>
        <v>276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0114</v>
      </c>
      <c r="N727" s="69">
        <f t="shared" si="74"/>
        <v>276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0114</v>
      </c>
      <c r="N728" s="69">
        <f t="shared" si="74"/>
        <v>276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0114</v>
      </c>
      <c r="N729" s="69">
        <f t="shared" si="74"/>
        <v>276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0114</v>
      </c>
      <c r="N730" s="69">
        <f t="shared" si="74"/>
        <v>276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0114</v>
      </c>
      <c r="N731" s="69">
        <f t="shared" si="74"/>
        <v>276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0114</v>
      </c>
      <c r="N732" s="69">
        <f t="shared" si="74"/>
        <v>276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0114</v>
      </c>
      <c r="N733" s="69">
        <f t="shared" si="74"/>
        <v>276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0114</v>
      </c>
      <c r="N734" s="69">
        <f t="shared" si="74"/>
        <v>276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0114</v>
      </c>
      <c r="N735" s="69">
        <f t="shared" si="74"/>
        <v>276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0114</v>
      </c>
      <c r="N736" s="69">
        <f t="shared" si="74"/>
        <v>276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0114</v>
      </c>
      <c r="N737" s="69">
        <f t="shared" si="74"/>
        <v>276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0114</v>
      </c>
      <c r="N738" s="69">
        <f t="shared" si="74"/>
        <v>276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0114</v>
      </c>
      <c r="N739" s="69">
        <f t="shared" si="74"/>
        <v>276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0114</v>
      </c>
      <c r="N740" s="69">
        <f t="shared" si="74"/>
        <v>276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0114</v>
      </c>
      <c r="N741" s="69">
        <f t="shared" si="74"/>
        <v>276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0114</v>
      </c>
      <c r="N742" s="69">
        <f t="shared" si="74"/>
        <v>276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0114</v>
      </c>
      <c r="N743" s="69">
        <f t="shared" si="74"/>
        <v>276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0114</v>
      </c>
      <c r="N744" s="69">
        <f t="shared" si="74"/>
        <v>276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0114</v>
      </c>
      <c r="N745" s="69">
        <f t="shared" si="74"/>
        <v>276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0114</v>
      </c>
      <c r="N746" s="69">
        <f t="shared" si="74"/>
        <v>276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0114</v>
      </c>
      <c r="N747" s="69">
        <f t="shared" si="74"/>
        <v>276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0114</v>
      </c>
      <c r="N748" s="69">
        <f t="shared" si="74"/>
        <v>276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0114</v>
      </c>
      <c r="N749" s="69">
        <f t="shared" si="74"/>
        <v>276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0114</v>
      </c>
      <c r="N750" s="69">
        <f t="shared" si="74"/>
        <v>276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0114</v>
      </c>
      <c r="N751" s="69">
        <f t="shared" si="74"/>
        <v>276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0114</v>
      </c>
      <c r="N752" s="69">
        <f t="shared" si="74"/>
        <v>276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0114</v>
      </c>
      <c r="N753" s="69">
        <f t="shared" si="74"/>
        <v>276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0114</v>
      </c>
      <c r="N754" s="69">
        <f t="shared" si="74"/>
        <v>276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0114</v>
      </c>
      <c r="N755" s="69">
        <f t="shared" si="74"/>
        <v>276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0114</v>
      </c>
      <c r="N756" s="69">
        <f t="shared" si="74"/>
        <v>276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0114</v>
      </c>
      <c r="N757" s="69">
        <f t="shared" si="74"/>
        <v>276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0114</v>
      </c>
      <c r="N758" s="69">
        <f t="shared" si="74"/>
        <v>276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0114</v>
      </c>
      <c r="N759" s="69">
        <f t="shared" si="74"/>
        <v>276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0114</v>
      </c>
      <c r="N760" s="69">
        <f t="shared" si="74"/>
        <v>276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0114</v>
      </c>
      <c r="N761" s="69">
        <f t="shared" si="74"/>
        <v>276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0114</v>
      </c>
      <c r="N762" s="69">
        <f t="shared" si="74"/>
        <v>276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0114</v>
      </c>
      <c r="N763" s="69">
        <f t="shared" si="74"/>
        <v>276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0114</v>
      </c>
      <c r="N764" s="69">
        <f t="shared" si="74"/>
        <v>276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0114</v>
      </c>
      <c r="N765" s="69">
        <f t="shared" si="74"/>
        <v>276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0114</v>
      </c>
      <c r="N766" s="69">
        <f t="shared" si="74"/>
        <v>276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0114</v>
      </c>
      <c r="N767" s="69">
        <f t="shared" si="74"/>
        <v>276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0114</v>
      </c>
      <c r="N768" s="69">
        <f t="shared" si="74"/>
        <v>276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0114</v>
      </c>
      <c r="N769" s="69">
        <f t="shared" si="74"/>
        <v>276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0114</v>
      </c>
      <c r="N770" s="69">
        <f t="shared" si="74"/>
        <v>276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0114</v>
      </c>
      <c r="N771" s="69">
        <f t="shared" si="74"/>
        <v>276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0114</v>
      </c>
      <c r="N772" s="69">
        <f t="shared" si="74"/>
        <v>276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0114</v>
      </c>
      <c r="N773" s="69">
        <f t="shared" si="74"/>
        <v>276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0114</v>
      </c>
      <c r="N774" s="69">
        <f t="shared" si="74"/>
        <v>276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0114</v>
      </c>
      <c r="N775" s="69">
        <f t="shared" si="74"/>
        <v>276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0114</v>
      </c>
      <c r="N776" s="69">
        <f t="shared" si="74"/>
        <v>276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0114</v>
      </c>
      <c r="N777" s="69">
        <f t="shared" si="74"/>
        <v>276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0114</v>
      </c>
      <c r="N778" s="69">
        <f t="shared" ref="N778:N841" si="78">N777+S777</f>
        <v>276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0114</v>
      </c>
      <c r="N779" s="69">
        <f t="shared" si="78"/>
        <v>276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0114</v>
      </c>
      <c r="N780" s="69">
        <f t="shared" si="78"/>
        <v>276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0114</v>
      </c>
      <c r="N781" s="69">
        <f t="shared" si="78"/>
        <v>276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0114</v>
      </c>
      <c r="N782" s="69">
        <f t="shared" si="78"/>
        <v>276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0114</v>
      </c>
      <c r="N783" s="69">
        <f t="shared" si="78"/>
        <v>276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0114</v>
      </c>
      <c r="N784" s="69">
        <f t="shared" si="78"/>
        <v>276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0114</v>
      </c>
      <c r="N785" s="69">
        <f t="shared" si="78"/>
        <v>276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0114</v>
      </c>
      <c r="N786" s="69">
        <f t="shared" si="78"/>
        <v>276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0114</v>
      </c>
      <c r="N787" s="69">
        <f t="shared" si="78"/>
        <v>276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0114</v>
      </c>
      <c r="N788" s="69">
        <f t="shared" si="78"/>
        <v>276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0114</v>
      </c>
      <c r="N789" s="69">
        <f t="shared" si="78"/>
        <v>276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0114</v>
      </c>
      <c r="N790" s="69">
        <f t="shared" si="78"/>
        <v>276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0114</v>
      </c>
      <c r="N791" s="69">
        <f t="shared" si="78"/>
        <v>276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0114</v>
      </c>
      <c r="N792" s="69">
        <f t="shared" si="78"/>
        <v>276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0114</v>
      </c>
      <c r="N793" s="69">
        <f t="shared" si="78"/>
        <v>276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0114</v>
      </c>
      <c r="N794" s="69">
        <f t="shared" si="78"/>
        <v>276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0114</v>
      </c>
      <c r="N795" s="69">
        <f t="shared" si="78"/>
        <v>276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0114</v>
      </c>
      <c r="N796" s="69">
        <f t="shared" si="78"/>
        <v>276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0114</v>
      </c>
      <c r="N797" s="69">
        <f t="shared" si="78"/>
        <v>276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0114</v>
      </c>
      <c r="N798" s="69">
        <f t="shared" si="78"/>
        <v>276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0114</v>
      </c>
      <c r="N799" s="69">
        <f t="shared" si="78"/>
        <v>276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0114</v>
      </c>
      <c r="N800" s="69">
        <f t="shared" si="78"/>
        <v>276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0114</v>
      </c>
      <c r="N801" s="69">
        <f t="shared" si="78"/>
        <v>276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0114</v>
      </c>
      <c r="N802" s="69">
        <f t="shared" si="78"/>
        <v>276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0114</v>
      </c>
      <c r="N803" s="69">
        <f t="shared" si="78"/>
        <v>276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0114</v>
      </c>
      <c r="N804" s="69">
        <f t="shared" si="78"/>
        <v>276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0114</v>
      </c>
      <c r="N805" s="69">
        <f t="shared" si="78"/>
        <v>276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0114</v>
      </c>
      <c r="N806" s="69">
        <f t="shared" si="78"/>
        <v>276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0114</v>
      </c>
      <c r="N807" s="69">
        <f t="shared" si="78"/>
        <v>276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0114</v>
      </c>
      <c r="N808" s="69">
        <f t="shared" si="78"/>
        <v>276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0114</v>
      </c>
      <c r="N809" s="69">
        <f t="shared" si="78"/>
        <v>276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0114</v>
      </c>
      <c r="N810" s="69">
        <f t="shared" si="78"/>
        <v>276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0114</v>
      </c>
      <c r="N811" s="69">
        <f t="shared" si="78"/>
        <v>276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0114</v>
      </c>
      <c r="N812" s="69">
        <f t="shared" si="78"/>
        <v>276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0114</v>
      </c>
      <c r="N813" s="69">
        <f t="shared" si="78"/>
        <v>276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0114</v>
      </c>
      <c r="N814" s="69">
        <f t="shared" si="78"/>
        <v>276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0114</v>
      </c>
      <c r="N815" s="69">
        <f t="shared" si="78"/>
        <v>276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0114</v>
      </c>
      <c r="N816" s="69">
        <f t="shared" si="78"/>
        <v>276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0114</v>
      </c>
      <c r="N817" s="69">
        <f t="shared" si="78"/>
        <v>276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0114</v>
      </c>
      <c r="N818" s="69">
        <f t="shared" si="78"/>
        <v>276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0114</v>
      </c>
      <c r="N819" s="69">
        <f t="shared" si="78"/>
        <v>276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0114</v>
      </c>
      <c r="N820" s="69">
        <f t="shared" si="78"/>
        <v>276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0114</v>
      </c>
      <c r="N821" s="69">
        <f t="shared" si="78"/>
        <v>276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0114</v>
      </c>
      <c r="N822" s="69">
        <f t="shared" si="78"/>
        <v>276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0114</v>
      </c>
      <c r="N823" s="69">
        <f t="shared" si="78"/>
        <v>276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0114</v>
      </c>
      <c r="N824" s="69">
        <f t="shared" si="78"/>
        <v>276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0114</v>
      </c>
      <c r="N825" s="69">
        <f t="shared" si="78"/>
        <v>276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0114</v>
      </c>
      <c r="N826" s="69">
        <f t="shared" si="78"/>
        <v>276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0114</v>
      </c>
      <c r="N827" s="69">
        <f t="shared" si="78"/>
        <v>276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0114</v>
      </c>
      <c r="N828" s="69">
        <f t="shared" si="78"/>
        <v>276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0114</v>
      </c>
      <c r="N829" s="69">
        <f t="shared" si="78"/>
        <v>276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0114</v>
      </c>
      <c r="N830" s="69">
        <f t="shared" si="78"/>
        <v>276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0114</v>
      </c>
      <c r="N831" s="69">
        <f t="shared" si="78"/>
        <v>276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0114</v>
      </c>
      <c r="N832" s="69">
        <f t="shared" si="78"/>
        <v>276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0114</v>
      </c>
      <c r="N833" s="69">
        <f t="shared" si="78"/>
        <v>276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0114</v>
      </c>
      <c r="N834" s="69">
        <f t="shared" si="78"/>
        <v>276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0114</v>
      </c>
      <c r="N835" s="69">
        <f t="shared" si="78"/>
        <v>276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0114</v>
      </c>
      <c r="N836" s="69">
        <f t="shared" si="78"/>
        <v>276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0114</v>
      </c>
      <c r="N837" s="69">
        <f t="shared" si="78"/>
        <v>276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0114</v>
      </c>
      <c r="N838" s="69">
        <f t="shared" si="78"/>
        <v>276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0114</v>
      </c>
      <c r="N839" s="69">
        <f t="shared" si="78"/>
        <v>276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0114</v>
      </c>
      <c r="N840" s="69">
        <f t="shared" si="78"/>
        <v>276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0114</v>
      </c>
      <c r="N841" s="69">
        <f t="shared" si="78"/>
        <v>276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0114</v>
      </c>
      <c r="N842" s="69">
        <f t="shared" ref="N842:N905" si="82">N841+S841</f>
        <v>276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0114</v>
      </c>
      <c r="N843" s="69">
        <f t="shared" si="82"/>
        <v>276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0114</v>
      </c>
      <c r="N844" s="69">
        <f t="shared" si="82"/>
        <v>276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0114</v>
      </c>
      <c r="N845" s="69">
        <f t="shared" si="82"/>
        <v>276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0114</v>
      </c>
      <c r="N846" s="69">
        <f t="shared" si="82"/>
        <v>276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0114</v>
      </c>
      <c r="N847" s="69">
        <f t="shared" si="82"/>
        <v>276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0114</v>
      </c>
      <c r="N848" s="69">
        <f t="shared" si="82"/>
        <v>276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0114</v>
      </c>
      <c r="N849" s="69">
        <f t="shared" si="82"/>
        <v>276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0114</v>
      </c>
      <c r="N850" s="69">
        <f t="shared" si="82"/>
        <v>276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0114</v>
      </c>
      <c r="N851" s="69">
        <f t="shared" si="82"/>
        <v>276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0114</v>
      </c>
      <c r="N852" s="69">
        <f t="shared" si="82"/>
        <v>276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0114</v>
      </c>
      <c r="N853" s="69">
        <f t="shared" si="82"/>
        <v>276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0114</v>
      </c>
      <c r="N854" s="69">
        <f t="shared" si="82"/>
        <v>276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0114</v>
      </c>
      <c r="N855" s="69">
        <f t="shared" si="82"/>
        <v>276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0114</v>
      </c>
      <c r="N856" s="69">
        <f t="shared" si="82"/>
        <v>276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0114</v>
      </c>
      <c r="N857" s="69">
        <f t="shared" si="82"/>
        <v>276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0114</v>
      </c>
      <c r="N858" s="69">
        <f t="shared" si="82"/>
        <v>276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0114</v>
      </c>
      <c r="N859" s="69">
        <f t="shared" si="82"/>
        <v>276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0114</v>
      </c>
      <c r="N860" s="69">
        <f t="shared" si="82"/>
        <v>276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0114</v>
      </c>
      <c r="N861" s="69">
        <f t="shared" si="82"/>
        <v>276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0114</v>
      </c>
      <c r="N862" s="69">
        <f t="shared" si="82"/>
        <v>276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0114</v>
      </c>
      <c r="N863" s="69">
        <f t="shared" si="82"/>
        <v>276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0114</v>
      </c>
      <c r="N864" s="69">
        <f t="shared" si="82"/>
        <v>276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0114</v>
      </c>
      <c r="N865" s="69">
        <f t="shared" si="82"/>
        <v>276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0114</v>
      </c>
      <c r="N866" s="69">
        <f t="shared" si="82"/>
        <v>276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0114</v>
      </c>
      <c r="N867" s="69">
        <f t="shared" si="82"/>
        <v>276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0114</v>
      </c>
      <c r="N868" s="69">
        <f t="shared" si="82"/>
        <v>276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0114</v>
      </c>
      <c r="N869" s="69">
        <f t="shared" si="82"/>
        <v>276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0114</v>
      </c>
      <c r="N870" s="69">
        <f t="shared" si="82"/>
        <v>276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0114</v>
      </c>
      <c r="N871" s="69">
        <f t="shared" si="82"/>
        <v>276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0114</v>
      </c>
      <c r="N872" s="69">
        <f t="shared" si="82"/>
        <v>276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0114</v>
      </c>
      <c r="N873" s="69">
        <f t="shared" si="82"/>
        <v>276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0114</v>
      </c>
      <c r="N874" s="69">
        <f t="shared" si="82"/>
        <v>276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0114</v>
      </c>
      <c r="N875" s="69">
        <f t="shared" si="82"/>
        <v>276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0114</v>
      </c>
      <c r="N876" s="69">
        <f t="shared" si="82"/>
        <v>276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0114</v>
      </c>
      <c r="N877" s="69">
        <f t="shared" si="82"/>
        <v>276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0114</v>
      </c>
      <c r="N878" s="69">
        <f t="shared" si="82"/>
        <v>276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0114</v>
      </c>
      <c r="N879" s="69">
        <f t="shared" si="82"/>
        <v>276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0114</v>
      </c>
      <c r="N880" s="69">
        <f t="shared" si="82"/>
        <v>276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0114</v>
      </c>
      <c r="N881" s="69">
        <f t="shared" si="82"/>
        <v>276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0114</v>
      </c>
      <c r="N882" s="69">
        <f t="shared" si="82"/>
        <v>276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0114</v>
      </c>
      <c r="N883" s="69">
        <f t="shared" si="82"/>
        <v>276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0114</v>
      </c>
      <c r="N884" s="69">
        <f t="shared" si="82"/>
        <v>276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0114</v>
      </c>
      <c r="N885" s="69">
        <f t="shared" si="82"/>
        <v>276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0114</v>
      </c>
      <c r="N886" s="69">
        <f t="shared" si="82"/>
        <v>276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0114</v>
      </c>
      <c r="N887" s="69">
        <f t="shared" si="82"/>
        <v>276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0114</v>
      </c>
      <c r="N888" s="69">
        <f t="shared" si="82"/>
        <v>276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0114</v>
      </c>
      <c r="N889" s="69">
        <f t="shared" si="82"/>
        <v>276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0114</v>
      </c>
      <c r="N890" s="69">
        <f t="shared" si="82"/>
        <v>276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0114</v>
      </c>
      <c r="N891" s="69">
        <f t="shared" si="82"/>
        <v>276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0114</v>
      </c>
      <c r="N892" s="69">
        <f t="shared" si="82"/>
        <v>276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0114</v>
      </c>
      <c r="N893" s="69">
        <f t="shared" si="82"/>
        <v>276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0114</v>
      </c>
      <c r="N894" s="69">
        <f t="shared" si="82"/>
        <v>276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0114</v>
      </c>
      <c r="N895" s="69">
        <f t="shared" si="82"/>
        <v>276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0114</v>
      </c>
      <c r="N896" s="69">
        <f t="shared" si="82"/>
        <v>276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0114</v>
      </c>
      <c r="N897" s="69">
        <f t="shared" si="82"/>
        <v>276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0114</v>
      </c>
      <c r="N898" s="69">
        <f t="shared" si="82"/>
        <v>276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0114</v>
      </c>
      <c r="N899" s="69">
        <f t="shared" si="82"/>
        <v>276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0114</v>
      </c>
      <c r="N900" s="69">
        <f t="shared" si="82"/>
        <v>276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0114</v>
      </c>
      <c r="N901" s="69">
        <f t="shared" si="82"/>
        <v>276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0114</v>
      </c>
      <c r="N902" s="69">
        <f t="shared" si="82"/>
        <v>276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0114</v>
      </c>
      <c r="N903" s="69">
        <f t="shared" si="82"/>
        <v>276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0114</v>
      </c>
      <c r="N904" s="69">
        <f t="shared" si="82"/>
        <v>276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0114</v>
      </c>
      <c r="N905" s="69">
        <f t="shared" si="82"/>
        <v>276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0114</v>
      </c>
      <c r="N906" s="69">
        <f t="shared" ref="N906:N969" si="86">N905+S905</f>
        <v>276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0114</v>
      </c>
      <c r="N907" s="69">
        <f t="shared" si="86"/>
        <v>276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0114</v>
      </c>
      <c r="N908" s="69">
        <f t="shared" si="86"/>
        <v>276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0114</v>
      </c>
      <c r="N909" s="69">
        <f t="shared" si="86"/>
        <v>276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0114</v>
      </c>
      <c r="N910" s="69">
        <f t="shared" si="86"/>
        <v>276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0114</v>
      </c>
      <c r="N911" s="69">
        <f t="shared" si="86"/>
        <v>276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0114</v>
      </c>
      <c r="N912" s="69">
        <f t="shared" si="86"/>
        <v>276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0114</v>
      </c>
      <c r="N913" s="69">
        <f t="shared" si="86"/>
        <v>276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0114</v>
      </c>
      <c r="N914" s="69">
        <f t="shared" si="86"/>
        <v>276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0114</v>
      </c>
      <c r="N915" s="69">
        <f t="shared" si="86"/>
        <v>276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0114</v>
      </c>
      <c r="N916" s="69">
        <f t="shared" si="86"/>
        <v>276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0114</v>
      </c>
      <c r="N917" s="69">
        <f t="shared" si="86"/>
        <v>276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0114</v>
      </c>
      <c r="N918" s="69">
        <f t="shared" si="86"/>
        <v>276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0114</v>
      </c>
      <c r="N919" s="69">
        <f t="shared" si="86"/>
        <v>276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0114</v>
      </c>
      <c r="N920" s="69">
        <f t="shared" si="86"/>
        <v>276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0114</v>
      </c>
      <c r="N921" s="69">
        <f t="shared" si="86"/>
        <v>276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0114</v>
      </c>
      <c r="N922" s="69">
        <f t="shared" si="86"/>
        <v>276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0114</v>
      </c>
      <c r="N923" s="69">
        <f t="shared" si="86"/>
        <v>276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0114</v>
      </c>
      <c r="N924" s="69">
        <f t="shared" si="86"/>
        <v>276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0114</v>
      </c>
      <c r="N925" s="69">
        <f t="shared" si="86"/>
        <v>276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0114</v>
      </c>
      <c r="N926" s="69">
        <f t="shared" si="86"/>
        <v>276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0114</v>
      </c>
      <c r="N927" s="69">
        <f t="shared" si="86"/>
        <v>276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0114</v>
      </c>
      <c r="N928" s="69">
        <f t="shared" si="86"/>
        <v>276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0114</v>
      </c>
      <c r="N929" s="69">
        <f t="shared" si="86"/>
        <v>276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0114</v>
      </c>
      <c r="N930" s="69">
        <f t="shared" si="86"/>
        <v>276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0114</v>
      </c>
      <c r="N931" s="69">
        <f t="shared" si="86"/>
        <v>276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0114</v>
      </c>
      <c r="N932" s="69">
        <f t="shared" si="86"/>
        <v>276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0114</v>
      </c>
      <c r="N933" s="69">
        <f t="shared" si="86"/>
        <v>276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0114</v>
      </c>
      <c r="N934" s="69">
        <f t="shared" si="86"/>
        <v>276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0114</v>
      </c>
      <c r="N935" s="69">
        <f t="shared" si="86"/>
        <v>276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0114</v>
      </c>
      <c r="N936" s="69">
        <f t="shared" si="86"/>
        <v>276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0114</v>
      </c>
      <c r="N937" s="69">
        <f t="shared" si="86"/>
        <v>276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0114</v>
      </c>
      <c r="N938" s="69">
        <f t="shared" si="86"/>
        <v>276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0114</v>
      </c>
      <c r="N939" s="69">
        <f t="shared" si="86"/>
        <v>276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0114</v>
      </c>
      <c r="N940" s="69">
        <f t="shared" si="86"/>
        <v>276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0114</v>
      </c>
      <c r="N941" s="69">
        <f t="shared" si="86"/>
        <v>276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0114</v>
      </c>
      <c r="N942" s="69">
        <f t="shared" si="86"/>
        <v>276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0114</v>
      </c>
      <c r="N943" s="69">
        <f t="shared" si="86"/>
        <v>276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0114</v>
      </c>
      <c r="N944" s="69">
        <f t="shared" si="86"/>
        <v>276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0114</v>
      </c>
      <c r="N945" s="69">
        <f t="shared" si="86"/>
        <v>276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0114</v>
      </c>
      <c r="N946" s="69">
        <f t="shared" si="86"/>
        <v>276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0114</v>
      </c>
      <c r="N947" s="69">
        <f t="shared" si="86"/>
        <v>276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0114</v>
      </c>
      <c r="N948" s="69">
        <f t="shared" si="86"/>
        <v>276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0114</v>
      </c>
      <c r="N949" s="69">
        <f t="shared" si="86"/>
        <v>276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0114</v>
      </c>
      <c r="N950" s="69">
        <f t="shared" si="86"/>
        <v>276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0114</v>
      </c>
      <c r="N951" s="69">
        <f t="shared" si="86"/>
        <v>276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0114</v>
      </c>
      <c r="N952" s="69">
        <f t="shared" si="86"/>
        <v>276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0114</v>
      </c>
      <c r="N953" s="69">
        <f t="shared" si="86"/>
        <v>276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0114</v>
      </c>
      <c r="N954" s="69">
        <f t="shared" si="86"/>
        <v>276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0114</v>
      </c>
      <c r="N955" s="69">
        <f t="shared" si="86"/>
        <v>276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0114</v>
      </c>
      <c r="N956" s="69">
        <f t="shared" si="86"/>
        <v>276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0114</v>
      </c>
      <c r="N957" s="69">
        <f t="shared" si="86"/>
        <v>276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0114</v>
      </c>
      <c r="N958" s="69">
        <f t="shared" si="86"/>
        <v>276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0114</v>
      </c>
      <c r="N959" s="69">
        <f t="shared" si="86"/>
        <v>276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0114</v>
      </c>
      <c r="N960" s="69">
        <f t="shared" si="86"/>
        <v>276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0114</v>
      </c>
      <c r="N961" s="69">
        <f t="shared" si="86"/>
        <v>276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0114</v>
      </c>
      <c r="N962" s="69">
        <f t="shared" si="86"/>
        <v>276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0114</v>
      </c>
      <c r="N963" s="69">
        <f t="shared" si="86"/>
        <v>276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0114</v>
      </c>
      <c r="N964" s="69">
        <f t="shared" si="86"/>
        <v>276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0114</v>
      </c>
      <c r="N965" s="69">
        <f t="shared" si="86"/>
        <v>276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0114</v>
      </c>
      <c r="N966" s="69">
        <f t="shared" si="86"/>
        <v>276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0114</v>
      </c>
      <c r="N967" s="69">
        <f t="shared" si="86"/>
        <v>276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0114</v>
      </c>
      <c r="N968" s="69">
        <f t="shared" si="86"/>
        <v>276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0114</v>
      </c>
      <c r="N969" s="69">
        <f t="shared" si="86"/>
        <v>276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0114</v>
      </c>
      <c r="N970" s="69">
        <f t="shared" ref="N970:N1033" si="90">N969+S969</f>
        <v>276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0114</v>
      </c>
      <c r="N971" s="69">
        <f t="shared" si="90"/>
        <v>276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0114</v>
      </c>
      <c r="N972" s="69">
        <f t="shared" si="90"/>
        <v>276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0114</v>
      </c>
      <c r="N973" s="69">
        <f t="shared" si="90"/>
        <v>276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0114</v>
      </c>
      <c r="N974" s="69">
        <f t="shared" si="90"/>
        <v>276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0114</v>
      </c>
      <c r="N975" s="69">
        <f t="shared" si="90"/>
        <v>276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0114</v>
      </c>
      <c r="N976" s="69">
        <f t="shared" si="90"/>
        <v>276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0114</v>
      </c>
      <c r="N977" s="69">
        <f t="shared" si="90"/>
        <v>276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0114</v>
      </c>
      <c r="N978" s="69">
        <f t="shared" si="90"/>
        <v>276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0114</v>
      </c>
      <c r="N979" s="69">
        <f t="shared" si="90"/>
        <v>276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0114</v>
      </c>
      <c r="N980" s="69">
        <f t="shared" si="90"/>
        <v>276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0114</v>
      </c>
      <c r="N981" s="69">
        <f t="shared" si="90"/>
        <v>276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0114</v>
      </c>
      <c r="N982" s="69">
        <f t="shared" si="90"/>
        <v>276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0114</v>
      </c>
      <c r="N983" s="69">
        <f t="shared" si="90"/>
        <v>276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0114</v>
      </c>
      <c r="N984" s="69">
        <f t="shared" si="90"/>
        <v>276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0114</v>
      </c>
      <c r="N985" s="69">
        <f t="shared" si="90"/>
        <v>276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0114</v>
      </c>
      <c r="N986" s="69">
        <f t="shared" si="90"/>
        <v>276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0114</v>
      </c>
      <c r="N987" s="69">
        <f t="shared" si="90"/>
        <v>276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0114</v>
      </c>
      <c r="N988" s="69">
        <f t="shared" si="90"/>
        <v>276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0114</v>
      </c>
      <c r="N989" s="69">
        <f t="shared" si="90"/>
        <v>276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0114</v>
      </c>
      <c r="N990" s="69">
        <f t="shared" si="90"/>
        <v>276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0114</v>
      </c>
      <c r="N991" s="69">
        <f t="shared" si="90"/>
        <v>276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0114</v>
      </c>
      <c r="N992" s="69">
        <f t="shared" si="90"/>
        <v>276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0114</v>
      </c>
      <c r="N993" s="69">
        <f t="shared" si="90"/>
        <v>276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0114</v>
      </c>
      <c r="N994" s="69">
        <f t="shared" si="90"/>
        <v>276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0114</v>
      </c>
      <c r="N995" s="69">
        <f t="shared" si="90"/>
        <v>276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0114</v>
      </c>
      <c r="N996" s="69">
        <f t="shared" si="90"/>
        <v>276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0114</v>
      </c>
      <c r="N997" s="69">
        <f t="shared" si="90"/>
        <v>276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0114</v>
      </c>
      <c r="N998" s="69">
        <f t="shared" si="90"/>
        <v>276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0114</v>
      </c>
      <c r="N999" s="69">
        <f t="shared" si="90"/>
        <v>276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0114</v>
      </c>
      <c r="N1000" s="69">
        <f t="shared" si="90"/>
        <v>276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0114</v>
      </c>
      <c r="N1001" s="69">
        <f t="shared" si="90"/>
        <v>276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0114</v>
      </c>
      <c r="N1002" s="69">
        <f t="shared" si="90"/>
        <v>276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0114</v>
      </c>
      <c r="N1003" s="69">
        <f t="shared" si="90"/>
        <v>276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0114</v>
      </c>
      <c r="N1004" s="69">
        <f t="shared" si="90"/>
        <v>276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0114</v>
      </c>
      <c r="N1005" s="69">
        <f t="shared" si="90"/>
        <v>276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0114</v>
      </c>
      <c r="N1006" s="69">
        <f t="shared" si="90"/>
        <v>276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0114</v>
      </c>
      <c r="N1007" s="69">
        <f t="shared" si="90"/>
        <v>276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0114</v>
      </c>
      <c r="N1008" s="69">
        <f t="shared" si="90"/>
        <v>276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0114</v>
      </c>
      <c r="N1009" s="69">
        <f t="shared" si="90"/>
        <v>276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0114</v>
      </c>
      <c r="N1010" s="69">
        <f t="shared" si="90"/>
        <v>276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0114</v>
      </c>
      <c r="N1011" s="69">
        <f t="shared" si="90"/>
        <v>276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0114</v>
      </c>
      <c r="N1012" s="69">
        <f t="shared" si="90"/>
        <v>276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0114</v>
      </c>
      <c r="N1013" s="69">
        <f t="shared" si="90"/>
        <v>276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0114</v>
      </c>
      <c r="N1014" s="69">
        <f t="shared" si="90"/>
        <v>276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0114</v>
      </c>
      <c r="N1015" s="69">
        <f t="shared" si="90"/>
        <v>276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0114</v>
      </c>
      <c r="N1016" s="69">
        <f t="shared" si="90"/>
        <v>276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0114</v>
      </c>
      <c r="N1017" s="69">
        <f t="shared" si="90"/>
        <v>276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0114</v>
      </c>
      <c r="N1018" s="69">
        <f t="shared" si="90"/>
        <v>276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0114</v>
      </c>
      <c r="N1019" s="69">
        <f t="shared" si="90"/>
        <v>276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0114</v>
      </c>
      <c r="N1020" s="69">
        <f t="shared" si="90"/>
        <v>276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0114</v>
      </c>
      <c r="N1021" s="69">
        <f t="shared" si="90"/>
        <v>276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0114</v>
      </c>
      <c r="N1022" s="69">
        <f t="shared" si="90"/>
        <v>276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0114</v>
      </c>
      <c r="N1023" s="69">
        <f t="shared" si="90"/>
        <v>276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0114</v>
      </c>
      <c r="N1024" s="69">
        <f t="shared" si="90"/>
        <v>276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0114</v>
      </c>
      <c r="N1025" s="69">
        <f t="shared" si="90"/>
        <v>276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0114</v>
      </c>
      <c r="N1026" s="69">
        <f t="shared" si="90"/>
        <v>276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0114</v>
      </c>
      <c r="N1027" s="69">
        <f t="shared" si="90"/>
        <v>276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0114</v>
      </c>
      <c r="N1028" s="69">
        <f t="shared" si="90"/>
        <v>276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0114</v>
      </c>
      <c r="N1029" s="69">
        <f t="shared" si="90"/>
        <v>276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0114</v>
      </c>
      <c r="N1030" s="69">
        <f t="shared" si="90"/>
        <v>276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0114</v>
      </c>
      <c r="N1031" s="69">
        <f t="shared" si="90"/>
        <v>276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0114</v>
      </c>
      <c r="N1032" s="69">
        <f t="shared" si="90"/>
        <v>276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0114</v>
      </c>
      <c r="N1033" s="69">
        <f t="shared" si="90"/>
        <v>276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0114</v>
      </c>
      <c r="N1034" s="69">
        <f t="shared" ref="N1034:N1070" si="93">N1033+S1033</f>
        <v>276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0114</v>
      </c>
      <c r="N1035" s="69">
        <f t="shared" si="93"/>
        <v>276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0114</v>
      </c>
      <c r="N1036" s="69">
        <f t="shared" si="93"/>
        <v>276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0114</v>
      </c>
      <c r="N1037" s="69">
        <f t="shared" si="93"/>
        <v>276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0114</v>
      </c>
      <c r="N1038" s="69">
        <f t="shared" si="93"/>
        <v>276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0114</v>
      </c>
      <c r="N1039" s="69">
        <f t="shared" si="93"/>
        <v>276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0114</v>
      </c>
      <c r="N1040" s="69">
        <f t="shared" si="93"/>
        <v>276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0114</v>
      </c>
      <c r="N1041" s="69">
        <f t="shared" si="93"/>
        <v>276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0114</v>
      </c>
      <c r="N1042" s="69">
        <f t="shared" si="93"/>
        <v>276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0114</v>
      </c>
      <c r="N1043" s="69">
        <f t="shared" si="93"/>
        <v>276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0114</v>
      </c>
      <c r="N1044" s="69">
        <f t="shared" si="93"/>
        <v>276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0114</v>
      </c>
      <c r="N1045" s="69">
        <f t="shared" si="93"/>
        <v>276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0114</v>
      </c>
      <c r="N1046" s="69">
        <f t="shared" si="93"/>
        <v>276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0114</v>
      </c>
      <c r="N1047" s="69">
        <f t="shared" si="93"/>
        <v>276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0114</v>
      </c>
      <c r="N1048" s="69">
        <f t="shared" si="93"/>
        <v>276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0114</v>
      </c>
      <c r="N1049" s="69">
        <f t="shared" si="93"/>
        <v>276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0114</v>
      </c>
      <c r="N1050" s="69">
        <f t="shared" si="93"/>
        <v>276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0114</v>
      </c>
      <c r="N1051" s="69">
        <f t="shared" si="93"/>
        <v>276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0114</v>
      </c>
      <c r="N1052" s="69">
        <f t="shared" si="93"/>
        <v>276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0114</v>
      </c>
      <c r="N1053" s="69">
        <f t="shared" si="93"/>
        <v>276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0114</v>
      </c>
      <c r="N1054" s="69">
        <f t="shared" si="93"/>
        <v>276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0114</v>
      </c>
      <c r="N1055" s="69">
        <f t="shared" si="93"/>
        <v>276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0114</v>
      </c>
      <c r="N1056" s="69">
        <f t="shared" si="93"/>
        <v>276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0114</v>
      </c>
      <c r="N1057" s="69">
        <f t="shared" si="93"/>
        <v>276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0114</v>
      </c>
      <c r="N1058" s="69">
        <f t="shared" si="93"/>
        <v>276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0114</v>
      </c>
      <c r="N1059" s="69">
        <f t="shared" si="93"/>
        <v>276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0114</v>
      </c>
      <c r="N1060" s="69">
        <f t="shared" si="93"/>
        <v>276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0114</v>
      </c>
      <c r="N1061" s="69">
        <f t="shared" si="93"/>
        <v>276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0114</v>
      </c>
      <c r="N1062" s="69">
        <f t="shared" si="93"/>
        <v>276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0114</v>
      </c>
      <c r="N1063" s="69">
        <f t="shared" si="93"/>
        <v>276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0114</v>
      </c>
      <c r="N1064" s="69">
        <f t="shared" si="93"/>
        <v>276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0114</v>
      </c>
      <c r="N1065" s="69">
        <f t="shared" si="93"/>
        <v>276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0114</v>
      </c>
      <c r="N1066" s="69">
        <f t="shared" si="93"/>
        <v>276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0114</v>
      </c>
      <c r="N1067" s="69">
        <f t="shared" si="93"/>
        <v>276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0114</v>
      </c>
      <c r="N1068" s="69">
        <f t="shared" si="93"/>
        <v>276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0114</v>
      </c>
      <c r="N1069" s="69">
        <f t="shared" si="93"/>
        <v>276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0114</v>
      </c>
      <c r="N1070" s="134">
        <f t="shared" si="93"/>
        <v>276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548" priority="37" operator="equal">
      <formula>0</formula>
    </cfRule>
    <cfRule type="cellIs" dxfId="547" priority="38" operator="greaterThan">
      <formula>0</formula>
    </cfRule>
  </conditionalFormatting>
  <conditionalFormatting sqref="F1:W1">
    <cfRule type="containsText" dxfId="546" priority="28" operator="containsText" text="Halted">
      <formula>NOT(ISERROR(SEARCH("Halted",F1)))</formula>
    </cfRule>
    <cfRule type="containsText" dxfId="545" priority="35" operator="containsText" text="Error">
      <formula>NOT(ISERROR(SEARCH("Error",F1)))</formula>
    </cfRule>
    <cfRule type="expression" dxfId="544" priority="36">
      <formula>$F$1&lt;&gt;""</formula>
    </cfRule>
  </conditionalFormatting>
  <conditionalFormatting sqref="P41:R1070">
    <cfRule type="expression" dxfId="543" priority="60">
      <formula>$N41=$E$13</formula>
    </cfRule>
  </conditionalFormatting>
  <conditionalFormatting sqref="M7:T7 M8:N1070 M40:O40 M41:R1070">
    <cfRule type="containsText" dxfId="542" priority="16" operator="containsText" text=" ">
      <formula>NOT(ISERROR(SEARCH(" ",M7)))</formula>
    </cfRule>
  </conditionalFormatting>
  <conditionalFormatting sqref="AL5:AM5">
    <cfRule type="cellIs" dxfId="541" priority="14" operator="equal">
      <formula>0</formula>
    </cfRule>
    <cfRule type="cellIs" dxfId="540" priority="15" operator="equal">
      <formula>1</formula>
    </cfRule>
  </conditionalFormatting>
  <conditionalFormatting sqref="H19:H23">
    <cfRule type="cellIs" dxfId="539" priority="12" operator="equal">
      <formula>0</formula>
    </cfRule>
    <cfRule type="cellIs" dxfId="538" priority="13" operator="equal">
      <formula>1</formula>
    </cfRule>
  </conditionalFormatting>
  <conditionalFormatting sqref="K7:T7 K8:N39 K40:O40 K41:R1070">
    <cfRule type="expression" dxfId="537" priority="11">
      <formula>$E$13=$N7</formula>
    </cfRule>
  </conditionalFormatting>
  <conditionalFormatting sqref="AD5:AK5">
    <cfRule type="cellIs" dxfId="536" priority="9" operator="equal">
      <formula>0</formula>
    </cfRule>
    <cfRule type="cellIs" dxfId="535" priority="10" operator="equal">
      <formula>1</formula>
    </cfRule>
  </conditionalFormatting>
  <conditionalFormatting sqref="AA13:AJ13">
    <cfRule type="cellIs" dxfId="534" priority="4" operator="equal">
      <formula>1</formula>
    </cfRule>
  </conditionalFormatting>
  <conditionalFormatting sqref="AK15:AK30">
    <cfRule type="cellIs" dxfId="533" priority="3" operator="equal">
      <formula>1</formula>
    </cfRule>
  </conditionalFormatting>
  <conditionalFormatting sqref="H26">
    <cfRule type="cellIs" dxfId="532" priority="1" operator="equal">
      <formula>0</formula>
    </cfRule>
    <cfRule type="cellIs" dxfId="53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41"/>
  <sheetViews>
    <sheetView zoomScaleNormal="100" workbookViewId="0">
      <pane xSplit="1" ySplit="4" topLeftCell="B529" activePane="bottomRight" state="frozen"/>
      <selection pane="topRight" activeCell="B1" sqref="B1"/>
      <selection pane="bottomLeft" activeCell="A5" sqref="A5"/>
      <selection pane="bottomRight" activeCell="L545" sqref="L54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0</v>
      </c>
      <c r="Z1" s="156">
        <v>0</v>
      </c>
      <c r="AA1" s="156">
        <v>0</v>
      </c>
      <c r="AB1" s="156">
        <v>0</v>
      </c>
      <c r="AC1" s="156">
        <v>0</v>
      </c>
      <c r="AD1" s="156">
        <v>0</v>
      </c>
      <c r="AE1" s="156">
        <v>0</v>
      </c>
      <c r="AF1" s="157">
        <v>0</v>
      </c>
    </row>
    <row r="2" spans="1:32" ht="15.75" thickBot="1">
      <c r="B2" s="55" t="str">
        <f>CPU!C6</f>
        <v>2C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01</v>
      </c>
      <c r="H2" s="55" t="str">
        <f>CPU!C12</f>
        <v>13</v>
      </c>
      <c r="I2" s="55" t="str">
        <f>PC</f>
        <v>010C</v>
      </c>
      <c r="J2" s="55" t="str">
        <f>SP</f>
        <v>0300</v>
      </c>
      <c r="K2" s="55">
        <f>Carry</f>
        <v>0</v>
      </c>
      <c r="L2" s="55">
        <f>Parity</f>
        <v>0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0</v>
      </c>
      <c r="Z3" s="132">
        <v>0</v>
      </c>
      <c r="AA3" s="132">
        <v>0</v>
      </c>
      <c r="AB3" s="132">
        <v>0</v>
      </c>
      <c r="AC3" s="132">
        <v>0</v>
      </c>
      <c r="AD3" s="132">
        <v>0</v>
      </c>
      <c r="AE3" s="132">
        <v>0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2" t="s">
        <v>336</v>
      </c>
      <c r="V5" s="193"/>
      <c r="W5" s="193"/>
      <c r="X5" s="193"/>
      <c r="Y5" s="193"/>
      <c r="Z5" s="193"/>
      <c r="AA5" s="193"/>
      <c r="AB5" s="194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5" t="s">
        <v>1212</v>
      </c>
      <c r="V6" s="195"/>
      <c r="W6" s="195"/>
      <c r="X6" s="195"/>
      <c r="Y6" s="195"/>
      <c r="Z6" s="195"/>
      <c r="AA6" s="195"/>
      <c r="AB6" s="195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196"/>
      <c r="V7" s="196"/>
      <c r="W7" s="196"/>
      <c r="X7" s="196"/>
      <c r="Y7" s="196"/>
      <c r="Z7" s="196"/>
      <c r="AA7" s="196"/>
      <c r="AB7" s="196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196"/>
      <c r="V8" s="196"/>
      <c r="W8" s="196"/>
      <c r="X8" s="196"/>
      <c r="Y8" s="196"/>
      <c r="Z8" s="196"/>
      <c r="AA8" s="196"/>
      <c r="AB8" s="196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196"/>
      <c r="V9" s="196"/>
      <c r="W9" s="196"/>
      <c r="X9" s="196"/>
      <c r="Y9" s="196"/>
      <c r="Z9" s="196"/>
      <c r="AA9" s="196"/>
      <c r="AB9" s="196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196"/>
      <c r="V10" s="196"/>
      <c r="W10" s="196"/>
      <c r="X10" s="196"/>
      <c r="Y10" s="196"/>
      <c r="Z10" s="196"/>
      <c r="AA10" s="196"/>
      <c r="AB10" s="196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196"/>
      <c r="V11" s="196"/>
      <c r="W11" s="196"/>
      <c r="X11" s="196"/>
      <c r="Y11" s="196"/>
      <c r="Z11" s="196"/>
      <c r="AA11" s="196"/>
      <c r="AB11" s="196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196"/>
      <c r="V12" s="196"/>
      <c r="W12" s="196"/>
      <c r="X12" s="196"/>
      <c r="Y12" s="196"/>
      <c r="Z12" s="196"/>
      <c r="AA12" s="196"/>
      <c r="AB12" s="196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196"/>
      <c r="V13" s="196"/>
      <c r="W13" s="196"/>
      <c r="X13" s="196"/>
      <c r="Y13" s="196"/>
      <c r="Z13" s="196"/>
      <c r="AA13" s="196"/>
      <c r="AB13" s="196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196"/>
      <c r="V14" s="196"/>
      <c r="W14" s="196"/>
      <c r="X14" s="196"/>
      <c r="Y14" s="196"/>
      <c r="Z14" s="196"/>
      <c r="AA14" s="196"/>
      <c r="AB14" s="196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196"/>
      <c r="V15" s="196"/>
      <c r="W15" s="196"/>
      <c r="X15" s="196"/>
      <c r="Y15" s="196"/>
      <c r="Z15" s="196"/>
      <c r="AA15" s="196"/>
      <c r="AB15" s="196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196"/>
      <c r="V16" s="196"/>
      <c r="W16" s="196"/>
      <c r="X16" s="196"/>
      <c r="Y16" s="196"/>
      <c r="Z16" s="196"/>
      <c r="AA16" s="196"/>
      <c r="AB16" s="196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196"/>
      <c r="V17" s="196"/>
      <c r="W17" s="196"/>
      <c r="X17" s="196"/>
      <c r="Y17" s="196"/>
      <c r="Z17" s="196"/>
      <c r="AA17" s="196"/>
      <c r="AB17" s="196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196"/>
      <c r="V18" s="196"/>
      <c r="W18" s="196"/>
      <c r="X18" s="196"/>
      <c r="Y18" s="196"/>
      <c r="Z18" s="196"/>
      <c r="AA18" s="196"/>
      <c r="AB18" s="196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196"/>
      <c r="V19" s="196"/>
      <c r="W19" s="196"/>
      <c r="X19" s="196"/>
      <c r="Y19" s="196"/>
      <c r="Z19" s="196"/>
      <c r="AA19" s="196"/>
      <c r="AB19" s="196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196"/>
      <c r="V20" s="196"/>
      <c r="W20" s="196"/>
      <c r="X20" s="196"/>
      <c r="Y20" s="196"/>
      <c r="Z20" s="196"/>
      <c r="AA20" s="196"/>
      <c r="AB20" s="196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196"/>
      <c r="V21" s="196"/>
      <c r="W21" s="196"/>
      <c r="X21" s="196"/>
      <c r="Y21" s="196"/>
      <c r="Z21" s="196"/>
      <c r="AA21" s="196"/>
      <c r="AB21" s="196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196"/>
      <c r="V22" s="196"/>
      <c r="W22" s="196"/>
      <c r="X22" s="196"/>
      <c r="Y22" s="196"/>
      <c r="Z22" s="196"/>
      <c r="AA22" s="196"/>
      <c r="AB22" s="196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196"/>
      <c r="V23" s="196"/>
      <c r="W23" s="196"/>
      <c r="X23" s="196"/>
      <c r="Y23" s="196"/>
      <c r="Z23" s="196"/>
      <c r="AA23" s="196"/>
      <c r="AB23" s="196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196"/>
      <c r="V24" s="196"/>
      <c r="W24" s="196"/>
      <c r="X24" s="196"/>
      <c r="Y24" s="196"/>
      <c r="Z24" s="196"/>
      <c r="AA24" s="196"/>
      <c r="AB24" s="196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196"/>
      <c r="V25" s="196"/>
      <c r="W25" s="196"/>
      <c r="X25" s="196"/>
      <c r="Y25" s="196"/>
      <c r="Z25" s="196"/>
      <c r="AA25" s="196"/>
      <c r="AB25" s="196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196"/>
      <c r="V26" s="196"/>
      <c r="W26" s="196"/>
      <c r="X26" s="196"/>
      <c r="Y26" s="196"/>
      <c r="Z26" s="196"/>
      <c r="AA26" s="196"/>
      <c r="AB26" s="196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196"/>
      <c r="V27" s="196"/>
      <c r="W27" s="196"/>
      <c r="X27" s="196"/>
      <c r="Y27" s="196"/>
      <c r="Z27" s="196"/>
      <c r="AA27" s="196"/>
      <c r="AB27" s="196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196"/>
      <c r="V28" s="196"/>
      <c r="W28" s="196"/>
      <c r="X28" s="196"/>
      <c r="Y28" s="196"/>
      <c r="Z28" s="196"/>
      <c r="AA28" s="196"/>
      <c r="AB28" s="196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196"/>
      <c r="V29" s="196"/>
      <c r="W29" s="196"/>
      <c r="X29" s="196"/>
      <c r="Y29" s="196"/>
      <c r="Z29" s="196"/>
      <c r="AA29" s="196"/>
      <c r="AB29" s="196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196"/>
      <c r="V30" s="196"/>
      <c r="W30" s="196"/>
      <c r="X30" s="196"/>
      <c r="Y30" s="196"/>
      <c r="Z30" s="196"/>
      <c r="AA30" s="196"/>
      <c r="AB30" s="196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196"/>
      <c r="V31" s="196"/>
      <c r="W31" s="196"/>
      <c r="X31" s="196"/>
      <c r="Y31" s="196"/>
      <c r="Z31" s="196"/>
      <c r="AA31" s="196"/>
      <c r="AB31" s="196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196"/>
      <c r="V32" s="196"/>
      <c r="W32" s="196"/>
      <c r="X32" s="196"/>
      <c r="Y32" s="196"/>
      <c r="Z32" s="196"/>
      <c r="AA32" s="196"/>
      <c r="AB32" s="196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196"/>
      <c r="V33" s="196"/>
      <c r="W33" s="196"/>
      <c r="X33" s="196"/>
      <c r="Y33" s="196"/>
      <c r="Z33" s="196"/>
      <c r="AA33" s="196"/>
      <c r="AB33" s="196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196"/>
      <c r="V34" s="196"/>
      <c r="W34" s="196"/>
      <c r="X34" s="196"/>
      <c r="Y34" s="196"/>
      <c r="Z34" s="196"/>
      <c r="AA34" s="196"/>
      <c r="AB34" s="196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196"/>
      <c r="V35" s="196"/>
      <c r="W35" s="196"/>
      <c r="X35" s="196"/>
      <c r="Y35" s="196"/>
      <c r="Z35" s="196"/>
      <c r="AA35" s="196"/>
      <c r="AB35" s="196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0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1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/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/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/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/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/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/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/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/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0</v>
      </c>
      <c r="K102" s="54"/>
      <c r="L102" s="39" t="s">
        <v>288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</row>
    <row r="104" spans="1:19" ht="15.75" thickBot="1"/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</row>
    <row r="106" spans="1:19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</row>
    <row r="107" spans="1:19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</row>
    <row r="108" spans="1:19">
      <c r="B108" s="6" t="str">
        <f t="shared" si="36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</row>
    <row r="109" spans="1:19">
      <c r="B109" s="6" t="str">
        <f t="shared" si="36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</row>
    <row r="110" spans="1:19">
      <c r="B110" s="6" t="str">
        <f t="shared" si="36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0</v>
      </c>
      <c r="K110" s="54"/>
      <c r="L110" s="39" t="s">
        <v>294</v>
      </c>
    </row>
    <row r="111" spans="1:19">
      <c r="B111" s="6" t="str">
        <f t="shared" si="36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</row>
    <row r="112" spans="1:19" ht="15.75" thickBot="1">
      <c r="H112" s="51"/>
      <c r="J112" s="51"/>
      <c r="K112" s="51"/>
    </row>
    <row r="113" spans="1:14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</row>
    <row r="114" spans="1:14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</row>
    <row r="115" spans="1:14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</row>
    <row r="116" spans="1:14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</row>
    <row r="117" spans="1:14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4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4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4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4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4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14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14" ht="15.75" thickBot="1">
      <c r="H124" s="51"/>
      <c r="J124" s="51"/>
      <c r="K124" s="51"/>
    </row>
    <row r="125" spans="1:14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4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4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4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0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1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0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0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0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1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1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1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1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0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0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1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0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0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0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0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0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0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0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0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0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1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0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0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0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0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0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0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0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0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0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0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0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0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0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0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</sheetData>
  <mergeCells count="2">
    <mergeCell ref="U5:AB5"/>
    <mergeCell ref="U6:AB35"/>
  </mergeCells>
  <phoneticPr fontId="16" type="noConversion"/>
  <conditionalFormatting sqref="J4:K4">
    <cfRule type="cellIs" dxfId="530" priority="861" operator="equal">
      <formula>0</formula>
    </cfRule>
    <cfRule type="cellIs" dxfId="529" priority="862" operator="equal">
      <formula>1</formula>
    </cfRule>
  </conditionalFormatting>
  <conditionalFormatting sqref="J11:K11">
    <cfRule type="cellIs" dxfId="528" priority="859" operator="equal">
      <formula>0</formula>
    </cfRule>
    <cfRule type="cellIs" dxfId="527" priority="860" operator="equal">
      <formula>1</formula>
    </cfRule>
  </conditionalFormatting>
  <conditionalFormatting sqref="J16:K16">
    <cfRule type="cellIs" dxfId="526" priority="857" operator="equal">
      <formula>0</formula>
    </cfRule>
    <cfRule type="cellIs" dxfId="525" priority="858" operator="equal">
      <formula>1</formula>
    </cfRule>
  </conditionalFormatting>
  <conditionalFormatting sqref="J29:K29">
    <cfRule type="cellIs" dxfId="524" priority="853" operator="equal">
      <formula>0</formula>
    </cfRule>
    <cfRule type="cellIs" dxfId="523" priority="854" operator="equal">
      <formula>1</formula>
    </cfRule>
  </conditionalFormatting>
  <conditionalFormatting sqref="M4:N4">
    <cfRule type="cellIs" dxfId="522" priority="851" operator="equal">
      <formula>0</formula>
    </cfRule>
    <cfRule type="cellIs" dxfId="521" priority="852" operator="equal">
      <formula>1</formula>
    </cfRule>
  </conditionalFormatting>
  <conditionalFormatting sqref="J38:K38">
    <cfRule type="cellIs" dxfId="520" priority="841" operator="equal">
      <formula>0</formula>
    </cfRule>
    <cfRule type="cellIs" dxfId="519" priority="842" operator="equal">
      <formula>1</formula>
    </cfRule>
  </conditionalFormatting>
  <conditionalFormatting sqref="K49">
    <cfRule type="cellIs" dxfId="518" priority="837" operator="equal">
      <formula>0</formula>
    </cfRule>
    <cfRule type="cellIs" dxfId="517" priority="838" operator="equal">
      <formula>1</formula>
    </cfRule>
  </conditionalFormatting>
  <conditionalFormatting sqref="K66">
    <cfRule type="cellIs" dxfId="516" priority="829" operator="equal">
      <formula>0</formula>
    </cfRule>
    <cfRule type="cellIs" dxfId="515" priority="830" operator="equal">
      <formula>1</formula>
    </cfRule>
  </conditionalFormatting>
  <conditionalFormatting sqref="K57">
    <cfRule type="cellIs" dxfId="514" priority="825" operator="equal">
      <formula>0</formula>
    </cfRule>
    <cfRule type="cellIs" dxfId="513" priority="826" operator="equal">
      <formula>1</formula>
    </cfRule>
  </conditionalFormatting>
  <conditionalFormatting sqref="J49">
    <cfRule type="cellIs" dxfId="512" priority="821" operator="equal">
      <formula>0</formula>
    </cfRule>
    <cfRule type="cellIs" dxfId="511" priority="822" operator="equal">
      <formula>1</formula>
    </cfRule>
  </conditionalFormatting>
  <conditionalFormatting sqref="J57">
    <cfRule type="cellIs" dxfId="510" priority="819" operator="equal">
      <formula>0</formula>
    </cfRule>
    <cfRule type="cellIs" dxfId="509" priority="820" operator="equal">
      <formula>1</formula>
    </cfRule>
  </conditionalFormatting>
  <conditionalFormatting sqref="J66">
    <cfRule type="cellIs" dxfId="508" priority="817" operator="equal">
      <formula>0</formula>
    </cfRule>
    <cfRule type="cellIs" dxfId="507" priority="818" operator="equal">
      <formula>1</formula>
    </cfRule>
  </conditionalFormatting>
  <conditionalFormatting sqref="K74">
    <cfRule type="cellIs" dxfId="506" priority="815" operator="equal">
      <formula>0</formula>
    </cfRule>
    <cfRule type="cellIs" dxfId="505" priority="816" operator="equal">
      <formula>1</formula>
    </cfRule>
  </conditionalFormatting>
  <conditionalFormatting sqref="J74">
    <cfRule type="cellIs" dxfId="504" priority="811" operator="equal">
      <formula>0</formula>
    </cfRule>
    <cfRule type="cellIs" dxfId="503" priority="812" operator="equal">
      <formula>1</formula>
    </cfRule>
  </conditionalFormatting>
  <conditionalFormatting sqref="R6:R101">
    <cfRule type="cellIs" dxfId="502" priority="809" operator="equal">
      <formula>0</formula>
    </cfRule>
    <cfRule type="cellIs" dxfId="501" priority="810" operator="equal">
      <formula>1</formula>
    </cfRule>
  </conditionalFormatting>
  <conditionalFormatting sqref="K83">
    <cfRule type="cellIs" dxfId="500" priority="791" operator="equal">
      <formula>0</formula>
    </cfRule>
    <cfRule type="cellIs" dxfId="499" priority="792" operator="equal">
      <formula>1</formula>
    </cfRule>
  </conditionalFormatting>
  <conditionalFormatting sqref="J83">
    <cfRule type="cellIs" dxfId="498" priority="789" operator="equal">
      <formula>0</formula>
    </cfRule>
    <cfRule type="cellIs" dxfId="497" priority="790" operator="equal">
      <formula>1</formula>
    </cfRule>
  </conditionalFormatting>
  <conditionalFormatting sqref="K97">
    <cfRule type="cellIs" dxfId="496" priority="785" operator="equal">
      <formula>0</formula>
    </cfRule>
    <cfRule type="cellIs" dxfId="495" priority="786" operator="equal">
      <formula>1</formula>
    </cfRule>
  </conditionalFormatting>
  <conditionalFormatting sqref="J97">
    <cfRule type="cellIs" dxfId="494" priority="783" operator="equal">
      <formula>0</formula>
    </cfRule>
    <cfRule type="cellIs" dxfId="493" priority="784" operator="equal">
      <formula>1</formula>
    </cfRule>
  </conditionalFormatting>
  <conditionalFormatting sqref="K105">
    <cfRule type="cellIs" dxfId="492" priority="773" operator="equal">
      <formula>0</formula>
    </cfRule>
    <cfRule type="cellIs" dxfId="491" priority="774" operator="equal">
      <formula>1</formula>
    </cfRule>
  </conditionalFormatting>
  <conditionalFormatting sqref="J105">
    <cfRule type="cellIs" dxfId="490" priority="771" operator="equal">
      <formula>0</formula>
    </cfRule>
    <cfRule type="cellIs" dxfId="489" priority="772" operator="equal">
      <formula>1</formula>
    </cfRule>
  </conditionalFormatting>
  <conditionalFormatting sqref="K113">
    <cfRule type="cellIs" dxfId="488" priority="767" operator="equal">
      <formula>0</formula>
    </cfRule>
    <cfRule type="cellIs" dxfId="487" priority="768" operator="equal">
      <formula>1</formula>
    </cfRule>
  </conditionalFormatting>
  <conditionalFormatting sqref="K125">
    <cfRule type="cellIs" dxfId="486" priority="729" operator="equal">
      <formula>0</formula>
    </cfRule>
    <cfRule type="cellIs" dxfId="485" priority="730" operator="equal">
      <formula>1</formula>
    </cfRule>
  </conditionalFormatting>
  <conditionalFormatting sqref="K135">
    <cfRule type="cellIs" dxfId="484" priority="715" operator="equal">
      <formula>0</formula>
    </cfRule>
    <cfRule type="cellIs" dxfId="483" priority="716" operator="equal">
      <formula>1</formula>
    </cfRule>
  </conditionalFormatting>
  <conditionalFormatting sqref="J125">
    <cfRule type="cellIs" dxfId="482" priority="709" operator="equal">
      <formula>0</formula>
    </cfRule>
    <cfRule type="cellIs" dxfId="481" priority="710" operator="equal">
      <formula>1</formula>
    </cfRule>
  </conditionalFormatting>
  <conditionalFormatting sqref="J135">
    <cfRule type="cellIs" dxfId="480" priority="707" operator="equal">
      <formula>0</formula>
    </cfRule>
    <cfRule type="cellIs" dxfId="479" priority="708" operator="equal">
      <formula>1</formula>
    </cfRule>
  </conditionalFormatting>
  <conditionalFormatting sqref="J113">
    <cfRule type="cellIs" dxfId="478" priority="705" operator="equal">
      <formula>0</formula>
    </cfRule>
    <cfRule type="cellIs" dxfId="477" priority="706" operator="equal">
      <formula>1</formula>
    </cfRule>
  </conditionalFormatting>
  <conditionalFormatting sqref="K148">
    <cfRule type="cellIs" dxfId="476" priority="703" operator="equal">
      <formula>0</formula>
    </cfRule>
    <cfRule type="cellIs" dxfId="475" priority="704" operator="equal">
      <formula>1</formula>
    </cfRule>
  </conditionalFormatting>
  <conditionalFormatting sqref="J148">
    <cfRule type="cellIs" dxfId="474" priority="697" operator="equal">
      <formula>0</formula>
    </cfRule>
    <cfRule type="cellIs" dxfId="473" priority="698" operator="equal">
      <formula>1</formula>
    </cfRule>
  </conditionalFormatting>
  <conditionalFormatting sqref="K163">
    <cfRule type="cellIs" dxfId="472" priority="693" operator="equal">
      <formula>0</formula>
    </cfRule>
    <cfRule type="cellIs" dxfId="471" priority="694" operator="equal">
      <formula>1</formula>
    </cfRule>
  </conditionalFormatting>
  <conditionalFormatting sqref="J163">
    <cfRule type="cellIs" dxfId="470" priority="691" operator="equal">
      <formula>0</formula>
    </cfRule>
    <cfRule type="cellIs" dxfId="469" priority="692" operator="equal">
      <formula>1</formula>
    </cfRule>
  </conditionalFormatting>
  <conditionalFormatting sqref="K174">
    <cfRule type="cellIs" dxfId="468" priority="687" operator="equal">
      <formula>0</formula>
    </cfRule>
    <cfRule type="cellIs" dxfId="467" priority="688" operator="equal">
      <formula>1</formula>
    </cfRule>
  </conditionalFormatting>
  <conditionalFormatting sqref="J174">
    <cfRule type="cellIs" dxfId="466" priority="685" operator="equal">
      <formula>0</formula>
    </cfRule>
    <cfRule type="cellIs" dxfId="465" priority="686" operator="equal">
      <formula>1</formula>
    </cfRule>
  </conditionalFormatting>
  <conditionalFormatting sqref="K184">
    <cfRule type="cellIs" dxfId="464" priority="675" operator="equal">
      <formula>0</formula>
    </cfRule>
    <cfRule type="cellIs" dxfId="463" priority="676" operator="equal">
      <formula>1</formula>
    </cfRule>
  </conditionalFormatting>
  <conditionalFormatting sqref="J184">
    <cfRule type="cellIs" dxfId="462" priority="673" operator="equal">
      <formula>0</formula>
    </cfRule>
    <cfRule type="cellIs" dxfId="461" priority="674" operator="equal">
      <formula>1</formula>
    </cfRule>
  </conditionalFormatting>
  <conditionalFormatting sqref="K194">
    <cfRule type="cellIs" dxfId="460" priority="669" operator="equal">
      <formula>0</formula>
    </cfRule>
    <cfRule type="cellIs" dxfId="459" priority="670" operator="equal">
      <formula>1</formula>
    </cfRule>
  </conditionalFormatting>
  <conditionalFormatting sqref="J194">
    <cfRule type="cellIs" dxfId="458" priority="667" operator="equal">
      <formula>0</formula>
    </cfRule>
    <cfRule type="cellIs" dxfId="457" priority="668" operator="equal">
      <formula>1</formula>
    </cfRule>
  </conditionalFormatting>
  <conditionalFormatting sqref="K204">
    <cfRule type="cellIs" dxfId="456" priority="663" operator="equal">
      <formula>0</formula>
    </cfRule>
    <cfRule type="cellIs" dxfId="455" priority="664" operator="equal">
      <formula>1</formula>
    </cfRule>
  </conditionalFormatting>
  <conditionalFormatting sqref="J204">
    <cfRule type="cellIs" dxfId="454" priority="661" operator="equal">
      <formula>0</formula>
    </cfRule>
    <cfRule type="cellIs" dxfId="453" priority="662" operator="equal">
      <formula>1</formula>
    </cfRule>
  </conditionalFormatting>
  <conditionalFormatting sqref="K211">
    <cfRule type="cellIs" dxfId="452" priority="657" operator="equal">
      <formula>0</formula>
    </cfRule>
    <cfRule type="cellIs" dxfId="451" priority="658" operator="equal">
      <formula>1</formula>
    </cfRule>
  </conditionalFormatting>
  <conditionalFormatting sqref="J211">
    <cfRule type="cellIs" dxfId="450" priority="655" operator="equal">
      <formula>0</formula>
    </cfRule>
    <cfRule type="cellIs" dxfId="449" priority="656" operator="equal">
      <formula>1</formula>
    </cfRule>
  </conditionalFormatting>
  <conditionalFormatting sqref="K224">
    <cfRule type="cellIs" dxfId="448" priority="651" operator="equal">
      <formula>0</formula>
    </cfRule>
    <cfRule type="cellIs" dxfId="447" priority="652" operator="equal">
      <formula>1</formula>
    </cfRule>
  </conditionalFormatting>
  <conditionalFormatting sqref="J224">
    <cfRule type="cellIs" dxfId="446" priority="649" operator="equal">
      <formula>0</formula>
    </cfRule>
    <cfRule type="cellIs" dxfId="445" priority="650" operator="equal">
      <formula>1</formula>
    </cfRule>
  </conditionalFormatting>
  <conditionalFormatting sqref="K240">
    <cfRule type="cellIs" dxfId="444" priority="645" operator="equal">
      <formula>0</formula>
    </cfRule>
    <cfRule type="cellIs" dxfId="443" priority="646" operator="equal">
      <formula>1</formula>
    </cfRule>
  </conditionalFormatting>
  <conditionalFormatting sqref="J240">
    <cfRule type="cellIs" dxfId="442" priority="643" operator="equal">
      <formula>0</formula>
    </cfRule>
    <cfRule type="cellIs" dxfId="441" priority="644" operator="equal">
      <formula>1</formula>
    </cfRule>
  </conditionalFormatting>
  <conditionalFormatting sqref="K253">
    <cfRule type="cellIs" dxfId="440" priority="639" operator="equal">
      <formula>0</formula>
    </cfRule>
    <cfRule type="cellIs" dxfId="439" priority="640" operator="equal">
      <formula>1</formula>
    </cfRule>
  </conditionalFormatting>
  <conditionalFormatting sqref="J253">
    <cfRule type="cellIs" dxfId="438" priority="637" operator="equal">
      <formula>0</formula>
    </cfRule>
    <cfRule type="cellIs" dxfId="437" priority="638" operator="equal">
      <formula>1</formula>
    </cfRule>
  </conditionalFormatting>
  <conditionalFormatting sqref="K259">
    <cfRule type="cellIs" dxfId="436" priority="621" operator="equal">
      <formula>0</formula>
    </cfRule>
    <cfRule type="cellIs" dxfId="435" priority="622" operator="equal">
      <formula>1</formula>
    </cfRule>
  </conditionalFormatting>
  <conditionalFormatting sqref="J259">
    <cfRule type="cellIs" dxfId="434" priority="619" operator="equal">
      <formula>0</formula>
    </cfRule>
    <cfRule type="cellIs" dxfId="433" priority="620" operator="equal">
      <formula>1</formula>
    </cfRule>
  </conditionalFormatting>
  <conditionalFormatting sqref="K265">
    <cfRule type="cellIs" dxfId="432" priority="615" operator="equal">
      <formula>0</formula>
    </cfRule>
    <cfRule type="cellIs" dxfId="431" priority="616" operator="equal">
      <formula>1</formula>
    </cfRule>
  </conditionalFormatting>
  <conditionalFormatting sqref="J265">
    <cfRule type="cellIs" dxfId="430" priority="613" operator="equal">
      <formula>0</formula>
    </cfRule>
    <cfRule type="cellIs" dxfId="429" priority="614" operator="equal">
      <formula>1</formula>
    </cfRule>
  </conditionalFormatting>
  <conditionalFormatting sqref="K273">
    <cfRule type="cellIs" dxfId="428" priority="609" operator="equal">
      <formula>0</formula>
    </cfRule>
    <cfRule type="cellIs" dxfId="427" priority="610" operator="equal">
      <formula>1</formula>
    </cfRule>
  </conditionalFormatting>
  <conditionalFormatting sqref="J273">
    <cfRule type="cellIs" dxfId="426" priority="607" operator="equal">
      <formula>0</formula>
    </cfRule>
    <cfRule type="cellIs" dxfId="425" priority="608" operator="equal">
      <formula>1</formula>
    </cfRule>
  </conditionalFormatting>
  <conditionalFormatting sqref="K281">
    <cfRule type="cellIs" dxfId="424" priority="603" operator="equal">
      <formula>0</formula>
    </cfRule>
    <cfRule type="cellIs" dxfId="423" priority="604" operator="equal">
      <formula>1</formula>
    </cfRule>
  </conditionalFormatting>
  <conditionalFormatting sqref="J281">
    <cfRule type="cellIs" dxfId="422" priority="601" operator="equal">
      <formula>0</formula>
    </cfRule>
    <cfRule type="cellIs" dxfId="421" priority="602" operator="equal">
      <formula>1</formula>
    </cfRule>
  </conditionalFormatting>
  <conditionalFormatting sqref="K290">
    <cfRule type="cellIs" dxfId="420" priority="597" operator="equal">
      <formula>0</formula>
    </cfRule>
    <cfRule type="cellIs" dxfId="419" priority="598" operator="equal">
      <formula>1</formula>
    </cfRule>
  </conditionalFormatting>
  <conditionalFormatting sqref="J290">
    <cfRule type="cellIs" dxfId="418" priority="595" operator="equal">
      <formula>0</formula>
    </cfRule>
    <cfRule type="cellIs" dxfId="417" priority="596" operator="equal">
      <formula>1</formula>
    </cfRule>
  </conditionalFormatting>
  <conditionalFormatting sqref="K299">
    <cfRule type="cellIs" dxfId="416" priority="591" operator="equal">
      <formula>0</formula>
    </cfRule>
    <cfRule type="cellIs" dxfId="415" priority="592" operator="equal">
      <formula>1</formula>
    </cfRule>
  </conditionalFormatting>
  <conditionalFormatting sqref="J299">
    <cfRule type="cellIs" dxfId="414" priority="589" operator="equal">
      <formula>0</formula>
    </cfRule>
    <cfRule type="cellIs" dxfId="413" priority="590" operator="equal">
      <formula>1</formula>
    </cfRule>
  </conditionalFormatting>
  <conditionalFormatting sqref="K308">
    <cfRule type="cellIs" dxfId="412" priority="585" operator="equal">
      <formula>0</formula>
    </cfRule>
    <cfRule type="cellIs" dxfId="411" priority="586" operator="equal">
      <formula>1</formula>
    </cfRule>
  </conditionalFormatting>
  <conditionalFormatting sqref="J308">
    <cfRule type="cellIs" dxfId="410" priority="583" operator="equal">
      <formula>0</formula>
    </cfRule>
    <cfRule type="cellIs" dxfId="409" priority="584" operator="equal">
      <formula>1</formula>
    </cfRule>
  </conditionalFormatting>
  <conditionalFormatting sqref="K317">
    <cfRule type="cellIs" dxfId="408" priority="579" operator="equal">
      <formula>0</formula>
    </cfRule>
    <cfRule type="cellIs" dxfId="407" priority="580" operator="equal">
      <formula>1</formula>
    </cfRule>
  </conditionalFormatting>
  <conditionalFormatting sqref="K326">
    <cfRule type="cellIs" dxfId="406" priority="573" operator="equal">
      <formula>0</formula>
    </cfRule>
    <cfRule type="cellIs" dxfId="405" priority="574" operator="equal">
      <formula>1</formula>
    </cfRule>
  </conditionalFormatting>
  <conditionalFormatting sqref="K335">
    <cfRule type="cellIs" dxfId="404" priority="567" operator="equal">
      <formula>0</formula>
    </cfRule>
    <cfRule type="cellIs" dxfId="403" priority="568" operator="equal">
      <formula>1</formula>
    </cfRule>
  </conditionalFormatting>
  <conditionalFormatting sqref="K344">
    <cfRule type="cellIs" dxfId="402" priority="561" operator="equal">
      <formula>0</formula>
    </cfRule>
    <cfRule type="cellIs" dxfId="401" priority="562" operator="equal">
      <formula>1</formula>
    </cfRule>
  </conditionalFormatting>
  <conditionalFormatting sqref="K353">
    <cfRule type="cellIs" dxfId="400" priority="555" operator="equal">
      <formula>0</formula>
    </cfRule>
    <cfRule type="cellIs" dxfId="399" priority="556" operator="equal">
      <formula>1</formula>
    </cfRule>
  </conditionalFormatting>
  <conditionalFormatting sqref="K362">
    <cfRule type="cellIs" dxfId="398" priority="549" operator="equal">
      <formula>0</formula>
    </cfRule>
    <cfRule type="cellIs" dxfId="397" priority="550" operator="equal">
      <formula>1</formula>
    </cfRule>
  </conditionalFormatting>
  <conditionalFormatting sqref="K371">
    <cfRule type="cellIs" dxfId="396" priority="543" operator="equal">
      <formula>0</formula>
    </cfRule>
    <cfRule type="cellIs" dxfId="395" priority="544" operator="equal">
      <formula>1</formula>
    </cfRule>
  </conditionalFormatting>
  <conditionalFormatting sqref="J371">
    <cfRule type="cellIs" dxfId="394" priority="541" operator="equal">
      <formula>0</formula>
    </cfRule>
    <cfRule type="cellIs" dxfId="393" priority="542" operator="equal">
      <formula>1</formula>
    </cfRule>
  </conditionalFormatting>
  <conditionalFormatting sqref="K380">
    <cfRule type="cellIs" dxfId="392" priority="537" operator="equal">
      <formula>0</formula>
    </cfRule>
    <cfRule type="cellIs" dxfId="391" priority="538" operator="equal">
      <formula>1</formula>
    </cfRule>
  </conditionalFormatting>
  <conditionalFormatting sqref="J380">
    <cfRule type="cellIs" dxfId="390" priority="535" operator="equal">
      <formula>0</formula>
    </cfRule>
    <cfRule type="cellIs" dxfId="389" priority="536" operator="equal">
      <formula>1</formula>
    </cfRule>
  </conditionalFormatting>
  <conditionalFormatting sqref="K389">
    <cfRule type="cellIs" dxfId="388" priority="531" operator="equal">
      <formula>0</formula>
    </cfRule>
    <cfRule type="cellIs" dxfId="387" priority="532" operator="equal">
      <formula>1</formula>
    </cfRule>
  </conditionalFormatting>
  <conditionalFormatting sqref="K398">
    <cfRule type="cellIs" dxfId="386" priority="525" operator="equal">
      <formula>0</formula>
    </cfRule>
    <cfRule type="cellIs" dxfId="385" priority="526" operator="equal">
      <formula>1</formula>
    </cfRule>
  </conditionalFormatting>
  <conditionalFormatting sqref="K407">
    <cfRule type="cellIs" dxfId="384" priority="519" operator="equal">
      <formula>0</formula>
    </cfRule>
    <cfRule type="cellIs" dxfId="383" priority="520" operator="equal">
      <formula>1</formula>
    </cfRule>
  </conditionalFormatting>
  <conditionalFormatting sqref="K416">
    <cfRule type="cellIs" dxfId="382" priority="513" operator="equal">
      <formula>0</formula>
    </cfRule>
    <cfRule type="cellIs" dxfId="381" priority="514" operator="equal">
      <formula>1</formula>
    </cfRule>
  </conditionalFormatting>
  <conditionalFormatting sqref="J416">
    <cfRule type="cellIs" dxfId="380" priority="511" operator="equal">
      <formula>0</formula>
    </cfRule>
    <cfRule type="cellIs" dxfId="379" priority="512" operator="equal">
      <formula>1</formula>
    </cfRule>
  </conditionalFormatting>
  <conditionalFormatting sqref="K427">
    <cfRule type="cellIs" dxfId="378" priority="507" operator="equal">
      <formula>0</formula>
    </cfRule>
    <cfRule type="cellIs" dxfId="377" priority="508" operator="equal">
      <formula>1</formula>
    </cfRule>
  </conditionalFormatting>
  <conditionalFormatting sqref="K436">
    <cfRule type="cellIs" dxfId="376" priority="501" operator="equal">
      <formula>0</formula>
    </cfRule>
    <cfRule type="cellIs" dxfId="375" priority="502" operator="equal">
      <formula>1</formula>
    </cfRule>
  </conditionalFormatting>
  <conditionalFormatting sqref="K445">
    <cfRule type="cellIs" dxfId="374" priority="495" operator="equal">
      <formula>0</formula>
    </cfRule>
    <cfRule type="cellIs" dxfId="373" priority="496" operator="equal">
      <formula>1</formula>
    </cfRule>
  </conditionalFormatting>
  <conditionalFormatting sqref="J445">
    <cfRule type="cellIs" dxfId="372" priority="493" operator="equal">
      <formula>0</formula>
    </cfRule>
    <cfRule type="cellIs" dxfId="371" priority="494" operator="equal">
      <formula>1</formula>
    </cfRule>
  </conditionalFormatting>
  <conditionalFormatting sqref="K460">
    <cfRule type="cellIs" dxfId="370" priority="489" operator="equal">
      <formula>0</formula>
    </cfRule>
    <cfRule type="cellIs" dxfId="369" priority="490" operator="equal">
      <formula>1</formula>
    </cfRule>
  </conditionalFormatting>
  <conditionalFormatting sqref="J460">
    <cfRule type="cellIs" dxfId="368" priority="487" operator="equal">
      <formula>0</formula>
    </cfRule>
    <cfRule type="cellIs" dxfId="367" priority="488" operator="equal">
      <formula>1</formula>
    </cfRule>
  </conditionalFormatting>
  <conditionalFormatting sqref="K467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467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K478">
    <cfRule type="cellIs" dxfId="362" priority="477" operator="equal">
      <formula>0</formula>
    </cfRule>
    <cfRule type="cellIs" dxfId="361" priority="478" operator="equal">
      <formula>1</formula>
    </cfRule>
  </conditionalFormatting>
  <conditionalFormatting sqref="J478">
    <cfRule type="cellIs" dxfId="360" priority="475" operator="equal">
      <formula>0</formula>
    </cfRule>
    <cfRule type="cellIs" dxfId="359" priority="476" operator="equal">
      <formula>1</formula>
    </cfRule>
  </conditionalFormatting>
  <conditionalFormatting sqref="K483">
    <cfRule type="cellIs" dxfId="358" priority="471" operator="equal">
      <formula>0</formula>
    </cfRule>
    <cfRule type="cellIs" dxfId="357" priority="472" operator="equal">
      <formula>1</formula>
    </cfRule>
  </conditionalFormatting>
  <conditionalFormatting sqref="J483">
    <cfRule type="cellIs" dxfId="356" priority="469" operator="equal">
      <formula>0</formula>
    </cfRule>
    <cfRule type="cellIs" dxfId="355" priority="470" operator="equal">
      <formula>1</formula>
    </cfRule>
  </conditionalFormatting>
  <conditionalFormatting sqref="K490">
    <cfRule type="cellIs" dxfId="354" priority="465" operator="equal">
      <formula>0</formula>
    </cfRule>
    <cfRule type="cellIs" dxfId="353" priority="466" operator="equal">
      <formula>1</formula>
    </cfRule>
  </conditionalFormatting>
  <conditionalFormatting sqref="J490">
    <cfRule type="cellIs" dxfId="352" priority="463" operator="equal">
      <formula>0</formula>
    </cfRule>
    <cfRule type="cellIs" dxfId="351" priority="464" operator="equal">
      <formula>1</formula>
    </cfRule>
  </conditionalFormatting>
  <conditionalFormatting sqref="K500">
    <cfRule type="cellIs" dxfId="350" priority="459" operator="equal">
      <formula>0</formula>
    </cfRule>
    <cfRule type="cellIs" dxfId="349" priority="460" operator="equal">
      <formula>1</formula>
    </cfRule>
  </conditionalFormatting>
  <conditionalFormatting sqref="J500">
    <cfRule type="cellIs" dxfId="348" priority="457" operator="equal">
      <formula>0</formula>
    </cfRule>
    <cfRule type="cellIs" dxfId="347" priority="458" operator="equal">
      <formula>1</formula>
    </cfRule>
  </conditionalFormatting>
  <conditionalFormatting sqref="E518:G528">
    <cfRule type="expression" dxfId="346" priority="454">
      <formula>$N518=$E$13</formula>
    </cfRule>
  </conditionalFormatting>
  <conditionalFormatting sqref="D518:G528">
    <cfRule type="containsText" dxfId="345" priority="453" operator="containsText" text=" ">
      <formula>NOT(ISERROR(SEARCH(" ",D518)))</formula>
    </cfRule>
  </conditionalFormatting>
  <conditionalFormatting sqref="D518:G528">
    <cfRule type="expression" dxfId="344" priority="452">
      <formula>$E$13=$N518</formula>
    </cfRule>
  </conditionalFormatting>
  <conditionalFormatting sqref="K530">
    <cfRule type="cellIs" dxfId="343" priority="450" operator="equal">
      <formula>0</formula>
    </cfRule>
    <cfRule type="cellIs" dxfId="342" priority="451" operator="equal">
      <formula>1</formula>
    </cfRule>
  </conditionalFormatting>
  <conditionalFormatting sqref="J530">
    <cfRule type="cellIs" dxfId="341" priority="448" operator="equal">
      <formula>0</formula>
    </cfRule>
    <cfRule type="cellIs" dxfId="340" priority="449" operator="equal">
      <formula>1</formula>
    </cfRule>
  </conditionalFormatting>
  <conditionalFormatting sqref="S6:S101">
    <cfRule type="cellIs" dxfId="339" priority="444" operator="equal">
      <formula>0</formula>
    </cfRule>
    <cfRule type="cellIs" dxfId="338" priority="445" operator="equal">
      <formula>1</formula>
    </cfRule>
  </conditionalFormatting>
  <conditionalFormatting sqref="M11:N11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16:N16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29:N29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8:N38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49:N49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57:N57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66:N66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74:N74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83:N83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97:N97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105:N105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113:N113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125:N125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135:N135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148:N148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163:N163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174:N174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184:N184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194:N194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204:N204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211:N211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224:N224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240:N24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M253:N253">
    <cfRule type="cellIs" dxfId="291" priority="394" operator="equal">
      <formula>0</formula>
    </cfRule>
    <cfRule type="cellIs" dxfId="290" priority="395" operator="equal">
      <formula>1</formula>
    </cfRule>
  </conditionalFormatting>
  <conditionalFormatting sqref="M259:N259">
    <cfRule type="cellIs" dxfId="289" priority="392" operator="equal">
      <formula>0</formula>
    </cfRule>
    <cfRule type="cellIs" dxfId="288" priority="393" operator="equal">
      <formula>1</formula>
    </cfRule>
  </conditionalFormatting>
  <conditionalFormatting sqref="M265:N265">
    <cfRule type="cellIs" dxfId="287" priority="390" operator="equal">
      <formula>0</formula>
    </cfRule>
    <cfRule type="cellIs" dxfId="286" priority="391" operator="equal">
      <formula>1</formula>
    </cfRule>
  </conditionalFormatting>
  <conditionalFormatting sqref="M273:N273">
    <cfRule type="cellIs" dxfId="285" priority="388" operator="equal">
      <formula>0</formula>
    </cfRule>
    <cfRule type="cellIs" dxfId="284" priority="389" operator="equal">
      <formula>1</formula>
    </cfRule>
  </conditionalFormatting>
  <conditionalFormatting sqref="M281:N281">
    <cfRule type="cellIs" dxfId="283" priority="386" operator="equal">
      <formula>0</formula>
    </cfRule>
    <cfRule type="cellIs" dxfId="282" priority="387" operator="equal">
      <formula>1</formula>
    </cfRule>
  </conditionalFormatting>
  <conditionalFormatting sqref="M290:N290">
    <cfRule type="cellIs" dxfId="281" priority="384" operator="equal">
      <formula>0</formula>
    </cfRule>
    <cfRule type="cellIs" dxfId="280" priority="385" operator="equal">
      <formula>1</formula>
    </cfRule>
  </conditionalFormatting>
  <conditionalFormatting sqref="M299:N299">
    <cfRule type="cellIs" dxfId="279" priority="382" operator="equal">
      <formula>0</formula>
    </cfRule>
    <cfRule type="cellIs" dxfId="278" priority="383" operator="equal">
      <formula>1</formula>
    </cfRule>
  </conditionalFormatting>
  <conditionalFormatting sqref="M308:N308">
    <cfRule type="cellIs" dxfId="277" priority="380" operator="equal">
      <formula>0</formula>
    </cfRule>
    <cfRule type="cellIs" dxfId="276" priority="381" operator="equal">
      <formula>1</formula>
    </cfRule>
  </conditionalFormatting>
  <conditionalFormatting sqref="M317:N317">
    <cfRule type="cellIs" dxfId="275" priority="378" operator="equal">
      <formula>0</formula>
    </cfRule>
    <cfRule type="cellIs" dxfId="274" priority="379" operator="equal">
      <formula>1</formula>
    </cfRule>
  </conditionalFormatting>
  <conditionalFormatting sqref="M326:N326">
    <cfRule type="cellIs" dxfId="273" priority="376" operator="equal">
      <formula>0</formula>
    </cfRule>
    <cfRule type="cellIs" dxfId="272" priority="377" operator="equal">
      <formula>1</formula>
    </cfRule>
  </conditionalFormatting>
  <conditionalFormatting sqref="M335:N335">
    <cfRule type="cellIs" dxfId="271" priority="374" operator="equal">
      <formula>0</formula>
    </cfRule>
    <cfRule type="cellIs" dxfId="270" priority="375" operator="equal">
      <formula>1</formula>
    </cfRule>
  </conditionalFormatting>
  <conditionalFormatting sqref="M344:N344">
    <cfRule type="cellIs" dxfId="269" priority="372" operator="equal">
      <formula>0</formula>
    </cfRule>
    <cfRule type="cellIs" dxfId="268" priority="373" operator="equal">
      <formula>1</formula>
    </cfRule>
  </conditionalFormatting>
  <conditionalFormatting sqref="M353:N353">
    <cfRule type="cellIs" dxfId="267" priority="370" operator="equal">
      <formula>0</formula>
    </cfRule>
    <cfRule type="cellIs" dxfId="266" priority="371" operator="equal">
      <formula>1</formula>
    </cfRule>
  </conditionalFormatting>
  <conditionalFormatting sqref="M362:N362">
    <cfRule type="cellIs" dxfId="265" priority="368" operator="equal">
      <formula>0</formula>
    </cfRule>
    <cfRule type="cellIs" dxfId="264" priority="369" operator="equal">
      <formula>1</formula>
    </cfRule>
  </conditionalFormatting>
  <conditionalFormatting sqref="M371:N371">
    <cfRule type="cellIs" dxfId="263" priority="366" operator="equal">
      <formula>0</formula>
    </cfRule>
    <cfRule type="cellIs" dxfId="262" priority="367" operator="equal">
      <formula>1</formula>
    </cfRule>
  </conditionalFormatting>
  <conditionalFormatting sqref="M380:N380">
    <cfRule type="cellIs" dxfId="261" priority="364" operator="equal">
      <formula>0</formula>
    </cfRule>
    <cfRule type="cellIs" dxfId="260" priority="365" operator="equal">
      <formula>1</formula>
    </cfRule>
  </conditionalFormatting>
  <conditionalFormatting sqref="M389:N389">
    <cfRule type="cellIs" dxfId="259" priority="362" operator="equal">
      <formula>0</formula>
    </cfRule>
    <cfRule type="cellIs" dxfId="258" priority="363" operator="equal">
      <formula>1</formula>
    </cfRule>
  </conditionalFormatting>
  <conditionalFormatting sqref="M398:N398">
    <cfRule type="cellIs" dxfId="257" priority="360" operator="equal">
      <formula>0</formula>
    </cfRule>
    <cfRule type="cellIs" dxfId="256" priority="361" operator="equal">
      <formula>1</formula>
    </cfRule>
  </conditionalFormatting>
  <conditionalFormatting sqref="M407:N407">
    <cfRule type="cellIs" dxfId="255" priority="358" operator="equal">
      <formula>0</formula>
    </cfRule>
    <cfRule type="cellIs" dxfId="254" priority="359" operator="equal">
      <formula>1</formula>
    </cfRule>
  </conditionalFormatting>
  <conditionalFormatting sqref="M416:N416">
    <cfRule type="cellIs" dxfId="253" priority="356" operator="equal">
      <formula>0</formula>
    </cfRule>
    <cfRule type="cellIs" dxfId="252" priority="357" operator="equal">
      <formula>1</formula>
    </cfRule>
  </conditionalFormatting>
  <conditionalFormatting sqref="M427:N427">
    <cfRule type="cellIs" dxfId="251" priority="354" operator="equal">
      <formula>0</formula>
    </cfRule>
    <cfRule type="cellIs" dxfId="250" priority="355" operator="equal">
      <formula>1</formula>
    </cfRule>
  </conditionalFormatting>
  <conditionalFormatting sqref="M436:N436">
    <cfRule type="cellIs" dxfId="249" priority="352" operator="equal">
      <formula>0</formula>
    </cfRule>
    <cfRule type="cellIs" dxfId="248" priority="353" operator="equal">
      <formula>1</formula>
    </cfRule>
  </conditionalFormatting>
  <conditionalFormatting sqref="M445:N445">
    <cfRule type="cellIs" dxfId="247" priority="350" operator="equal">
      <formula>0</formula>
    </cfRule>
    <cfRule type="cellIs" dxfId="246" priority="351" operator="equal">
      <formula>1</formula>
    </cfRule>
  </conditionalFormatting>
  <conditionalFormatting sqref="M460:N460">
    <cfRule type="cellIs" dxfId="245" priority="348" operator="equal">
      <formula>0</formula>
    </cfRule>
    <cfRule type="cellIs" dxfId="244" priority="349" operator="equal">
      <formula>1</formula>
    </cfRule>
  </conditionalFormatting>
  <conditionalFormatting sqref="M467:N467">
    <cfRule type="cellIs" dxfId="243" priority="346" operator="equal">
      <formula>0</formula>
    </cfRule>
    <cfRule type="cellIs" dxfId="242" priority="347" operator="equal">
      <formula>1</formula>
    </cfRule>
  </conditionalFormatting>
  <conditionalFormatting sqref="M478:N478">
    <cfRule type="cellIs" dxfId="241" priority="344" operator="equal">
      <formula>0</formula>
    </cfRule>
    <cfRule type="cellIs" dxfId="240" priority="345" operator="equal">
      <formula>1</formula>
    </cfRule>
  </conditionalFormatting>
  <conditionalFormatting sqref="M483:N483">
    <cfRule type="cellIs" dxfId="239" priority="342" operator="equal">
      <formula>0</formula>
    </cfRule>
    <cfRule type="cellIs" dxfId="238" priority="343" operator="equal">
      <formula>1</formula>
    </cfRule>
  </conditionalFormatting>
  <conditionalFormatting sqref="M490:N490">
    <cfRule type="cellIs" dxfId="237" priority="340" operator="equal">
      <formula>0</formula>
    </cfRule>
    <cfRule type="cellIs" dxfId="236" priority="341" operator="equal">
      <formula>1</formula>
    </cfRule>
  </conditionalFormatting>
  <conditionalFormatting sqref="M500:N500">
    <cfRule type="cellIs" dxfId="235" priority="338" operator="equal">
      <formula>0</formula>
    </cfRule>
    <cfRule type="cellIs" dxfId="234" priority="339" operator="equal">
      <formula>1</formula>
    </cfRule>
  </conditionalFormatting>
  <conditionalFormatting sqref="M530:N530">
    <cfRule type="cellIs" dxfId="233" priority="336" operator="equal">
      <formula>0</formula>
    </cfRule>
    <cfRule type="cellIs" dxfId="232" priority="337" operator="equal">
      <formula>1</formula>
    </cfRule>
  </conditionalFormatting>
  <conditionalFormatting sqref="Y1:AF3">
    <cfRule type="cellIs" dxfId="231" priority="332" operator="equal">
      <formula>0</formula>
    </cfRule>
    <cfRule type="cellIs" dxfId="230" priority="333" operator="equal">
      <formula>1</formula>
    </cfRule>
  </conditionalFormatting>
  <conditionalFormatting sqref="K545">
    <cfRule type="cellIs" dxfId="229" priority="330" operator="equal">
      <formula>0</formula>
    </cfRule>
    <cfRule type="cellIs" dxfId="228" priority="331" operator="equal">
      <formula>1</formula>
    </cfRule>
  </conditionalFormatting>
  <conditionalFormatting sqref="J545">
    <cfRule type="cellIs" dxfId="227" priority="328" operator="equal">
      <formula>0</formula>
    </cfRule>
    <cfRule type="cellIs" dxfId="226" priority="329" operator="equal">
      <formula>1</formula>
    </cfRule>
  </conditionalFormatting>
  <conditionalFormatting sqref="M545:N545">
    <cfRule type="cellIs" dxfId="225" priority="326" operator="equal">
      <formula>0</formula>
    </cfRule>
    <cfRule type="cellIs" dxfId="224" priority="327" operator="equal">
      <formula>1</formula>
    </cfRule>
  </conditionalFormatting>
  <conditionalFormatting sqref="K564">
    <cfRule type="cellIs" dxfId="223" priority="315" operator="equal">
      <formula>0</formula>
    </cfRule>
    <cfRule type="cellIs" dxfId="222" priority="316" operator="equal">
      <formula>1</formula>
    </cfRule>
  </conditionalFormatting>
  <conditionalFormatting sqref="J564">
    <cfRule type="cellIs" dxfId="221" priority="313" operator="equal">
      <formula>0</formula>
    </cfRule>
    <cfRule type="cellIs" dxfId="220" priority="314" operator="equal">
      <formula>1</formula>
    </cfRule>
  </conditionalFormatting>
  <conditionalFormatting sqref="M564:N564">
    <cfRule type="cellIs" dxfId="219" priority="311" operator="equal">
      <formula>0</formula>
    </cfRule>
    <cfRule type="cellIs" dxfId="218" priority="312" operator="equal">
      <formula>1</formula>
    </cfRule>
  </conditionalFormatting>
  <conditionalFormatting sqref="K575">
    <cfRule type="cellIs" dxfId="217" priority="309" operator="equal">
      <formula>0</formula>
    </cfRule>
    <cfRule type="cellIs" dxfId="216" priority="310" operator="equal">
      <formula>1</formula>
    </cfRule>
  </conditionalFormatting>
  <conditionalFormatting sqref="J575">
    <cfRule type="cellIs" dxfId="215" priority="307" operator="equal">
      <formula>0</formula>
    </cfRule>
    <cfRule type="cellIs" dxfId="214" priority="308" operator="equal">
      <formula>1</formula>
    </cfRule>
  </conditionalFormatting>
  <conditionalFormatting sqref="M575:N575">
    <cfRule type="cellIs" dxfId="213" priority="305" operator="equal">
      <formula>0</formula>
    </cfRule>
    <cfRule type="cellIs" dxfId="212" priority="306" operator="equal">
      <formula>1</formula>
    </cfRule>
  </conditionalFormatting>
  <conditionalFormatting sqref="K586">
    <cfRule type="cellIs" dxfId="211" priority="303" operator="equal">
      <formula>0</formula>
    </cfRule>
    <cfRule type="cellIs" dxfId="210" priority="304" operator="equal">
      <formula>1</formula>
    </cfRule>
  </conditionalFormatting>
  <conditionalFormatting sqref="J586">
    <cfRule type="cellIs" dxfId="209" priority="301" operator="equal">
      <formula>0</formula>
    </cfRule>
    <cfRule type="cellIs" dxfId="208" priority="302" operator="equal">
      <formula>1</formula>
    </cfRule>
  </conditionalFormatting>
  <conditionalFormatting sqref="M586:N586">
    <cfRule type="cellIs" dxfId="207" priority="299" operator="equal">
      <formula>0</formula>
    </cfRule>
    <cfRule type="cellIs" dxfId="206" priority="300" operator="equal">
      <formula>1</formula>
    </cfRule>
  </conditionalFormatting>
  <conditionalFormatting sqref="J317">
    <cfRule type="cellIs" dxfId="205" priority="297" operator="equal">
      <formula>0</formula>
    </cfRule>
    <cfRule type="cellIs" dxfId="204" priority="298" operator="equal">
      <formula>1</formula>
    </cfRule>
  </conditionalFormatting>
  <conditionalFormatting sqref="J326">
    <cfRule type="cellIs" dxfId="203" priority="295" operator="equal">
      <formula>0</formula>
    </cfRule>
    <cfRule type="cellIs" dxfId="202" priority="296" operator="equal">
      <formula>1</formula>
    </cfRule>
  </conditionalFormatting>
  <conditionalFormatting sqref="J335">
    <cfRule type="cellIs" dxfId="201" priority="293" operator="equal">
      <formula>0</formula>
    </cfRule>
    <cfRule type="cellIs" dxfId="200" priority="294" operator="equal">
      <formula>1</formula>
    </cfRule>
  </conditionalFormatting>
  <conditionalFormatting sqref="J344">
    <cfRule type="cellIs" dxfId="199" priority="291" operator="equal">
      <formula>0</formula>
    </cfRule>
    <cfRule type="cellIs" dxfId="198" priority="292" operator="equal">
      <formula>1</formula>
    </cfRule>
  </conditionalFormatting>
  <conditionalFormatting sqref="J353">
    <cfRule type="cellIs" dxfId="197" priority="289" operator="equal">
      <formula>0</formula>
    </cfRule>
    <cfRule type="cellIs" dxfId="196" priority="290" operator="equal">
      <formula>1</formula>
    </cfRule>
  </conditionalFormatting>
  <conditionalFormatting sqref="J362">
    <cfRule type="cellIs" dxfId="195" priority="287" operator="equal">
      <formula>0</formula>
    </cfRule>
    <cfRule type="cellIs" dxfId="194" priority="288" operator="equal">
      <formula>1</formula>
    </cfRule>
  </conditionalFormatting>
  <conditionalFormatting sqref="J389">
    <cfRule type="cellIs" dxfId="193" priority="285" operator="equal">
      <formula>0</formula>
    </cfRule>
    <cfRule type="cellIs" dxfId="192" priority="286" operator="equal">
      <formula>1</formula>
    </cfRule>
  </conditionalFormatting>
  <conditionalFormatting sqref="J398">
    <cfRule type="cellIs" dxfId="191" priority="283" operator="equal">
      <formula>0</formula>
    </cfRule>
    <cfRule type="cellIs" dxfId="190" priority="284" operator="equal">
      <formula>1</formula>
    </cfRule>
  </conditionalFormatting>
  <conditionalFormatting sqref="J407">
    <cfRule type="cellIs" dxfId="189" priority="281" operator="equal">
      <formula>0</formula>
    </cfRule>
    <cfRule type="cellIs" dxfId="188" priority="282" operator="equal">
      <formula>1</formula>
    </cfRule>
  </conditionalFormatting>
  <conditionalFormatting sqref="J427">
    <cfRule type="cellIs" dxfId="187" priority="279" operator="equal">
      <formula>0</formula>
    </cfRule>
    <cfRule type="cellIs" dxfId="186" priority="280" operator="equal">
      <formula>1</formula>
    </cfRule>
  </conditionalFormatting>
  <conditionalFormatting sqref="J436">
    <cfRule type="cellIs" dxfId="185" priority="277" operator="equal">
      <formula>0</formula>
    </cfRule>
    <cfRule type="cellIs" dxfId="184" priority="278" operator="equal">
      <formula>1</formula>
    </cfRule>
  </conditionalFormatting>
  <conditionalFormatting sqref="K593">
    <cfRule type="cellIs" dxfId="183" priority="275" operator="equal">
      <formula>0</formula>
    </cfRule>
    <cfRule type="cellIs" dxfId="182" priority="276" operator="equal">
      <formula>1</formula>
    </cfRule>
  </conditionalFormatting>
  <conditionalFormatting sqref="J593">
    <cfRule type="cellIs" dxfId="181" priority="273" operator="equal">
      <formula>0</formula>
    </cfRule>
    <cfRule type="cellIs" dxfId="180" priority="274" operator="equal">
      <formula>1</formula>
    </cfRule>
  </conditionalFormatting>
  <conditionalFormatting sqref="M593:N593">
    <cfRule type="cellIs" dxfId="179" priority="271" operator="equal">
      <formula>0</formula>
    </cfRule>
    <cfRule type="cellIs" dxfId="178" priority="272" operator="equal">
      <formula>1</formula>
    </cfRule>
  </conditionalFormatting>
  <conditionalFormatting sqref="K600">
    <cfRule type="cellIs" dxfId="177" priority="269" operator="equal">
      <formula>0</formula>
    </cfRule>
    <cfRule type="cellIs" dxfId="176" priority="270" operator="equal">
      <formula>1</formula>
    </cfRule>
  </conditionalFormatting>
  <conditionalFormatting sqref="J600">
    <cfRule type="cellIs" dxfId="175" priority="267" operator="equal">
      <formula>0</formula>
    </cfRule>
    <cfRule type="cellIs" dxfId="174" priority="268" operator="equal">
      <formula>1</formula>
    </cfRule>
  </conditionalFormatting>
  <conditionalFormatting sqref="M600:N600">
    <cfRule type="cellIs" dxfId="173" priority="265" operator="equal">
      <formula>0</formula>
    </cfRule>
    <cfRule type="cellIs" dxfId="172" priority="266" operator="equal">
      <formula>1</formula>
    </cfRule>
  </conditionalFormatting>
  <conditionalFormatting sqref="K607">
    <cfRule type="cellIs" dxfId="171" priority="263" operator="equal">
      <formula>0</formula>
    </cfRule>
    <cfRule type="cellIs" dxfId="170" priority="264" operator="equal">
      <formula>1</formula>
    </cfRule>
  </conditionalFormatting>
  <conditionalFormatting sqref="J607">
    <cfRule type="cellIs" dxfId="169" priority="257" operator="equal">
      <formula>0</formula>
    </cfRule>
    <cfRule type="cellIs" dxfId="168" priority="258" operator="equal">
      <formula>1</formula>
    </cfRule>
  </conditionalFormatting>
  <conditionalFormatting sqref="M607:N607">
    <cfRule type="cellIs" dxfId="167" priority="255" operator="equal">
      <formula>0</formula>
    </cfRule>
    <cfRule type="cellIs" dxfId="166" priority="256" operator="equal">
      <formula>1</formula>
    </cfRule>
  </conditionalFormatting>
  <conditionalFormatting sqref="K614">
    <cfRule type="cellIs" dxfId="165" priority="253" operator="equal">
      <formula>0</formula>
    </cfRule>
    <cfRule type="cellIs" dxfId="164" priority="254" operator="equal">
      <formula>1</formula>
    </cfRule>
  </conditionalFormatting>
  <conditionalFormatting sqref="J614">
    <cfRule type="cellIs" dxfId="163" priority="247" operator="equal">
      <formula>0</formula>
    </cfRule>
    <cfRule type="cellIs" dxfId="162" priority="248" operator="equal">
      <formula>1</formula>
    </cfRule>
  </conditionalFormatting>
  <conditionalFormatting sqref="M614:N614">
    <cfRule type="cellIs" dxfId="161" priority="245" operator="equal">
      <formula>0</formula>
    </cfRule>
    <cfRule type="cellIs" dxfId="160" priority="246" operator="equal">
      <formula>1</formula>
    </cfRule>
  </conditionalFormatting>
  <conditionalFormatting sqref="K621">
    <cfRule type="cellIs" dxfId="159" priority="243" operator="equal">
      <formula>0</formula>
    </cfRule>
    <cfRule type="cellIs" dxfId="158" priority="244" operator="equal">
      <formula>1</formula>
    </cfRule>
  </conditionalFormatting>
  <conditionalFormatting sqref="J621">
    <cfRule type="cellIs" dxfId="157" priority="237" operator="equal">
      <formula>0</formula>
    </cfRule>
    <cfRule type="cellIs" dxfId="156" priority="238" operator="equal">
      <formula>1</formula>
    </cfRule>
  </conditionalFormatting>
  <conditionalFormatting sqref="M621:N621">
    <cfRule type="cellIs" dxfId="155" priority="235" operator="equal">
      <formula>0</formula>
    </cfRule>
    <cfRule type="cellIs" dxfId="154" priority="236" operator="equal">
      <formula>1</formula>
    </cfRule>
  </conditionalFormatting>
  <conditionalFormatting sqref="K629">
    <cfRule type="cellIs" dxfId="153" priority="227" operator="equal">
      <formula>0</formula>
    </cfRule>
    <cfRule type="cellIs" dxfId="152" priority="228" operator="equal">
      <formula>1</formula>
    </cfRule>
  </conditionalFormatting>
  <conditionalFormatting sqref="K647">
    <cfRule type="cellIs" dxfId="151" priority="221" operator="equal">
      <formula>0</formula>
    </cfRule>
    <cfRule type="cellIs" dxfId="150" priority="222" operator="equal">
      <formula>1</formula>
    </cfRule>
  </conditionalFormatting>
  <conditionalFormatting sqref="K655">
    <cfRule type="cellIs" dxfId="149" priority="215" operator="equal">
      <formula>0</formula>
    </cfRule>
    <cfRule type="cellIs" dxfId="148" priority="216" operator="equal">
      <formula>1</formula>
    </cfRule>
  </conditionalFormatting>
  <conditionalFormatting sqref="K663">
    <cfRule type="cellIs" dxfId="147" priority="209" operator="equal">
      <formula>0</formula>
    </cfRule>
    <cfRule type="cellIs" dxfId="146" priority="210" operator="equal">
      <formula>1</formula>
    </cfRule>
  </conditionalFormatting>
  <conditionalFormatting sqref="K672">
    <cfRule type="cellIs" dxfId="145" priority="203" operator="equal">
      <formula>0</formula>
    </cfRule>
    <cfRule type="cellIs" dxfId="144" priority="204" operator="equal">
      <formula>1</formula>
    </cfRule>
  </conditionalFormatting>
  <conditionalFormatting sqref="K681">
    <cfRule type="cellIs" dxfId="143" priority="197" operator="equal">
      <formula>0</formula>
    </cfRule>
    <cfRule type="cellIs" dxfId="142" priority="198" operator="equal">
      <formula>1</formula>
    </cfRule>
  </conditionalFormatting>
  <conditionalFormatting sqref="K690">
    <cfRule type="cellIs" dxfId="141" priority="191" operator="equal">
      <formula>0</formula>
    </cfRule>
    <cfRule type="cellIs" dxfId="140" priority="192" operator="equal">
      <formula>1</formula>
    </cfRule>
  </conditionalFormatting>
  <conditionalFormatting sqref="K699">
    <cfRule type="cellIs" dxfId="139" priority="185" operator="equal">
      <formula>0</formula>
    </cfRule>
    <cfRule type="cellIs" dxfId="138" priority="186" operator="equal">
      <formula>1</formula>
    </cfRule>
  </conditionalFormatting>
  <conditionalFormatting sqref="K708">
    <cfRule type="cellIs" dxfId="137" priority="179" operator="equal">
      <formula>0</formula>
    </cfRule>
    <cfRule type="cellIs" dxfId="136" priority="180" operator="equal">
      <formula>1</formula>
    </cfRule>
  </conditionalFormatting>
  <conditionalFormatting sqref="K717">
    <cfRule type="cellIs" dxfId="135" priority="173" operator="equal">
      <formula>0</formula>
    </cfRule>
    <cfRule type="cellIs" dxfId="134" priority="174" operator="equal">
      <formula>1</formula>
    </cfRule>
  </conditionalFormatting>
  <conditionalFormatting sqref="K726">
    <cfRule type="cellIs" dxfId="133" priority="167" operator="equal">
      <formula>0</formula>
    </cfRule>
    <cfRule type="cellIs" dxfId="132" priority="168" operator="equal">
      <formula>1</formula>
    </cfRule>
  </conditionalFormatting>
  <conditionalFormatting sqref="K735">
    <cfRule type="cellIs" dxfId="131" priority="161" operator="equal">
      <formula>0</formula>
    </cfRule>
    <cfRule type="cellIs" dxfId="130" priority="162" operator="equal">
      <formula>1</formula>
    </cfRule>
  </conditionalFormatting>
  <conditionalFormatting sqref="K744">
    <cfRule type="cellIs" dxfId="129" priority="155" operator="equal">
      <formula>0</formula>
    </cfRule>
    <cfRule type="cellIs" dxfId="128" priority="156" operator="equal">
      <formula>1</formula>
    </cfRule>
  </conditionalFormatting>
  <conditionalFormatting sqref="K753">
    <cfRule type="cellIs" dxfId="127" priority="149" operator="equal">
      <formula>0</formula>
    </cfRule>
    <cfRule type="cellIs" dxfId="126" priority="150" operator="equal">
      <formula>1</formula>
    </cfRule>
  </conditionalFormatting>
  <conditionalFormatting sqref="K762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K770">
    <cfRule type="cellIs" dxfId="123" priority="137" operator="equal">
      <formula>0</formula>
    </cfRule>
    <cfRule type="cellIs" dxfId="122" priority="138" operator="equal">
      <formula>1</formula>
    </cfRule>
  </conditionalFormatting>
  <conditionalFormatting sqref="K782">
    <cfRule type="cellIs" dxfId="121" priority="131" operator="equal">
      <formula>0</formula>
    </cfRule>
    <cfRule type="cellIs" dxfId="120" priority="132" operator="equal">
      <formula>1</formula>
    </cfRule>
  </conditionalFormatting>
  <conditionalFormatting sqref="K793">
    <cfRule type="cellIs" dxfId="119" priority="125" operator="equal">
      <formula>0</formula>
    </cfRule>
    <cfRule type="cellIs" dxfId="118" priority="126" operator="equal">
      <formula>1</formula>
    </cfRule>
  </conditionalFormatting>
  <conditionalFormatting sqref="K637">
    <cfRule type="cellIs" dxfId="117" priority="119" operator="equal">
      <formula>0</formula>
    </cfRule>
    <cfRule type="cellIs" dxfId="116" priority="120" operator="equal">
      <formula>1</formula>
    </cfRule>
  </conditionalFormatting>
  <conditionalFormatting sqref="J629">
    <cfRule type="cellIs" dxfId="115" priority="113" operator="equal">
      <formula>0</formula>
    </cfRule>
    <cfRule type="cellIs" dxfId="114" priority="114" operator="equal">
      <formula>1</formula>
    </cfRule>
  </conditionalFormatting>
  <conditionalFormatting sqref="M629:N629">
    <cfRule type="cellIs" dxfId="113" priority="111" operator="equal">
      <formula>0</formula>
    </cfRule>
    <cfRule type="cellIs" dxfId="112" priority="112" operator="equal">
      <formula>1</formula>
    </cfRule>
  </conditionalFormatting>
  <conditionalFormatting sqref="M637:N637">
    <cfRule type="cellIs" dxfId="111" priority="109" operator="equal">
      <formula>0</formula>
    </cfRule>
    <cfRule type="cellIs" dxfId="110" priority="110" operator="equal">
      <formula>1</formula>
    </cfRule>
  </conditionalFormatting>
  <conditionalFormatting sqref="M647:N647">
    <cfRule type="cellIs" dxfId="109" priority="107" operator="equal">
      <formula>0</formula>
    </cfRule>
    <cfRule type="cellIs" dxfId="108" priority="108" operator="equal">
      <formula>1</formula>
    </cfRule>
  </conditionalFormatting>
  <conditionalFormatting sqref="M655:N655">
    <cfRule type="cellIs" dxfId="107" priority="105" operator="equal">
      <formula>0</formula>
    </cfRule>
    <cfRule type="cellIs" dxfId="106" priority="106" operator="equal">
      <formula>1</formula>
    </cfRule>
  </conditionalFormatting>
  <conditionalFormatting sqref="M663:N663">
    <cfRule type="cellIs" dxfId="105" priority="103" operator="equal">
      <formula>0</formula>
    </cfRule>
    <cfRule type="cellIs" dxfId="104" priority="104" operator="equal">
      <formula>1</formula>
    </cfRule>
  </conditionalFormatting>
  <conditionalFormatting sqref="M672:N672">
    <cfRule type="cellIs" dxfId="103" priority="101" operator="equal">
      <formula>0</formula>
    </cfRule>
    <cfRule type="cellIs" dxfId="102" priority="102" operator="equal">
      <formula>1</formula>
    </cfRule>
  </conditionalFormatting>
  <conditionalFormatting sqref="M681:N681">
    <cfRule type="cellIs" dxfId="101" priority="99" operator="equal">
      <formula>0</formula>
    </cfRule>
    <cfRule type="cellIs" dxfId="100" priority="100" operator="equal">
      <formula>1</formula>
    </cfRule>
  </conditionalFormatting>
  <conditionalFormatting sqref="M690:N690">
    <cfRule type="cellIs" dxfId="99" priority="97" operator="equal">
      <formula>0</formula>
    </cfRule>
    <cfRule type="cellIs" dxfId="98" priority="98" operator="equal">
      <formula>1</formula>
    </cfRule>
  </conditionalFormatting>
  <conditionalFormatting sqref="M699:N699">
    <cfRule type="cellIs" dxfId="97" priority="95" operator="equal">
      <formula>0</formula>
    </cfRule>
    <cfRule type="cellIs" dxfId="96" priority="96" operator="equal">
      <formula>1</formula>
    </cfRule>
  </conditionalFormatting>
  <conditionalFormatting sqref="M708:N708">
    <cfRule type="cellIs" dxfId="95" priority="93" operator="equal">
      <formula>0</formula>
    </cfRule>
    <cfRule type="cellIs" dxfId="94" priority="94" operator="equal">
      <formula>1</formula>
    </cfRule>
  </conditionalFormatting>
  <conditionalFormatting sqref="M717:N717">
    <cfRule type="cellIs" dxfId="93" priority="91" operator="equal">
      <formula>0</formula>
    </cfRule>
    <cfRule type="cellIs" dxfId="92" priority="92" operator="equal">
      <formula>1</formula>
    </cfRule>
  </conditionalFormatting>
  <conditionalFormatting sqref="M726:N726">
    <cfRule type="cellIs" dxfId="91" priority="89" operator="equal">
      <formula>0</formula>
    </cfRule>
    <cfRule type="cellIs" dxfId="90" priority="90" operator="equal">
      <formula>1</formula>
    </cfRule>
  </conditionalFormatting>
  <conditionalFormatting sqref="M735:N735">
    <cfRule type="cellIs" dxfId="89" priority="87" operator="equal">
      <formula>0</formula>
    </cfRule>
    <cfRule type="cellIs" dxfId="88" priority="88" operator="equal">
      <formula>1</formula>
    </cfRule>
  </conditionalFormatting>
  <conditionalFormatting sqref="M744:N744">
    <cfRule type="cellIs" dxfId="87" priority="85" operator="equal">
      <formula>0</formula>
    </cfRule>
    <cfRule type="cellIs" dxfId="86" priority="86" operator="equal">
      <formula>1</formula>
    </cfRule>
  </conditionalFormatting>
  <conditionalFormatting sqref="M753:N753">
    <cfRule type="cellIs" dxfId="85" priority="83" operator="equal">
      <formula>0</formula>
    </cfRule>
    <cfRule type="cellIs" dxfId="84" priority="84" operator="equal">
      <formula>1</formula>
    </cfRule>
  </conditionalFormatting>
  <conditionalFormatting sqref="M762:N762">
    <cfRule type="cellIs" dxfId="83" priority="81" operator="equal">
      <formula>0</formula>
    </cfRule>
    <cfRule type="cellIs" dxfId="82" priority="82" operator="equal">
      <formula>1</formula>
    </cfRule>
  </conditionalFormatting>
  <conditionalFormatting sqref="M770:N770">
    <cfRule type="cellIs" dxfId="81" priority="79" operator="equal">
      <formula>0</formula>
    </cfRule>
    <cfRule type="cellIs" dxfId="80" priority="80" operator="equal">
      <formula>1</formula>
    </cfRule>
  </conditionalFormatting>
  <conditionalFormatting sqref="M782:N782">
    <cfRule type="cellIs" dxfId="79" priority="77" operator="equal">
      <formula>0</formula>
    </cfRule>
    <cfRule type="cellIs" dxfId="78" priority="78" operator="equal">
      <formula>1</formula>
    </cfRule>
  </conditionalFormatting>
  <conditionalFormatting sqref="M793:N793">
    <cfRule type="cellIs" dxfId="77" priority="75" operator="equal">
      <formula>0</formula>
    </cfRule>
    <cfRule type="cellIs" dxfId="76" priority="76" operator="equal">
      <formula>1</formula>
    </cfRule>
  </conditionalFormatting>
  <conditionalFormatting sqref="J637">
    <cfRule type="cellIs" dxfId="75" priority="73" operator="equal">
      <formula>0</formula>
    </cfRule>
    <cfRule type="cellIs" dxfId="74" priority="74" operator="equal">
      <formula>1</formula>
    </cfRule>
  </conditionalFormatting>
  <conditionalFormatting sqref="J647">
    <cfRule type="cellIs" dxfId="73" priority="71" operator="equal">
      <formula>0</formula>
    </cfRule>
    <cfRule type="cellIs" dxfId="72" priority="72" operator="equal">
      <formula>1</formula>
    </cfRule>
  </conditionalFormatting>
  <conditionalFormatting sqref="J655">
    <cfRule type="cellIs" dxfId="71" priority="69" operator="equal">
      <formula>0</formula>
    </cfRule>
    <cfRule type="cellIs" dxfId="70" priority="70" operator="equal">
      <formula>1</formula>
    </cfRule>
  </conditionalFormatting>
  <conditionalFormatting sqref="J66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J672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681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J690">
    <cfRule type="cellIs" dxfId="63" priority="59" operator="equal">
      <formula>0</formula>
    </cfRule>
    <cfRule type="cellIs" dxfId="62" priority="60" operator="equal">
      <formula>1</formula>
    </cfRule>
  </conditionalFormatting>
  <conditionalFormatting sqref="J699">
    <cfRule type="cellIs" dxfId="61" priority="57" operator="equal">
      <formula>0</formula>
    </cfRule>
    <cfRule type="cellIs" dxfId="60" priority="58" operator="equal">
      <formula>1</formula>
    </cfRule>
  </conditionalFormatting>
  <conditionalFormatting sqref="J708">
    <cfRule type="cellIs" dxfId="59" priority="55" operator="equal">
      <formula>0</formula>
    </cfRule>
    <cfRule type="cellIs" dxfId="58" priority="56" operator="equal">
      <formula>1</formula>
    </cfRule>
  </conditionalFormatting>
  <conditionalFormatting sqref="J717">
    <cfRule type="cellIs" dxfId="57" priority="53" operator="equal">
      <formula>0</formula>
    </cfRule>
    <cfRule type="cellIs" dxfId="56" priority="54" operator="equal">
      <formula>1</formula>
    </cfRule>
  </conditionalFormatting>
  <conditionalFormatting sqref="J726">
    <cfRule type="cellIs" dxfId="55" priority="51" operator="equal">
      <formula>0</formula>
    </cfRule>
    <cfRule type="cellIs" dxfId="54" priority="52" operator="equal">
      <formula>1</formula>
    </cfRule>
  </conditionalFormatting>
  <conditionalFormatting sqref="J735">
    <cfRule type="cellIs" dxfId="53" priority="49" operator="equal">
      <formula>0</formula>
    </cfRule>
    <cfRule type="cellIs" dxfId="52" priority="50" operator="equal">
      <formula>1</formula>
    </cfRule>
  </conditionalFormatting>
  <conditionalFormatting sqref="J744">
    <cfRule type="cellIs" dxfId="51" priority="47" operator="equal">
      <formula>0</formula>
    </cfRule>
    <cfRule type="cellIs" dxfId="50" priority="48" operator="equal">
      <formula>1</formula>
    </cfRule>
  </conditionalFormatting>
  <conditionalFormatting sqref="J753">
    <cfRule type="cellIs" dxfId="49" priority="45" operator="equal">
      <formula>0</formula>
    </cfRule>
    <cfRule type="cellIs" dxfId="48" priority="46" operator="equal">
      <formula>1</formula>
    </cfRule>
  </conditionalFormatting>
  <conditionalFormatting sqref="J793">
    <cfRule type="cellIs" dxfId="47" priority="43" operator="equal">
      <formula>0</formula>
    </cfRule>
    <cfRule type="cellIs" dxfId="46" priority="44" operator="equal">
      <formula>1</formula>
    </cfRule>
  </conditionalFormatting>
  <conditionalFormatting sqref="J762">
    <cfRule type="cellIs" dxfId="45" priority="41" operator="equal">
      <formula>0</formula>
    </cfRule>
    <cfRule type="cellIs" dxfId="44" priority="42" operator="equal">
      <formula>1</formula>
    </cfRule>
  </conditionalFormatting>
  <conditionalFormatting sqref="J770">
    <cfRule type="cellIs" dxfId="43" priority="39" operator="equal">
      <formula>0</formula>
    </cfRule>
    <cfRule type="cellIs" dxfId="42" priority="40" operator="equal">
      <formula>1</formula>
    </cfRule>
  </conditionalFormatting>
  <conditionalFormatting sqref="J782">
    <cfRule type="cellIs" dxfId="41" priority="37" operator="equal">
      <formula>0</formula>
    </cfRule>
    <cfRule type="cellIs" dxfId="40" priority="38" operator="equal">
      <formula>1</formula>
    </cfRule>
  </conditionalFormatting>
  <conditionalFormatting sqref="K801">
    <cfRule type="cellIs" dxfId="39" priority="35" operator="equal">
      <formula>0</formula>
    </cfRule>
    <cfRule type="cellIs" dxfId="38" priority="36" operator="equal">
      <formula>1</formula>
    </cfRule>
  </conditionalFormatting>
  <conditionalFormatting sqref="M801:N801">
    <cfRule type="cellIs" dxfId="37" priority="33" operator="equal">
      <formula>0</formula>
    </cfRule>
    <cfRule type="cellIs" dxfId="36" priority="34" operator="equal">
      <formula>1</formula>
    </cfRule>
  </conditionalFormatting>
  <conditionalFormatting sqref="J801">
    <cfRule type="cellIs" dxfId="35" priority="31" operator="equal">
      <formula>0</formula>
    </cfRule>
    <cfRule type="cellIs" dxfId="34" priority="32" operator="equal">
      <formula>1</formula>
    </cfRule>
  </conditionalFormatting>
  <conditionalFormatting sqref="K810">
    <cfRule type="cellIs" dxfId="33" priority="29" operator="equal">
      <formula>0</formula>
    </cfRule>
    <cfRule type="cellIs" dxfId="32" priority="30" operator="equal">
      <formula>1</formula>
    </cfRule>
  </conditionalFormatting>
  <conditionalFormatting sqref="M810:N810">
    <cfRule type="cellIs" dxfId="31" priority="27" operator="equal">
      <formula>0</formula>
    </cfRule>
    <cfRule type="cellIs" dxfId="30" priority="28" operator="equal">
      <formula>1</formula>
    </cfRule>
  </conditionalFormatting>
  <conditionalFormatting sqref="J810">
    <cfRule type="cellIs" dxfId="29" priority="25" operator="equal">
      <formula>0</formula>
    </cfRule>
    <cfRule type="cellIs" dxfId="28" priority="26" operator="equal">
      <formula>1</formula>
    </cfRule>
  </conditionalFormatting>
  <conditionalFormatting sqref="K815">
    <cfRule type="cellIs" dxfId="27" priority="23" operator="equal">
      <formula>0</formula>
    </cfRule>
    <cfRule type="cellIs" dxfId="26" priority="24" operator="equal">
      <formula>1</formula>
    </cfRule>
  </conditionalFormatting>
  <conditionalFormatting sqref="M815:N815">
    <cfRule type="cellIs" dxfId="25" priority="21" operator="equal">
      <formula>0</formula>
    </cfRule>
    <cfRule type="cellIs" dxfId="24" priority="22" operator="equal">
      <formula>1</formula>
    </cfRule>
  </conditionalFormatting>
  <conditionalFormatting sqref="J815">
    <cfRule type="cellIs" dxfId="23" priority="19" operator="equal">
      <formula>0</formula>
    </cfRule>
    <cfRule type="cellIs" dxfId="22" priority="20" operator="equal">
      <formula>1</formula>
    </cfRule>
  </conditionalFormatting>
  <conditionalFormatting sqref="K821">
    <cfRule type="cellIs" dxfId="21" priority="17" operator="equal">
      <formula>0</formula>
    </cfRule>
    <cfRule type="cellIs" dxfId="20" priority="18" operator="equal">
      <formula>1</formula>
    </cfRule>
  </conditionalFormatting>
  <conditionalFormatting sqref="M821:N821">
    <cfRule type="cellIs" dxfId="19" priority="15" operator="equal">
      <formula>0</formula>
    </cfRule>
    <cfRule type="cellIs" dxfId="18" priority="16" operator="equal">
      <formula>1</formula>
    </cfRule>
  </conditionalFormatting>
  <conditionalFormatting sqref="J821">
    <cfRule type="cellIs" dxfId="17" priority="13" operator="equal">
      <formula>0</formula>
    </cfRule>
    <cfRule type="cellIs" dxfId="16" priority="14" operator="equal">
      <formula>1</formula>
    </cfRule>
  </conditionalFormatting>
  <conditionalFormatting sqref="K827">
    <cfRule type="cellIs" dxfId="15" priority="11" operator="equal">
      <formula>0</formula>
    </cfRule>
    <cfRule type="cellIs" dxfId="14" priority="12" operator="equal">
      <formula>1</formula>
    </cfRule>
  </conditionalFormatting>
  <conditionalFormatting sqref="M827:N827">
    <cfRule type="cellIs" dxfId="13" priority="9" operator="equal">
      <formula>0</formula>
    </cfRule>
    <cfRule type="cellIs" dxfId="12" priority="10" operator="equal">
      <formula>1</formula>
    </cfRule>
  </conditionalFormatting>
  <conditionalFormatting sqref="J827">
    <cfRule type="cellIs" dxfId="11" priority="7" operator="equal">
      <formula>0</formula>
    </cfRule>
    <cfRule type="cellIs" dxfId="10" priority="8" operator="equal">
      <formula>1</formula>
    </cfRule>
  </conditionalFormatting>
  <conditionalFormatting sqref="K833">
    <cfRule type="cellIs" dxfId="9" priority="5" operator="equal">
      <formula>0</formula>
    </cfRule>
    <cfRule type="cellIs" dxfId="8" priority="6" operator="equal">
      <formula>1</formula>
    </cfRule>
  </conditionalFormatting>
  <conditionalFormatting sqref="M833:N833">
    <cfRule type="cellIs" dxfId="7" priority="3" operator="equal">
      <formula>0</formula>
    </cfRule>
    <cfRule type="cellIs" dxfId="6" priority="4" operator="equal">
      <formula>1</formula>
    </cfRule>
  </conditionalFormatting>
  <conditionalFormatting sqref="J833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7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197" t="s">
        <v>1208</v>
      </c>
      <c r="B1" s="198"/>
      <c r="C1" s="198"/>
      <c r="D1" s="199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197" t="s">
        <v>1030</v>
      </c>
      <c r="B24" s="198"/>
      <c r="C24" s="198"/>
      <c r="D24" s="199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197" t="s">
        <v>1039</v>
      </c>
      <c r="B49" s="198"/>
      <c r="C49" s="198"/>
      <c r="D49" s="199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197" t="s">
        <v>1044</v>
      </c>
      <c r="B56" s="198"/>
      <c r="C56" s="198"/>
      <c r="D56" s="199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197" t="s">
        <v>1047</v>
      </c>
      <c r="B70" s="198"/>
      <c r="C70" s="198"/>
      <c r="D70" s="199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197" t="s">
        <v>1059</v>
      </c>
      <c r="B83" s="198"/>
      <c r="C83" s="198"/>
      <c r="D83" s="199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2026-03-07T17:02:39Z</dcterms:modified>
</cp:coreProperties>
</file>