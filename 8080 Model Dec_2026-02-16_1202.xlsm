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0E000A0A-CD69-4544-AFA1-AB4BD68F632D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0" i="4" l="1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181" i="5" a="1"/>
  <c r="J188" i="5" a="1"/>
  <c r="J266" i="5" a="1"/>
  <c r="J324" i="5" a="1"/>
  <c r="J270" i="5" a="1"/>
  <c r="J212" i="5" a="1"/>
  <c r="J287" i="5" a="1"/>
  <c r="J275" i="5" a="1"/>
  <c r="J256" i="5" a="1"/>
  <c r="J327" i="5" a="1"/>
  <c r="J226" i="5" a="1"/>
  <c r="J279" i="5" a="1"/>
  <c r="J315" i="5" a="1"/>
  <c r="J330" i="5" a="1"/>
  <c r="J218" i="5" a="1"/>
  <c r="J248" i="5" a="1"/>
  <c r="J155" i="5" a="1"/>
  <c r="J227" i="5" a="1"/>
  <c r="J142" i="5" a="1"/>
  <c r="J303" i="5" a="1"/>
  <c r="J332" i="5" a="1"/>
  <c r="J168" i="5" a="1"/>
  <c r="J206" i="5" a="1"/>
  <c r="J131" i="5" a="1"/>
  <c r="J156" i="5" a="1"/>
  <c r="J243" i="5" a="1"/>
  <c r="J199" i="5" a="1"/>
  <c r="J292" i="5" a="1"/>
  <c r="J170" i="5" a="1"/>
  <c r="J300" i="5" a="1"/>
  <c r="J44" i="5" a="1"/>
  <c r="J305" i="5" a="1"/>
  <c r="J255" i="5" a="1"/>
  <c r="J293" i="5" a="1"/>
  <c r="J274" i="5" a="1"/>
  <c r="J196" i="5" a="1"/>
  <c r="J143" i="5" a="1"/>
  <c r="J322" i="5" a="1"/>
  <c r="J187" i="5" a="1"/>
  <c r="J176" i="5" a="1"/>
  <c r="J197" i="5" a="1"/>
  <c r="J235" i="5" a="1"/>
  <c r="J283" i="5" a="1"/>
  <c r="J128" i="5" a="1"/>
  <c r="J321" i="5" a="1"/>
  <c r="J46" i="5" a="1"/>
  <c r="J141" i="5" a="1"/>
  <c r="J241" i="5" a="1"/>
  <c r="J138" i="5" a="1"/>
  <c r="J129" i="5" a="1"/>
  <c r="J278" i="5" a="1"/>
  <c r="J312" i="5" a="1"/>
  <c r="J263" i="5" a="1"/>
  <c r="J195" i="5" a="1"/>
  <c r="J314" i="5" a="1"/>
  <c r="J137" i="5" a="1"/>
  <c r="J167" i="5" a="1"/>
  <c r="J234" i="5" a="1"/>
  <c r="J127" i="5" a="1"/>
  <c r="J178" i="5" a="1"/>
  <c r="J236" i="5" a="1"/>
  <c r="J150" i="5" a="1"/>
  <c r="J179" i="5" a="1"/>
  <c r="J132" i="5" a="1"/>
  <c r="J267" i="5" a="1"/>
  <c r="J144" i="5" a="1"/>
  <c r="J296" i="5" a="1"/>
  <c r="J331" i="5" a="1"/>
  <c r="J151" i="5" a="1"/>
  <c r="J261" i="5" a="1"/>
  <c r="J186" i="5" a="1"/>
  <c r="J153" i="5" a="1"/>
  <c r="J333" i="5" a="1"/>
  <c r="J295" i="5" a="1"/>
  <c r="J126" i="5" a="1"/>
  <c r="J191" i="5" a="1"/>
  <c r="J320" i="5" a="1"/>
  <c r="J311" i="5" a="1"/>
  <c r="J237" i="5" a="1"/>
  <c r="J323" i="5" a="1"/>
  <c r="J219" i="5" a="1"/>
  <c r="J177" i="5" a="1"/>
  <c r="J185" i="5" a="1"/>
  <c r="J133" i="5" a="1"/>
  <c r="J304" i="5" a="1"/>
  <c r="J215" i="5" a="1"/>
  <c r="J171" i="5" a="1"/>
  <c r="J247" i="5" a="1"/>
  <c r="J286" i="5" a="1"/>
  <c r="J329" i="5" a="1"/>
  <c r="J302" i="5" a="1"/>
  <c r="J242" i="5" a="1"/>
  <c r="J225" i="5" a="1"/>
  <c r="J158" i="5" a="1"/>
  <c r="J288" i="5" a="1"/>
  <c r="J166" i="5" a="1"/>
  <c r="J228" i="5" a="1"/>
  <c r="J189" i="5" a="1"/>
  <c r="J291" i="5" a="1"/>
  <c r="J245" i="5" a="1"/>
  <c r="J165" i="5" a="1"/>
  <c r="J313" i="5" a="1"/>
  <c r="J297" i="5" a="1"/>
  <c r="J268" i="5" a="1"/>
  <c r="J318" i="5" a="1"/>
  <c r="J271" i="5" a="1"/>
  <c r="J260" i="5" a="1"/>
  <c r="J249" i="5" a="1"/>
  <c r="J282" i="5" a="1"/>
  <c r="J145" i="5" a="1"/>
  <c r="J309" i="5" a="1"/>
  <c r="J246" i="5" a="1"/>
  <c r="J200" i="5" a="1"/>
  <c r="J310" i="5" a="1"/>
  <c r="J152" i="5" a="1"/>
  <c r="J285" i="5" a="1"/>
  <c r="J198" i="5" a="1"/>
  <c r="J130" i="5" a="1"/>
  <c r="J136" i="5" a="1"/>
  <c r="J262" i="5" a="1"/>
  <c r="J175" i="5" a="1"/>
  <c r="J269" i="5" a="1"/>
  <c r="J277" i="5" a="1"/>
  <c r="J284" i="5" a="1"/>
  <c r="J276" i="5" a="1"/>
  <c r="J201" i="5" a="1"/>
  <c r="J306" i="5" a="1"/>
  <c r="J294" i="5" a="1"/>
  <c r="S3" i="4" l="1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91" i="5" a="1"/>
  <c r="J99" i="5" a="1"/>
  <c r="J108" i="5" a="1"/>
  <c r="J90" i="5" a="1"/>
  <c r="J110" i="5" a="1"/>
  <c r="J89" i="5" a="1"/>
  <c r="J100" i="5" a="1"/>
  <c r="J88" i="5" a="1"/>
  <c r="J107" i="5" a="1"/>
  <c r="J84" i="5" a="1"/>
  <c r="J80" i="5" a="1"/>
  <c r="J85" i="5" a="1"/>
  <c r="J86" i="5" a="1"/>
  <c r="J101" i="5" a="1"/>
  <c r="J102" i="5" a="1"/>
  <c r="J87" i="5" a="1"/>
  <c r="J109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3" i="5" a="1"/>
  <c r="J78" i="5" a="1"/>
  <c r="J26" i="5" a="1"/>
  <c r="J72" i="5" a="1"/>
  <c r="J35" i="5" a="1"/>
  <c r="J42" i="5" a="1"/>
  <c r="J79" i="5" a="1"/>
  <c r="J12" i="5" a="1"/>
  <c r="J31" i="5" a="1"/>
  <c r="J69" i="5" a="1"/>
  <c r="J51" i="5" a="1"/>
  <c r="J22" i="5" a="1"/>
  <c r="J77" i="5" a="1"/>
  <c r="J52" i="5" a="1"/>
  <c r="J70" i="5" a="1"/>
  <c r="J40" i="5" a="1"/>
  <c r="J33" i="5" a="1"/>
  <c r="J71" i="5" a="1"/>
  <c r="J59" i="5" a="1"/>
  <c r="J61" i="5" a="1"/>
  <c r="J19" i="5" a="1"/>
  <c r="J60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8" i="5" a="1"/>
  <c r="J6" i="5" a="1"/>
  <c r="J7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<sst xmlns="http://schemas.openxmlformats.org/spreadsheetml/2006/main" count="1501" uniqueCount="444">
  <si>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</si>
  <si>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</si>
  <si>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</si>
  <si>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</si>
  <si>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</si>
  <si>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</si>
  <si>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</si>
  <si>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</si>
  <si>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</si>
  <si>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</si>
  <si>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</si>
  <si>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</si>
  <si>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</si>
  <si>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</si>
  <si>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</si>
  <si>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</si>
  <si>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</si>
  <si>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</si>
  <si>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</si>
  <si>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</si>
  <si>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</si>
  <si>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</si>
  <si>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</si>
  <si>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</si>
  <si>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</si>
  <si>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</si>
  <si>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</si>
  <si>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</si>
  <si>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</si>
  <si>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</si>
  <si>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</si>
  <si>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</si>
  <si>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</si>
  <si>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</si>
  <si>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</si>
  <si>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</si>
  <si>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</si>
  <si>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</si>
  <si>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</si>
  <si>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</si>
  <si>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</si>
  <si>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</si>
  <si>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</si>
  <si>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</si>
  <si>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</si>
  <si>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</si>
  <si>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</si>
  <si>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</si>
  <si>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</si>
  <si>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</si>
  <si>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</si>
  <si>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</si>
  <si>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</si>
  <si>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</si>
  <si>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</si>
  <si>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</si>
  <si>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</si>
  <si>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</si>
  <si>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</si>
  <si>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</si>
  <si>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</si>
  <si>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</si>
  <si>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</si>
  <si>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</si>
  <si>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</si>
  <si>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</si>
  <si>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</si>
  <si>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</si>
  <si>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</si>
  <si>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</si>
  <si>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</si>
  <si>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</si>
  <si>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</si>
  <si>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</si>
  <si>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</si>
  <si>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</si>
  <si>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</si>
  <si>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</si>
  <si>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</si>
  <si>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</si>
  <si>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</si>
  <si>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</si>
  <si>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</si>
  <si>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</si>
  <si>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</si>
  <si>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</si>
  <si>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</si>
  <si>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</si>
  <si>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</si>
  <si>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</si>
  <si>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</si>
  <si>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</si>
  <si>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</si>
  <si>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</si>
  <si>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</si>
  <si>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</si>
  <si>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</si>
  <si>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</si>
  <si>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</si>
  <si>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</si>
  <si>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</si>
  <si>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</si>
  <si>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</si>
  <si>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</si>
  <si>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</si>
  <si>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</si>
  <si>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</si>
  <si>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</si>
  <si>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</si>
  <si>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</si>
  <si>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</si>
  <si>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</si>
  <si>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</si>
  <si>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</si>
  <si>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</si>
  <si>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</si>
  <si>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</si>
  <si>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</si>
  <si>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</si>
  <si>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</si>
  <si>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</si>
  <si>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</si>
  <si>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</si>
  <si>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</si>
  <si>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</si>
  <si>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</si>
  <si>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</si>
  <si>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</si>
  <si>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</si>
  <si>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</si>
  <si>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</si>
  <si>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</si>
  <si>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</si>
  <si>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</si>
  <si>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</si>
  <si>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</si>
  <si>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</si>
  <si>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</si>
  <si>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</si>
  <si>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</si>
  <si>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</si>
  <si>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</si>
  <si>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</si>
  <si>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</si>
  <si>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</si>
  <si>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</si>
  <si>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</si>
  <si>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</si>
  <si>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</si>
  <si>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</si>
  <si>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</si>
  <si>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</si>
  <si>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</si>
  <si>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</si>
  <si>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</si>
  <si>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</si>
  <si>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</si>
  <si>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</si>
  <si>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</si>
  <si>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</si>
  <si>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</si>
  <si>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</si>
  <si>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</si>
  <si>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</si>
  <si>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</si>
  <si>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</si>
  <si>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</si>
  <si>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</si>
  <si>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</si>
  <si>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</si>
  <si>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</si>
  <si>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</si>
  <si>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</si>
  <si>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</si>
  <si>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</si>
  <si>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</si>
  <si>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</si>
  <si>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</si>
  <si>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</si>
  <si>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</si>
  <si>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</si>
  <si>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</si>
  <si>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</si>
  <si>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</si>
  <si>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</si>
  <si>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</si>
  <si>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</si>
  <si>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</si>
  <si>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</si>
  <si>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</si>
  <si>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</si>
  <si>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</si>
  <si>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</si>
  <si>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</si>
  <si>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</si>
  <si>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</si>
  <si>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</si>
  <si>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</si>
  <si>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</si>
  <si>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</si>
  <si>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</si>
  <si>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</si>
  <si>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</si>
  <si>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</si>
  <si>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</si>
  <si>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</si>
  <si>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</si>
  <si>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</si>
  <si>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</si>
  <si>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</si>
  <si>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</si>
  <si>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</si>
  <si>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</si>
  <si>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</si>
  <si>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</si>
  <si>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</si>
  <si>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</si>
  <si>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</si>
  <si>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</si>
  <si>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</si>
  <si>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</si>
  <si>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</si>
  <si>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</si>
  <si>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</si>
  <si>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</si>
  <si>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</si>
  <si>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</si>
  <si>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</si>
  <si>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</si>
  <si>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</si>
  <si>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</si>
  <si>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</si>
  <si>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</si>
  <si>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</si>
  <si>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</si>
  <si>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</si>
  <si>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</si>
  <si>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</si>
  <si>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</si>
  <si>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</si>
  <si>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</si>
  <si>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</si>
  <si>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</si>
  <si>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</si>
  <si>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</si>
  <si>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</si>
  <si>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</si>
  <si>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</si>
  <si>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</si>
  <si>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</si>
  <si>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</si>
  <si>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</si>
  <si>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</si>
  <si>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</si>
  <si>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</si>
  <si>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</si>
  <si>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</si>
  <si>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</si>
  <si>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</si>
  <si>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</si>
  <si>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</si>
  <si>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</si>
  <si>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</si>
  <si>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</si>
  <si>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</si>
  <si>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</si>
  <si>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</si>
  <si>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</si>
  <si>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</si>
  <si>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</si>
  <si>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</si>
  <si>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</si>
  <si>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</si>
  <si>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</si>
  <si>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</si>
  <si>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</si>
  <si>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</si>
  <si>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</si>
  <si>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</si>
  <si>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</si>
  <si>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</si>
  <si>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</si>
  <si>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</si>
  <si>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</si>
  <si>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</si>
  <si>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</si>
  <si>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</si>
  <si>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</si>
  <si>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</si>
  <si>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</si>
  <si>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</si>
  <si>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</si>
  <si>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</si>
  <si>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</si>
  <si>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</si>
  <si>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</si>
  <si>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</si>
  <si>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</si>
  <si>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</si>
  <si>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</si>
  <si>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</si>
  <si>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</si>
  <si>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</si>
  <si>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</si>
  <si>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</si>
  <si>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</si>
  <si>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</si>
  <si>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</si>
  <si>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</si>
  <si>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</si>
  <si>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</si>
  <si>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</si>
  <si>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</si>
  <si>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</si>
  <si>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</si>
  <si>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</si>
  <si>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</si>
  <si>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</si>
  <si>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</si>
  <si>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</si>
  <si>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</si>
  <si>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</si>
  <si>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</si>
  <si>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</si>
  <si>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</si>
  <si>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</si>
  <si>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</si>
  <si>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</si>
  <si>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</si>
  <si>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</si>
  <si>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</si>
  <si>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</si>
  <si>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</si>
  <si>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</si>
  <si>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</si>
  <si>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</si>
  <si>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</si>
  <si>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</si>
  <si>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</si>
  <si>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</si>
  <si>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</si>
  <si>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</si>
  <si>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</si>
  <si>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</si>
  <si>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</si>
  <si>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</si>
  <si>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</si>
  <si>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</si>
  <si>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</si>
  <si>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</si>
  <si>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</si>
  <si>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</si>
  <si>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</si>
  <si>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</si>
  <si>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</si>
  <si>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</si>
  <si>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</si>
  <si>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</si>
  <si>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</si>
  <si>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</si>
  <si>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</si>
  <si>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</si>
  <si>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</si>
  <si>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</si>
  <si>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</si>
  <si>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</si>
  <si>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</si>
  <si>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</si>
  <si>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</si>
  <si>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</si>
  <si>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</si>
  <si>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</si>
  <si>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</si>
  <si>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</si>
  <si>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</si>
  <si>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</si>
  <si>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</si>
  <si>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</si>
  <si>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</si>
  <si>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</si>
  <si>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</si>
  <si>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</si>
  <si>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</si>
  <si>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</si>
  <si>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</si>
  <si>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</si>
  <si>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</si>
  <si>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</si>
  <si>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</si>
  <si>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</si>
  <si>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</si>
  <si>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</si>
  <si>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</si>
  <si>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</si>
  <si>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</si>
  <si>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</si>
  <si>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</si>
  <si>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</si>
  <si>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</si>
  <si>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</si>
  <si>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</si>
  <si>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</si>
  <si>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</si>
  <si>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</si>
  <si>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</si>
  <si>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</si>
  <si>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</si>
  <si>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</si>
  <si>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</si>
  <si>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</si>
  <si>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</si>
  <si>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</si>
  <si>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</si>
  <si>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</si>
  <si>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</si>
  <si>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</si>
  <si>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</si>
  <si>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</si>
  <si>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</si>
  <si>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</si>
  <si>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</si>
  <si>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</si>
  <si>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</si>
  <si>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</si>
  <si>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Use Alt</t>
  </si>
  <si>
    <t>0104</t>
  </si>
  <si>
    <t>0140</t>
  </si>
  <si>
    <t>SKIPPED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</si>
  <si>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</si>
  <si>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</si>
  <si>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</si>
  <si>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</si>
  <si>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</si>
  <si>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</si>
  <si>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</si>
  <si>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</si>
  <si>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</si>
  <si>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</si>
  <si>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</si>
  <si>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</si>
  <si>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</si>
  <si>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</si>
  <si>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PASS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</si>
  <si>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&gt;Unit_T025:FAIL_x000D_
&gt;Unit_T026:FAIL_x000D_
&gt;Unit_T027:PASS_x000D_
&gt;Unit_T028:PASS_x000D_
&gt;Unit_T029:PASS_x000D_
&gt;Unit_T030:PASS_x000D_
&gt;Unit_T031:PASS_x000D_
&gt;Unit_T032:PASS_x000D_
&gt;Unit_T033:PASS_x000D_
&gt;Unit_T034:PASS_x000D_
_x000D_
&gt;Unit_T025:FAIL_x000D_
&gt;Unit_T026:FAIL_x000D_
_x000D_
&gt;Unit_T025:PASS_x000D_
&gt;Unit_T026:PASS_x000D_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</si>
</sst>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3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12" borderId="43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14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0" borderId="0" xfId="0" applyAlignment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5" borderId="16" xfId="0" applyFill="1" applyBorder="1" applyAlignment="1">
      <alignment horizontal="center"/>
    </xf>
  </cellXfs>
  <cellStyles count="1">
    <cellStyle name="Normal" xfId="0" builtinId="0"/>
  </cellStyles>
  <dxfs count="20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</xdr:row>
          <xdr:rowOff>66675</xdr:rowOff>
        </xdr:from>
        <xdr:to>
          <xdr:col>12</xdr:col>
          <xdr:colOff>19050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G27" sqref="G27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21" t="s">
        <v>373</v>
      </c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3"/>
      <c r="AN1" s="67" t="s">
        <v>422</v>
      </c>
      <c r="AO1" s="67" t="s">
        <v>418</v>
      </c>
      <c r="AP1" s="6"/>
    </row>
    <row r="2" spans="1:42">
      <c r="A2" s="14" t="s">
        <v>135</v>
      </c>
      <c r="B2" s="15">
        <v>1</v>
      </c>
      <c r="AN2" s="116">
        <v>1</v>
      </c>
      <c r="AO2" s="116" t="s">
        <v>419</v>
      </c>
      <c r="AP2" s="6"/>
    </row>
    <row r="3" spans="1:42" ht="15.75" thickBot="1">
      <c r="A3" s="8" t="s">
        <v>134</v>
      </c>
      <c r="B3" s="13">
        <f>Line0</f>
        <v>256</v>
      </c>
      <c r="AN3" s="116">
        <v>1</v>
      </c>
      <c r="AO3" s="116" t="s">
        <v>420</v>
      </c>
      <c r="AP3" s="6"/>
    </row>
    <row r="4" spans="1:42" ht="15.75" thickBot="1">
      <c r="AA4" s="7" t="s">
        <v>410</v>
      </c>
      <c r="AB4" s="108">
        <f>HEX2DEC(AB5)</f>
        <v>63</v>
      </c>
      <c r="AC4" s="110">
        <f t="shared" ref="AC4:AJ4" si="0">AB4-AC5*AC6</f>
        <v>63</v>
      </c>
      <c r="AD4" s="111">
        <f t="shared" si="0"/>
        <v>63</v>
      </c>
      <c r="AE4" s="111">
        <f t="shared" si="0"/>
        <v>31</v>
      </c>
      <c r="AF4" s="111">
        <f t="shared" si="0"/>
        <v>15</v>
      </c>
      <c r="AG4" s="111">
        <f t="shared" si="0"/>
        <v>7</v>
      </c>
      <c r="AH4" s="111">
        <f t="shared" si="0"/>
        <v>3</v>
      </c>
      <c r="AI4" s="111">
        <f t="shared" si="0"/>
        <v>1</v>
      </c>
      <c r="AJ4" s="112">
        <f t="shared" si="0"/>
        <v>1</v>
      </c>
      <c r="AK4" t="s">
        <v>411</v>
      </c>
      <c r="AL4" t="s">
        <v>412</v>
      </c>
      <c r="AN4" s="116">
        <v>0</v>
      </c>
      <c r="AO4" s="116" t="s">
        <v>421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09" t="s">
        <v>409</v>
      </c>
      <c r="AC5" s="113">
        <f t="shared" ref="AC5:AJ5" si="1">IF(AB4&gt;AC6,1,0)</f>
        <v>0</v>
      </c>
      <c r="AD5" s="113">
        <f t="shared" si="1"/>
        <v>0</v>
      </c>
      <c r="AE5" s="113">
        <f t="shared" si="1"/>
        <v>1</v>
      </c>
      <c r="AF5" s="113">
        <f t="shared" si="1"/>
        <v>1</v>
      </c>
      <c r="AG5" s="113">
        <f t="shared" si="1"/>
        <v>1</v>
      </c>
      <c r="AH5" s="113">
        <f t="shared" si="1"/>
        <v>1</v>
      </c>
      <c r="AI5" s="113">
        <f t="shared" si="1"/>
        <v>1</v>
      </c>
      <c r="AJ5" s="113">
        <f t="shared" si="1"/>
        <v>1</v>
      </c>
      <c r="AK5" s="114">
        <f>SUM(AC5:AJ5)</f>
        <v>6</v>
      </c>
      <c r="AL5" s="114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385</v>
      </c>
      <c r="D6" s="34" t="str">
        <f>IF(AND(E6&gt;=32,E6&lt;=126),CHAR(E6),".")</f>
        <v>:</v>
      </c>
      <c r="E6" s="35">
        <f>HEX2DEC(C6)</f>
        <v>58</v>
      </c>
      <c r="G6" s="21" t="s">
        <v>115</v>
      </c>
      <c r="H6" s="22">
        <v>0</v>
      </c>
      <c r="AC6" s="113">
        <v>128</v>
      </c>
      <c r="AD6" s="113">
        <v>64</v>
      </c>
      <c r="AE6" s="113">
        <v>32</v>
      </c>
      <c r="AF6" s="113">
        <v>16</v>
      </c>
      <c r="AG6" s="113">
        <v>8</v>
      </c>
      <c r="AH6" s="113">
        <v>4</v>
      </c>
      <c r="AI6" s="113">
        <v>2</v>
      </c>
      <c r="AJ6" s="113">
        <v>0</v>
      </c>
    </row>
    <row r="7" spans="1:42" ht="15.75" thickBot="1">
      <c r="A7" s="27">
        <v>1</v>
      </c>
      <c r="B7" s="24" t="s">
        <v>122</v>
      </c>
      <c r="C7" s="45" t="s">
        <v>223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1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3"/>
      <c r="AD7" s="113"/>
      <c r="AE7" s="113"/>
      <c r="AF7" s="113"/>
      <c r="AG7" s="113"/>
      <c r="AH7" s="113"/>
      <c r="AI7" s="113"/>
      <c r="AJ7" s="113"/>
    </row>
    <row r="8" spans="1:42">
      <c r="A8" s="27">
        <v>2</v>
      </c>
      <c r="B8" s="24" t="s">
        <v>123</v>
      </c>
      <c r="C8" s="45" t="s">
        <v>223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>E</v>
      </c>
      <c r="M8" s="39" t="str">
        <f t="shared" ref="M8:M27" si="4">IFERROR(RIGHT("0000"&amp;DEC2HEX(N8),4),"")</f>
        <v>0100</v>
      </c>
      <c r="N8" s="71">
        <f>I14</f>
        <v>256</v>
      </c>
      <c r="O8" s="101" t="s">
        <v>383</v>
      </c>
      <c r="P8" s="102" t="s">
        <v>166</v>
      </c>
      <c r="Q8" s="103" t="s">
        <v>384</v>
      </c>
      <c r="R8" s="104"/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 t="s">
        <v>223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149</v>
      </c>
      <c r="Q9" s="103" t="s">
        <v>154</v>
      </c>
      <c r="R9" s="104" t="s">
        <v>239</v>
      </c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 t="s">
        <v>223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157</v>
      </c>
      <c r="Q10" s="103" t="s">
        <v>383</v>
      </c>
      <c r="R10" s="104"/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223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0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 t="s">
        <v>192</v>
      </c>
      <c r="Q11" s="103"/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223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425</v>
      </c>
      <c r="D13" s="34" t="str">
        <f t="shared" si="2"/>
        <v>.</v>
      </c>
      <c r="E13" s="35">
        <f t="shared" si="3"/>
        <v>260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/>
      <c r="Q13" s="103"/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426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/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/>
      </c>
      <c r="M17" s="38" t="str">
        <f t="shared" si="4"/>
        <v>0109</v>
      </c>
      <c r="N17" s="66">
        <f t="shared" si="6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 ht="15.75" thickBot="1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 ht="15.75" thickBot="1">
      <c r="A19" s="6" t="s">
        <v>248</v>
      </c>
      <c r="B19" s="6" t="s">
        <v>307</v>
      </c>
      <c r="G19" s="118" t="s">
        <v>424</v>
      </c>
      <c r="H19" s="117">
        <v>1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19" t="s">
        <v>423</v>
      </c>
      <c r="H20" s="60">
        <v>0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6" priority="26" operator="equal">
      <formula>0</formula>
    </cfRule>
    <cfRule type="cellIs" dxfId="205" priority="27" operator="greaterThan">
      <formula>0</formula>
    </cfRule>
  </conditionalFormatting>
  <conditionalFormatting sqref="F1:V1">
    <cfRule type="containsText" dxfId="204" priority="17" operator="containsText" text="Halted">
      <formula>NOT(ISERROR(SEARCH("Halted",F1)))</formula>
    </cfRule>
    <cfRule type="containsText" dxfId="203" priority="24" operator="containsText" text="Execution Complete">
      <formula>NOT(ISERROR(SEARCH("Execution Complete",F1)))</formula>
    </cfRule>
    <cfRule type="containsText" dxfId="202" priority="25" operator="containsText" text="Error">
      <formula>NOT(ISERROR(SEARCH("Error",F1)))</formula>
    </cfRule>
  </conditionalFormatting>
  <conditionalFormatting sqref="P22:R1070">
    <cfRule type="expression" dxfId="201" priority="49">
      <formula>$N22=$E$13</formula>
    </cfRule>
  </conditionalFormatting>
  <conditionalFormatting sqref="M7:S7 M22:S1070 M8:N21 S8:S21">
    <cfRule type="containsText" dxfId="200" priority="5" operator="containsText" text=" ">
      <formula>NOT(ISERROR(SEARCH(" ",M7)))</formula>
    </cfRule>
  </conditionalFormatting>
  <conditionalFormatting sqref="AC5:AL5">
    <cfRule type="cellIs" dxfId="199" priority="3" operator="equal">
      <formula>0</formula>
    </cfRule>
    <cfRule type="cellIs" dxfId="198" priority="4" operator="equal">
      <formula>1</formula>
    </cfRule>
  </conditionalFormatting>
  <conditionalFormatting sqref="H19:H20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Engine">
                <anchor moveWithCells="1" sizeWithCells="1">
                  <from>
                    <xdr:col>7</xdr:col>
                    <xdr:colOff>257175</xdr:colOff>
                    <xdr:row>1</xdr:row>
                    <xdr:rowOff>66675</xdr:rowOff>
                  </from>
                  <to>
                    <xdr:col>12</xdr:col>
                    <xdr:colOff>19050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Q30" sqref="Q30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">
        <v>154</v>
      </c>
      <c r="C1" s="97" t="s">
        <v>152</v>
      </c>
      <c r="D1" s="97" t="s">
        <v>190</v>
      </c>
      <c r="E1" s="97" t="s">
        <v>240</v>
      </c>
      <c r="F1" s="97" t="s">
        <v>274</v>
      </c>
      <c r="G1" s="97" t="s">
        <v>314</v>
      </c>
      <c r="H1" s="97" t="s">
        <v>338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3A</v>
      </c>
      <c r="C2" s="56" t="str">
        <f>CPU!C7</f>
        <v>00</v>
      </c>
      <c r="D2" s="56" t="str">
        <f>CPU!C8</f>
        <v>00</v>
      </c>
      <c r="E2" s="56" t="str">
        <f>CPU!C9</f>
        <v>00</v>
      </c>
      <c r="F2" s="56" t="str">
        <f>CPU!C10</f>
        <v>00</v>
      </c>
      <c r="G2" s="56" t="str">
        <f>CPU!C11</f>
        <v>00</v>
      </c>
      <c r="H2" s="56" t="str">
        <f>CPU!C12</f>
        <v>00</v>
      </c>
      <c r="I2" s="56" t="str">
        <f>PC</f>
        <v>0104</v>
      </c>
      <c r="J2" s="56" t="str">
        <f>SP</f>
        <v>0140</v>
      </c>
      <c r="K2" s="56">
        <f>Carry</f>
        <v>0</v>
      </c>
      <c r="L2" s="56">
        <f>Parity</f>
        <v>1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20" t="s">
        <v>427</v>
      </c>
      <c r="L4" s="70" t="s">
        <v>267</v>
      </c>
      <c r="M4" s="20">
        <f>IFERROR(VLOOKUP(A4,$P$6:$R$1048576,3,0),0)</f>
        <v>0</v>
      </c>
      <c r="U4" s="124" t="s">
        <v>341</v>
      </c>
      <c r="V4" s="125"/>
      <c r="W4" s="125"/>
      <c r="X4" s="125"/>
      <c r="Y4" s="125"/>
      <c r="Z4" s="125"/>
      <c r="AA4" s="125"/>
      <c r="AB4" s="126"/>
    </row>
    <row r="5" spans="1:28" ht="15.75" customHeight="1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392</v>
      </c>
      <c r="R5" s="93" t="s">
        <v>243</v>
      </c>
      <c r="U5" s="127" t="s">
        <v>443</v>
      </c>
      <c r="V5" s="127"/>
      <c r="W5" s="127"/>
      <c r="X5" s="127"/>
      <c r="Y5" s="127"/>
      <c r="Z5" s="127"/>
      <c r="AA5" s="127"/>
      <c r="AB5" s="127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28"/>
      <c r="V6" s="128"/>
      <c r="W6" s="128"/>
      <c r="X6" s="128"/>
      <c r="Y6" s="128"/>
      <c r="Z6" s="128"/>
      <c r="AA6" s="128"/>
      <c r="AB6" s="128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28"/>
      <c r="V7" s="128"/>
      <c r="W7" s="128"/>
      <c r="X7" s="128"/>
      <c r="Y7" s="128"/>
      <c r="Z7" s="128"/>
      <c r="AA7" s="128"/>
      <c r="AB7" s="128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0</v>
      </c>
      <c r="U8" s="128"/>
      <c r="V8" s="128"/>
      <c r="W8" s="128"/>
      <c r="X8" s="128"/>
      <c r="Y8" s="128"/>
      <c r="Z8" s="128"/>
      <c r="AA8" s="128"/>
      <c r="AB8" s="128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0</v>
      </c>
      <c r="U9" s="128"/>
      <c r="V9" s="128"/>
      <c r="W9" s="128"/>
      <c r="X9" s="128"/>
      <c r="Y9" s="128"/>
      <c r="Z9" s="128"/>
      <c r="AA9" s="128"/>
      <c r="AB9" s="128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0</v>
      </c>
      <c r="U10" s="128"/>
      <c r="V10" s="128"/>
      <c r="W10" s="128"/>
      <c r="X10" s="128"/>
      <c r="Y10" s="128"/>
      <c r="Z10" s="128"/>
      <c r="AA10" s="128"/>
      <c r="AB10" s="128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20" t="s">
        <v>427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0</v>
      </c>
      <c r="U11" s="128"/>
      <c r="V11" s="128"/>
      <c r="W11" s="128"/>
      <c r="X11" s="128"/>
      <c r="Y11" s="128"/>
      <c r="Z11" s="128"/>
      <c r="AA11" s="128"/>
      <c r="AB11" s="128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0</v>
      </c>
      <c r="U12" s="128"/>
      <c r="V12" s="128"/>
      <c r="W12" s="128"/>
      <c r="X12" s="128"/>
      <c r="Y12" s="128"/>
      <c r="Z12" s="128"/>
      <c r="AA12" s="128"/>
      <c r="AB12" s="128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0</v>
      </c>
      <c r="U13" s="128"/>
      <c r="V13" s="128"/>
      <c r="W13" s="128"/>
      <c r="X13" s="128"/>
      <c r="Y13" s="128"/>
      <c r="Z13" s="128"/>
      <c r="AA13" s="128"/>
      <c r="AB13" s="128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0</v>
      </c>
      <c r="U14" s="128"/>
      <c r="V14" s="128"/>
      <c r="W14" s="128"/>
      <c r="X14" s="128"/>
      <c r="Y14" s="128"/>
      <c r="Z14" s="128"/>
      <c r="AA14" s="128"/>
      <c r="AB14" s="128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0</v>
      </c>
      <c r="U15" s="128"/>
      <c r="V15" s="128"/>
      <c r="W15" s="128"/>
      <c r="X15" s="128"/>
      <c r="Y15" s="128"/>
      <c r="Z15" s="128"/>
      <c r="AA15" s="128"/>
      <c r="AB15" s="128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20" t="s">
        <v>427</v>
      </c>
      <c r="L16" s="70" t="s">
        <v>270</v>
      </c>
      <c r="M16" s="20">
        <f>IFERROR(VLOOKUP(A16,$P$6:$R$1048576,3,0),0)</f>
        <v>0</v>
      </c>
      <c r="P16" s="6" t="s">
        <v>327</v>
      </c>
      <c r="Q16" s="40" t="str">
        <f t="shared" si="1"/>
        <v>Unit_DCR_AC_SET_00</v>
      </c>
      <c r="R16" s="40">
        <v>0</v>
      </c>
      <c r="U16" s="128"/>
      <c r="V16" s="128"/>
      <c r="W16" s="128"/>
      <c r="X16" s="128"/>
      <c r="Y16" s="128"/>
      <c r="Z16" s="128"/>
      <c r="AA16" s="128"/>
      <c r="AB16" s="128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0</v>
      </c>
      <c r="U17" s="128"/>
      <c r="V17" s="128"/>
      <c r="W17" s="128"/>
      <c r="X17" s="128"/>
      <c r="Y17" s="128"/>
      <c r="Z17" s="128"/>
      <c r="AA17" s="128"/>
      <c r="AB17" s="128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0</v>
      </c>
      <c r="U18" s="128"/>
      <c r="V18" s="128"/>
      <c r="W18" s="128"/>
      <c r="X18" s="128"/>
      <c r="Y18" s="128"/>
      <c r="Z18" s="128"/>
      <c r="AA18" s="128"/>
      <c r="AB18" s="128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0</v>
      </c>
      <c r="U19" s="128"/>
      <c r="V19" s="128"/>
      <c r="W19" s="128"/>
      <c r="X19" s="128"/>
      <c r="Y19" s="128"/>
      <c r="Z19" s="128"/>
      <c r="AA19" s="128"/>
      <c r="AB19" s="128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0</v>
      </c>
      <c r="U20" s="128"/>
      <c r="V20" s="128"/>
      <c r="W20" s="128"/>
      <c r="X20" s="128"/>
      <c r="Y20" s="128"/>
      <c r="Z20" s="128"/>
      <c r="AA20" s="128"/>
      <c r="AB20" s="128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0</v>
      </c>
      <c r="U21" s="128"/>
      <c r="V21" s="128"/>
      <c r="W21" s="128"/>
      <c r="X21" s="128"/>
      <c r="Y21" s="128"/>
      <c r="Z21" s="128"/>
      <c r="AA21" s="128"/>
      <c r="AB21" s="128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0</v>
      </c>
      <c r="U22" s="128"/>
      <c r="V22" s="128"/>
      <c r="W22" s="128"/>
      <c r="X22" s="128"/>
      <c r="Y22" s="128"/>
      <c r="Z22" s="128"/>
      <c r="AA22" s="128"/>
      <c r="AB22" s="128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0</v>
      </c>
      <c r="U23" s="128"/>
      <c r="V23" s="128"/>
      <c r="W23" s="128"/>
      <c r="X23" s="128"/>
      <c r="Y23" s="128"/>
      <c r="Z23" s="128"/>
      <c r="AA23" s="128"/>
      <c r="AB23" s="128"/>
    </row>
    <row r="24" spans="1:28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0</v>
      </c>
      <c r="U24" s="128"/>
      <c r="V24" s="128"/>
      <c r="W24" s="128"/>
      <c r="X24" s="128"/>
      <c r="Y24" s="128"/>
      <c r="Z24" s="128"/>
      <c r="AA24" s="128"/>
      <c r="AB24" s="128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353</v>
      </c>
      <c r="Q25" s="40" t="str">
        <f t="shared" si="1"/>
        <v>PUSH/POP PSW round‑trip (flags + A)</v>
      </c>
      <c r="R25" s="40">
        <v>0</v>
      </c>
      <c r="U25" s="128"/>
      <c r="V25" s="128"/>
      <c r="W25" s="128"/>
      <c r="X25" s="128"/>
      <c r="Y25" s="128"/>
      <c r="Z25" s="128"/>
      <c r="AA25" s="128"/>
      <c r="AB25" s="128"/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355</v>
      </c>
      <c r="Q26" s="40" t="str">
        <f t="shared" si="1"/>
        <v>JMP direct</v>
      </c>
      <c r="R26" s="40">
        <v>0</v>
      </c>
      <c r="U26" s="128"/>
      <c r="V26" s="128"/>
      <c r="W26" s="128"/>
      <c r="X26" s="128"/>
      <c r="Y26" s="128"/>
      <c r="Z26" s="128"/>
      <c r="AA26" s="128"/>
      <c r="AB26" s="128"/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356</v>
      </c>
      <c r="Q27" s="40" t="str">
        <f t="shared" si="1"/>
        <v>JZ/JNZ (taken/not taken)</v>
      </c>
      <c r="R27" s="40">
        <v>0</v>
      </c>
      <c r="U27" s="128"/>
      <c r="V27" s="128"/>
      <c r="W27" s="128"/>
      <c r="X27" s="128"/>
      <c r="Y27" s="128"/>
      <c r="Z27" s="128"/>
      <c r="AA27" s="128"/>
      <c r="AB27" s="128"/>
    </row>
    <row r="28" spans="1:28" ht="15.75" thickBot="1">
      <c r="H28" s="52"/>
      <c r="I28" s="52"/>
      <c r="J28" s="52"/>
      <c r="K28" s="52"/>
      <c r="P28" s="6" t="s">
        <v>359</v>
      </c>
      <c r="Q28" s="40" t="str">
        <f t="shared" si="1"/>
        <v>JP/JM (Sign)</v>
      </c>
      <c r="R28" s="40">
        <v>0</v>
      </c>
      <c r="U28" s="128"/>
      <c r="V28" s="128"/>
      <c r="W28" s="128"/>
      <c r="X28" s="128"/>
      <c r="Y28" s="128"/>
      <c r="Z28" s="128"/>
      <c r="AA28" s="128"/>
      <c r="AB28" s="128"/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20" t="s">
        <v>427</v>
      </c>
      <c r="L29" s="70" t="s">
        <v>216</v>
      </c>
      <c r="M29" s="20">
        <f>IFERROR(VLOOKUP(A29,$P$6:$R$1048576,3,0),0)</f>
        <v>0</v>
      </c>
      <c r="P29" s="6" t="s">
        <v>360</v>
      </c>
      <c r="Q29" s="40" t="str">
        <f t="shared" si="1"/>
        <v>JPE/JPO (Parity)</v>
      </c>
      <c r="R29" s="40">
        <v>0</v>
      </c>
      <c r="U29" s="128"/>
      <c r="V29" s="128"/>
      <c r="W29" s="128"/>
      <c r="X29" s="128"/>
      <c r="Y29" s="128"/>
      <c r="Z29" s="128"/>
      <c r="AA29" s="128"/>
      <c r="AB29" s="128"/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361</v>
      </c>
      <c r="Q30" s="40" t="str">
        <f t="shared" si="1"/>
        <v>EQU + LXI (symbol resolution)</v>
      </c>
      <c r="R30" s="40">
        <v>0</v>
      </c>
      <c r="U30" s="128"/>
      <c r="V30" s="128"/>
      <c r="W30" s="128"/>
      <c r="X30" s="128"/>
      <c r="Y30" s="128"/>
      <c r="Z30" s="128"/>
      <c r="AA30" s="128"/>
      <c r="AB30" s="128"/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0</v>
      </c>
      <c r="K31" s="56"/>
      <c r="L31" s="6"/>
      <c r="P31" s="6" t="s">
        <v>386</v>
      </c>
      <c r="Q31" s="40" t="str">
        <f t="shared" ref="Q31:Q33" si="7">IFERROR(VLOOKUP(P31,$A$4:$L$1048576,12,0),"")</f>
        <v>ORI Label Test</v>
      </c>
      <c r="R31" s="40">
        <v>0</v>
      </c>
      <c r="U31" s="128"/>
      <c r="V31" s="128"/>
      <c r="W31" s="128"/>
      <c r="X31" s="128"/>
      <c r="Y31" s="128"/>
      <c r="Z31" s="128"/>
      <c r="AA31" s="128"/>
      <c r="AB31" s="128"/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388</v>
      </c>
      <c r="Q32" s="40" t="str">
        <f t="shared" si="7"/>
        <v>ORI Immediate</v>
      </c>
      <c r="R32" s="40">
        <v>0</v>
      </c>
      <c r="U32" s="128"/>
      <c r="V32" s="128"/>
      <c r="W32" s="128"/>
      <c r="X32" s="128"/>
      <c r="Y32" s="128"/>
      <c r="Z32" s="128"/>
      <c r="AA32" s="128"/>
      <c r="AB32" s="128"/>
    </row>
    <row r="33" spans="1:2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389</v>
      </c>
      <c r="Q33" s="40" t="str">
        <f t="shared" si="7"/>
        <v>ORI Zero Result</v>
      </c>
      <c r="R33" s="40">
        <v>0</v>
      </c>
      <c r="U33" s="128"/>
      <c r="V33" s="128"/>
      <c r="W33" s="128"/>
      <c r="X33" s="128"/>
      <c r="Y33" s="128"/>
      <c r="Z33" s="128"/>
      <c r="AA33" s="128"/>
      <c r="AB33" s="128"/>
    </row>
    <row r="34" spans="1:2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394</v>
      </c>
      <c r="Q34" s="40" t="str">
        <f t="shared" ref="Q34:Q39" si="10">IFERROR(VLOOKUP(P34,$A$4:$L$1048576,12,0),"")</f>
        <v>ADD (register) with Aux Carry</v>
      </c>
      <c r="R34" s="40">
        <v>0</v>
      </c>
      <c r="U34" s="128"/>
      <c r="V34" s="128"/>
      <c r="W34" s="128"/>
      <c r="X34" s="128"/>
      <c r="Y34" s="128"/>
      <c r="Z34" s="128"/>
      <c r="AA34" s="128"/>
      <c r="AB34" s="128"/>
    </row>
    <row r="35" spans="1:2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395</v>
      </c>
      <c r="Q35" s="40" t="str">
        <f t="shared" si="10"/>
        <v>ADD (register) with full Carry and Zero</v>
      </c>
      <c r="R35" s="40">
        <v>0</v>
      </c>
    </row>
    <row r="36" spans="1:2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396</v>
      </c>
      <c r="Q36" s="40" t="str">
        <f t="shared" si="10"/>
        <v>ADI (immediate)</v>
      </c>
      <c r="R36" s="40">
        <v>0</v>
      </c>
    </row>
    <row r="37" spans="1:28" ht="15.75" thickBot="1">
      <c r="H37" s="52"/>
      <c r="I37" s="52"/>
      <c r="J37" s="52"/>
      <c r="K37" s="52"/>
      <c r="P37" s="6" t="s">
        <v>397</v>
      </c>
      <c r="Q37" s="40" t="str">
        <f t="shared" si="10"/>
        <v>ANA (register)</v>
      </c>
      <c r="R37" s="40">
        <v>0</v>
      </c>
    </row>
    <row r="38" spans="1:2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20" t="s">
        <v>427</v>
      </c>
      <c r="L38" s="70" t="s">
        <v>240</v>
      </c>
      <c r="M38" s="20">
        <f>IFERROR(VLOOKUP(A38,$P$6:$R$1048576,3,0),0)</f>
        <v>0</v>
      </c>
      <c r="P38" s="6" t="s">
        <v>398</v>
      </c>
      <c r="Q38" s="40" t="str">
        <f t="shared" si="10"/>
        <v>ANI (immediate) → Zero case</v>
      </c>
      <c r="R38" s="40">
        <v>0</v>
      </c>
    </row>
    <row r="39" spans="1:2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399</v>
      </c>
      <c r="Q39" s="40" t="str">
        <f t="shared" si="10"/>
        <v>CPI (immediate) → Borrow (A &lt; data)</v>
      </c>
      <c r="R39" s="40">
        <v>0</v>
      </c>
    </row>
    <row r="40" spans="1:2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0</v>
      </c>
      <c r="K40" s="55"/>
      <c r="L40" s="40"/>
      <c r="P40" s="6" t="s">
        <v>400</v>
      </c>
      <c r="Q40" s="40"/>
      <c r="R40" s="40"/>
    </row>
    <row r="41" spans="1:2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401</v>
      </c>
      <c r="Q41" s="40"/>
      <c r="R41" s="40"/>
    </row>
    <row r="42" spans="1:2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402</v>
      </c>
      <c r="Q42" s="40"/>
      <c r="R42" s="40"/>
    </row>
    <row r="43" spans="1:2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403</v>
      </c>
      <c r="Q43" s="40"/>
      <c r="R43" s="40"/>
    </row>
    <row r="44" spans="1:2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2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2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2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28" ht="15.75" thickBot="1">
      <c r="H48" s="52"/>
      <c r="I48" s="52"/>
      <c r="J48" s="52"/>
      <c r="K48" s="52"/>
    </row>
    <row r="49" spans="1:13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20" t="s">
        <v>427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0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20" t="s">
        <v>427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20" t="s">
        <v>427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20" t="s">
        <v>427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1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0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20" t="s">
        <v>427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20" t="s">
        <v>427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1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20" t="s">
        <v>427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1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0</v>
      </c>
      <c r="K113" s="120" t="s">
        <v>427</v>
      </c>
      <c r="L113" s="70" t="s">
        <v>315</v>
      </c>
      <c r="M113" s="20">
        <f>IFERROR(VLOOKUP(A113,$P$6:$R$1048576,3,0),0)</f>
        <v>0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1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1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20" t="s">
        <v>427</v>
      </c>
      <c r="L125" s="70" t="s">
        <v>339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20" t="s">
        <v>427</v>
      </c>
      <c r="L135" s="70" t="s">
        <v>340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1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20" t="s">
        <v>427</v>
      </c>
      <c r="L148" s="70" t="s">
        <v>343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0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344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0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20" t="s">
        <v>427</v>
      </c>
      <c r="L163" s="70" t="s">
        <v>350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1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20" t="s">
        <v>427</v>
      </c>
      <c r="L174" s="70" t="s">
        <v>351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345</v>
      </c>
      <c r="H177" s="86" t="s">
        <v>191</v>
      </c>
      <c r="I177" s="86" t="s">
        <v>346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347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348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349</v>
      </c>
      <c r="H181" s="86" t="s">
        <v>114</v>
      </c>
      <c r="I181" s="86" t="s">
        <v>349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20" t="s">
        <v>427</v>
      </c>
      <c r="L184" s="70" t="s">
        <v>352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345</v>
      </c>
      <c r="H187" s="86" t="s">
        <v>191</v>
      </c>
      <c r="I187" s="86" t="s">
        <v>346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347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348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349</v>
      </c>
      <c r="H191" s="86" t="s">
        <v>114</v>
      </c>
      <c r="I191" s="86" t="s">
        <v>349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353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20" t="s">
        <v>427</v>
      </c>
      <c r="L194" s="70" t="s">
        <v>354</v>
      </c>
      <c r="M194" s="20">
        <f>IFERROR(VLOOKUP(A194,$P$6:$R$1048576,3,0),0)</f>
        <v>0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0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355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20" t="s">
        <v>427</v>
      </c>
      <c r="L204" s="70" t="s">
        <v>357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358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356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20" t="s">
        <v>427</v>
      </c>
      <c r="L211" s="70" t="s">
        <v>365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0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362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362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363</v>
      </c>
      <c r="F219" s="103" t="s">
        <v>364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364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359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20" t="s">
        <v>427</v>
      </c>
      <c r="L224" s="70" t="s">
        <v>366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369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367</v>
      </c>
      <c r="F227" s="103" t="s">
        <v>368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368</v>
      </c>
      <c r="E229" s="102" t="s">
        <v>149</v>
      </c>
      <c r="F229" s="103" t="s">
        <v>191</v>
      </c>
      <c r="G229" s="104" t="s">
        <v>369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370</v>
      </c>
      <c r="F232" s="103" t="s">
        <v>371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371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372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0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360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20" t="s">
        <v>427</v>
      </c>
      <c r="L240" s="70" t="s">
        <v>374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376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377</v>
      </c>
      <c r="F243" s="103" t="s">
        <v>378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378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0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379</v>
      </c>
      <c r="F248" s="103" t="s">
        <v>380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380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361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32" t="s">
        <v>442</v>
      </c>
      <c r="L253" s="70" t="s">
        <v>375</v>
      </c>
      <c r="M253" s="20">
        <f>IFERROR(VLOOKUP(A253,$P$6:$R$1048576,3,0),0)</f>
        <v>0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381</v>
      </c>
      <c r="E254" s="102" t="s">
        <v>166</v>
      </c>
      <c r="F254" s="103" t="s">
        <v>382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381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386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0</v>
      </c>
      <c r="K259" s="132" t="s">
        <v>442</v>
      </c>
      <c r="L259" s="70" t="s">
        <v>387</v>
      </c>
      <c r="M259" s="20">
        <f>IFERROR(VLOOKUP(A259,$P$6:$R$1048576,3,0),0)</f>
        <v>0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383</v>
      </c>
      <c r="E260" s="102" t="s">
        <v>166</v>
      </c>
      <c r="F260" s="103" t="s">
        <v>384</v>
      </c>
      <c r="G260" s="104"/>
      <c r="H260" s="55" t="s">
        <v>154</v>
      </c>
      <c r="I260" s="86" t="s">
        <v>385</v>
      </c>
      <c r="J260" s="94" t="b" cm="1">
        <f t="array" aca="1" ref="J260" ca="1">RIGHT("00"&amp;INDIRECT("R_"&amp;H260),2)=RIGHT("00"&amp;I260,2)</f>
        <v>1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383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388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20" t="s">
        <v>427</v>
      </c>
      <c r="L265" s="70" t="s">
        <v>390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1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389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20" t="s">
        <v>427</v>
      </c>
      <c r="L273" s="70" t="s">
        <v>391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0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1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394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20" t="s">
        <v>427</v>
      </c>
      <c r="L281" s="70" t="s">
        <v>393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404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0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1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1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395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20" t="s">
        <v>427</v>
      </c>
      <c r="L290" s="70" t="s">
        <v>405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0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404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1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1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0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396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20" t="s">
        <v>427</v>
      </c>
      <c r="L299" s="70" t="s">
        <v>413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406</v>
      </c>
      <c r="H300" s="55" t="s">
        <v>154</v>
      </c>
      <c r="I300" s="86" t="s">
        <v>409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407</v>
      </c>
      <c r="F301" s="103" t="s">
        <v>408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1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1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1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397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20" t="s">
        <v>427</v>
      </c>
      <c r="L308" s="70" t="s">
        <v>415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346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414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1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1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1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398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20" t="s">
        <v>427</v>
      </c>
      <c r="L317" s="70" t="s">
        <v>416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0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1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1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1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5"/>
      <c r="R325" s="115"/>
    </row>
    <row r="326" spans="1:18" ht="15.75" thickBot="1">
      <c r="A326" s="20" t="s">
        <v>399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20" t="s">
        <v>427</v>
      </c>
      <c r="L326" s="70" t="s">
        <v>417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1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0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0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4:AB4"/>
    <mergeCell ref="U5:AB3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style="129" bestFit="1" customWidth="1"/>
    <col min="15" max="15" width="8.28515625" style="129" bestFit="1" customWidth="1"/>
    <col min="16" max="16" width="10.85546875" style="129" bestFit="1" customWidth="1"/>
    <col min="17" max="17" width="36.85546875" style="129" bestFit="1" customWidth="1"/>
  </cols>
  <sheetData>
    <row r="1" spans="1:22" ht="17.25">
      <c r="A1" s="63" t="s">
        <v>168</v>
      </c>
    </row>
    <row r="2" spans="1:22" ht="15.75" thickBot="1">
      <c r="N2" s="129" t="s">
        <v>441</v>
      </c>
    </row>
    <row r="3" spans="1:22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  <c r="N3" s="130" t="s">
        <v>118</v>
      </c>
      <c r="O3" s="130" t="s">
        <v>428</v>
      </c>
      <c r="P3" s="130" t="s">
        <v>225</v>
      </c>
      <c r="Q3" s="130" t="s">
        <v>3</v>
      </c>
      <c r="S3" t="str">
        <f>R4&amp;R5&amp;R6&amp;R7&amp;R8&amp;R9&amp;R10&amp;R11</f>
        <v>00000110</v>
      </c>
      <c r="T3" t="str">
        <f>BIN2HEX(S3)</f>
        <v>6</v>
      </c>
      <c r="U3">
        <f>SUM(U4:U11)</f>
        <v>6</v>
      </c>
      <c r="V3" t="str">
        <f>DEC2HEX(U3)</f>
        <v>6</v>
      </c>
    </row>
    <row r="4" spans="1:22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  <c r="N4" s="130">
        <v>7</v>
      </c>
      <c r="O4" s="130" t="s">
        <v>230</v>
      </c>
      <c r="P4" s="131" t="s">
        <v>429</v>
      </c>
      <c r="Q4" s="131" t="s">
        <v>430</v>
      </c>
      <c r="R4">
        <f>Sign</f>
        <v>0</v>
      </c>
      <c r="S4">
        <f>2^N4</f>
        <v>128</v>
      </c>
      <c r="U4">
        <f>S4*R4</f>
        <v>0</v>
      </c>
    </row>
    <row r="5" spans="1:22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  <c r="N5" s="130">
        <v>6</v>
      </c>
      <c r="O5" s="130" t="s">
        <v>227</v>
      </c>
      <c r="P5" s="131" t="s">
        <v>431</v>
      </c>
      <c r="Q5" s="131" t="s">
        <v>432</v>
      </c>
      <c r="R5">
        <f>Zero</f>
        <v>0</v>
      </c>
      <c r="S5">
        <f>2^N5</f>
        <v>64</v>
      </c>
      <c r="U5">
        <f>S5*R5</f>
        <v>0</v>
      </c>
    </row>
    <row r="6" spans="1:22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  <c r="N6" s="130">
        <v>5</v>
      </c>
      <c r="O6" s="130">
        <v>0</v>
      </c>
      <c r="P6" s="131" t="s">
        <v>433</v>
      </c>
      <c r="Q6" s="131" t="s">
        <v>434</v>
      </c>
      <c r="R6">
        <v>0</v>
      </c>
      <c r="S6">
        <f>2^N6</f>
        <v>32</v>
      </c>
      <c r="U6">
        <f>S6*R6</f>
        <v>0</v>
      </c>
    </row>
    <row r="7" spans="1:22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  <c r="N7" s="130">
        <v>4</v>
      </c>
      <c r="O7" s="130" t="s">
        <v>128</v>
      </c>
      <c r="P7" s="131" t="s">
        <v>234</v>
      </c>
      <c r="Q7" s="131" t="s">
        <v>435</v>
      </c>
      <c r="R7">
        <f>AC</f>
        <v>0</v>
      </c>
      <c r="S7">
        <f>2^N7</f>
        <v>16</v>
      </c>
      <c r="U7">
        <f>S7*R7</f>
        <v>0</v>
      </c>
    </row>
    <row r="8" spans="1:22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  <c r="N8" s="130">
        <v>3</v>
      </c>
      <c r="O8" s="130">
        <v>0</v>
      </c>
      <c r="P8" s="131" t="s">
        <v>433</v>
      </c>
      <c r="Q8" s="131" t="s">
        <v>434</v>
      </c>
      <c r="R8">
        <v>0</v>
      </c>
      <c r="S8">
        <f>2^N8</f>
        <v>8</v>
      </c>
      <c r="U8">
        <f>S8*R8</f>
        <v>0</v>
      </c>
    </row>
    <row r="9" spans="1:22" ht="15.75" thickBot="1">
      <c r="N9" s="130">
        <v>2</v>
      </c>
      <c r="O9" s="130" t="s">
        <v>232</v>
      </c>
      <c r="P9" s="131" t="s">
        <v>436</v>
      </c>
      <c r="Q9" s="131" t="s">
        <v>437</v>
      </c>
      <c r="R9">
        <f>Parity</f>
        <v>1</v>
      </c>
      <c r="S9">
        <f>2^N9</f>
        <v>4</v>
      </c>
      <c r="U9">
        <f>S9*R9</f>
        <v>4</v>
      </c>
    </row>
    <row r="10" spans="1:22" ht="15.75" thickBot="1">
      <c r="N10" s="130">
        <v>1</v>
      </c>
      <c r="O10" s="130">
        <v>1</v>
      </c>
      <c r="P10" s="131" t="s">
        <v>433</v>
      </c>
      <c r="Q10" s="131" t="s">
        <v>438</v>
      </c>
      <c r="R10">
        <v>1</v>
      </c>
      <c r="S10">
        <f>2^N10</f>
        <v>2</v>
      </c>
      <c r="U10">
        <f>S10*R10</f>
        <v>2</v>
      </c>
    </row>
    <row r="11" spans="1:22" ht="15.75" thickBot="1">
      <c r="N11" s="130">
        <v>0</v>
      </c>
      <c r="O11" s="130" t="s">
        <v>236</v>
      </c>
      <c r="P11" s="131" t="s">
        <v>439</v>
      </c>
      <c r="Q11" s="131" t="s">
        <v>440</v>
      </c>
      <c r="R11">
        <f>Carry</f>
        <v>0</v>
      </c>
      <c r="S11">
        <f>2^N11</f>
        <v>1</v>
      </c>
      <c r="U11">
        <f>S11*R11</f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68</vt:i4>
      </vt:variant>
    </vt:vector>
  </HeadingPairs>
  <TitlesOfParts>
    <vt:vector size="72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2026-02-16T17:02:29Z</dcterms:modified>
</cp:coreProperties>
</file>