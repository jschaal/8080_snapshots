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4CF1E295-7545-4B5B-A885-D76085C87CF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79" i="5" a="1"/>
  <c r="J156" i="5" a="1"/>
  <c r="J168" i="5" a="1"/>
  <c r="J198" i="5" a="1"/>
  <c r="J227" i="5" a="1"/>
  <c r="J153" i="5" a="1"/>
  <c r="J158" i="5" a="1"/>
  <c r="J243" i="5" a="1"/>
  <c r="J187" i="5" a="1"/>
  <c r="J248" i="5" a="1"/>
  <c r="J225" i="5" a="1"/>
  <c r="J295" i="5" a="1"/>
  <c r="J155" i="5" a="1"/>
  <c r="J304" i="5" a="1"/>
  <c r="J312" i="5" a="1"/>
  <c r="J237" i="5" a="1"/>
  <c r="J141" i="5" a="1"/>
  <c r="J241" i="5" a="1"/>
  <c r="J145" i="5" a="1"/>
  <c r="J132" i="5" a="1"/>
  <c r="J152" i="5" a="1"/>
  <c r="J270" i="5" a="1"/>
  <c r="J322" i="5" a="1"/>
  <c r="J323" i="5" a="1"/>
  <c r="J128" i="5" a="1"/>
  <c r="J181" i="5" a="1"/>
  <c r="J175" i="5" a="1"/>
  <c r="J274" i="5" a="1"/>
  <c r="J261" i="5" a="1"/>
  <c r="J234" i="5" a="1"/>
  <c r="J294" i="5" a="1"/>
  <c r="J309" i="5" a="1"/>
  <c r="J130" i="5" a="1"/>
  <c r="J212" i="5" a="1"/>
  <c r="J129" i="5" a="1"/>
  <c r="J286" i="5" a="1"/>
  <c r="J271" i="5" a="1"/>
  <c r="J262" i="5" a="1"/>
  <c r="J282" i="5" a="1"/>
  <c r="J255" i="5" a="1"/>
  <c r="J188" i="5" a="1"/>
  <c r="J275" i="5" a="1"/>
  <c r="J327" i="5" a="1"/>
  <c r="J285" i="5" a="1"/>
  <c r="J331" i="5" a="1"/>
  <c r="J218" i="5" a="1"/>
  <c r="J151" i="5" a="1"/>
  <c r="J166" i="5" a="1"/>
  <c r="J288" i="5" a="1"/>
  <c r="J170" i="5" a="1"/>
  <c r="J302" i="5" a="1"/>
  <c r="J150" i="5" a="1"/>
  <c r="J136" i="5" a="1"/>
  <c r="J137" i="5" a="1"/>
  <c r="J313" i="5" a="1"/>
  <c r="J226" i="5" a="1"/>
  <c r="J276" i="5" a="1"/>
  <c r="J249" i="5" a="1"/>
  <c r="J171" i="5" a="1"/>
  <c r="J167" i="5" a="1"/>
  <c r="J320" i="5" a="1"/>
  <c r="J256" i="5" a="1"/>
  <c r="J245" i="5" a="1"/>
  <c r="J303" i="5" a="1"/>
  <c r="J314" i="5" a="1"/>
  <c r="J332" i="5" a="1"/>
  <c r="J278" i="5" a="1"/>
  <c r="J318" i="5" a="1"/>
  <c r="J235" i="5" a="1"/>
  <c r="J196" i="5" a="1"/>
  <c r="J197" i="5" a="1"/>
  <c r="J177" i="5" a="1"/>
  <c r="J310" i="5" a="1"/>
  <c r="J46" i="5" a="1"/>
  <c r="J315" i="5" a="1"/>
  <c r="J324" i="5" a="1"/>
  <c r="J242" i="5" a="1"/>
  <c r="J297" i="5" a="1"/>
  <c r="J268" i="5" a="1"/>
  <c r="J178" i="5" a="1"/>
  <c r="J266" i="5" a="1"/>
  <c r="J260" i="5" a="1"/>
  <c r="J311" i="5" a="1"/>
  <c r="J279" i="5" a="1"/>
  <c r="J201" i="5" a="1"/>
  <c r="J44" i="5" a="1"/>
  <c r="J247" i="5" a="1"/>
  <c r="J292" i="5" a="1"/>
  <c r="J138" i="5" a="1"/>
  <c r="J133" i="5" a="1"/>
  <c r="J269" i="5" a="1"/>
  <c r="J333" i="5" a="1"/>
  <c r="J293" i="5" a="1"/>
  <c r="J185" i="5" a="1"/>
  <c r="J300" i="5" a="1"/>
  <c r="J200" i="5" a="1"/>
  <c r="J329" i="5" a="1"/>
  <c r="J236" i="5" a="1"/>
  <c r="J305" i="5" a="1"/>
  <c r="J127" i="5" a="1"/>
  <c r="J228" i="5" a="1"/>
  <c r="J284" i="5" a="1"/>
  <c r="J144" i="5" a="1"/>
  <c r="J186" i="5" a="1"/>
  <c r="J215" i="5" a="1"/>
  <c r="J291" i="5" a="1"/>
  <c r="J206" i="5" a="1"/>
  <c r="J142" i="5" a="1"/>
  <c r="J330" i="5" a="1"/>
  <c r="J191" i="5" a="1"/>
  <c r="J267" i="5" a="1"/>
  <c r="J143" i="5" a="1"/>
  <c r="J283" i="5" a="1"/>
  <c r="J306" i="5" a="1"/>
  <c r="J296" i="5" a="1"/>
  <c r="J176" i="5" a="1"/>
  <c r="J126" i="5" a="1"/>
  <c r="J165" i="5" a="1"/>
  <c r="J277" i="5" a="1"/>
  <c r="J199" i="5" a="1"/>
  <c r="J263" i="5" a="1"/>
  <c r="J195" i="5" a="1"/>
  <c r="J287" i="5" a="1"/>
  <c r="J321" i="5" a="1"/>
  <c r="J246" i="5" a="1"/>
  <c r="J189" i="5" a="1"/>
  <c r="J131" i="5" a="1"/>
  <c r="J219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4" i="5" a="1"/>
  <c r="J86" i="5" a="1"/>
  <c r="J87" i="5" a="1"/>
  <c r="J107" i="5" a="1"/>
  <c r="J102" i="5" a="1"/>
  <c r="J89" i="5" a="1"/>
  <c r="J88" i="5" a="1"/>
  <c r="J85" i="5" a="1"/>
  <c r="J108" i="5" a="1"/>
  <c r="J80" i="5" a="1"/>
  <c r="J101" i="5" a="1"/>
  <c r="J100" i="5" a="1"/>
  <c r="J91" i="5" a="1"/>
  <c r="J99" i="5" a="1"/>
  <c r="J110" i="5" a="1"/>
  <c r="J109" i="5" a="1"/>
  <c r="J9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12" i="5" a="1"/>
  <c r="J51" i="5" a="1"/>
  <c r="J77" i="5" a="1"/>
  <c r="J60" i="5" a="1"/>
  <c r="J61" i="5" a="1"/>
  <c r="J26" i="5" a="1"/>
  <c r="J22" i="5" a="1"/>
  <c r="J79" i="5" a="1"/>
  <c r="J71" i="5" a="1"/>
  <c r="J52" i="5" a="1"/>
  <c r="J31" i="5" a="1"/>
  <c r="J59" i="5" a="1"/>
  <c r="J42" i="5" a="1"/>
  <c r="J69" i="5" a="1"/>
  <c r="J33" i="5" a="1"/>
  <c r="J72" i="5" a="1"/>
  <c r="J63" i="5" a="1"/>
  <c r="J19" i="5" a="1"/>
  <c r="J40" i="5" a="1"/>
  <c r="J78" i="5" a="1"/>
  <c r="J35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<sst xmlns="http://schemas.openxmlformats.org/spreadsheetml/2006/main" count="1475" uniqueCount="430">
  <si>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</si>
  <si>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</si>
  <si>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</si>
  <si>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</si>
  <si>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</si>
  <si>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</si>
  <si>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</si>
  <si>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</si>
  <si>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</si>
  <si>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</si>
  <si>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</si>
  <si>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</si>
  <si>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</si>
  <si>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</si>
  <si>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</si>
  <si>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</si>
  <si>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</si>
  <si>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</si>
  <si>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</si>
  <si>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</si>
  <si>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</si>
  <si>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</si>
  <si>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</si>
  <si>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</si>
  <si>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</si>
  <si>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</si>
  <si>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</si>
  <si>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</si>
  <si>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</si>
  <si>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</si>
  <si>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</si>
  <si>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</si>
  <si>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</si>
  <si>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</si>
  <si>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</si>
  <si>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</si>
  <si>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</si>
  <si>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</si>
  <si>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</si>
  <si>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</si>
  <si>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</si>
  <si>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</si>
  <si>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</si>
  <si>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</si>
  <si>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</si>
  <si>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</si>
  <si>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</si>
  <si>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</si>
  <si>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</si>
  <si>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</si>
  <si>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</si>
  <si>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</si>
  <si>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</si>
  <si>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</si>
  <si>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</si>
  <si>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</si>
  <si>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</si>
  <si>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</si>
  <si>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</si>
  <si>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</si>
  <si>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</si>
  <si>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</si>
  <si>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</si>
  <si>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</si>
  <si>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</si>
  <si>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</si>
  <si>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</si>
  <si>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</si>
  <si>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</si>
  <si>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</si>
  <si>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</si>
  <si>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</si>
  <si>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</si>
  <si>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</si>
  <si>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</si>
  <si>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</si>
  <si>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</si>
  <si>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</si>
  <si>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</si>
  <si>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</si>
  <si>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</si>
  <si>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</si>
  <si>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</si>
  <si>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</si>
  <si>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</si>
  <si>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</si>
  <si>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</si>
  <si>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</si>
  <si>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</si>
  <si>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</si>
  <si>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</si>
  <si>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</si>
  <si>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</si>
  <si>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</si>
  <si>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</si>
  <si>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</si>
  <si>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</si>
  <si>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</si>
  <si>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</si>
  <si>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</si>
  <si>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</si>
  <si>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</si>
  <si>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</si>
  <si>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</si>
  <si>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</si>
  <si>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</si>
  <si>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</si>
  <si>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</si>
  <si>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</si>
  <si>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</si>
  <si>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</si>
  <si>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</si>
  <si>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</si>
  <si>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</si>
  <si>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</si>
  <si>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</si>
  <si>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</si>
  <si>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</si>
  <si>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</si>
  <si>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</si>
  <si>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</si>
  <si>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</si>
  <si>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</si>
  <si>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</si>
  <si>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</si>
  <si>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</si>
  <si>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</si>
  <si>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</si>
  <si>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</si>
  <si>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</si>
  <si>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</si>
  <si>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</si>
  <si>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</si>
  <si>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</si>
  <si>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</si>
  <si>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</si>
  <si>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</si>
  <si>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</si>
  <si>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</si>
  <si>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</si>
  <si>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</si>
  <si>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</si>
  <si>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</si>
  <si>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</si>
  <si>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</si>
  <si>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</si>
  <si>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</si>
  <si>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</si>
  <si>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</si>
  <si>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</si>
  <si>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</si>
  <si>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</si>
  <si>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</si>
  <si>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</si>
  <si>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</si>
  <si>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</si>
  <si>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</si>
  <si>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</si>
  <si>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</si>
  <si>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</si>
  <si>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</si>
  <si>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</si>
  <si>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</si>
  <si>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</si>
  <si>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</si>
  <si>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</si>
  <si>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</si>
  <si>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</si>
  <si>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</si>
  <si>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</si>
  <si>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</si>
  <si>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</si>
  <si>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</si>
  <si>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</si>
  <si>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</si>
  <si>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</si>
  <si>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</si>
  <si>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</si>
  <si>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</si>
  <si>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</si>
  <si>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</si>
  <si>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</si>
  <si>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</si>
  <si>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</si>
  <si>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</si>
  <si>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</si>
  <si>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</si>
  <si>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</si>
  <si>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</si>
  <si>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</si>
  <si>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</si>
  <si>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</si>
  <si>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</si>
  <si>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</si>
  <si>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</si>
  <si>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</si>
  <si>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</si>
  <si>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</si>
  <si>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</si>
  <si>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</si>
  <si>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</si>
  <si>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</si>
  <si>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</si>
  <si>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</si>
  <si>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</si>
  <si>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</si>
  <si>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</si>
  <si>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</si>
  <si>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</si>
  <si>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</si>
  <si>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</si>
  <si>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</si>
  <si>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</si>
  <si>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</si>
  <si>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</si>
  <si>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</si>
  <si>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</si>
  <si>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</si>
  <si>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</si>
  <si>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</si>
  <si>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</si>
  <si>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</si>
  <si>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</si>
  <si>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</si>
  <si>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</si>
  <si>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</si>
  <si>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</si>
  <si>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</si>
  <si>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</si>
  <si>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</si>
  <si>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</si>
  <si>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</si>
  <si>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</si>
  <si>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</si>
  <si>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</si>
  <si>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</si>
  <si>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</si>
  <si>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</si>
  <si>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</si>
  <si>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</si>
  <si>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</si>
  <si>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</si>
  <si>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</si>
  <si>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</si>
  <si>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</si>
  <si>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</si>
  <si>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</si>
  <si>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</si>
  <si>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</si>
  <si>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</si>
  <si>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</si>
  <si>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</si>
  <si>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</si>
  <si>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</si>
  <si>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</si>
  <si>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</si>
  <si>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</si>
  <si>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</si>
  <si>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</si>
  <si>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</si>
  <si>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</si>
  <si>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</si>
  <si>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</si>
  <si>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</si>
  <si>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</si>
  <si>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</si>
  <si>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</si>
  <si>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</si>
  <si>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</si>
  <si>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</si>
  <si>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</si>
  <si>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</si>
  <si>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</si>
  <si>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</si>
  <si>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</si>
  <si>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</si>
  <si>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</si>
  <si>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</si>
  <si>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</si>
  <si>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</si>
  <si>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</si>
  <si>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</si>
  <si>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</si>
  <si>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</si>
  <si>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</si>
  <si>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</si>
  <si>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</si>
  <si>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</si>
  <si>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</si>
  <si>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</si>
  <si>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</si>
  <si>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</si>
  <si>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</si>
  <si>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</si>
  <si>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</si>
  <si>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</si>
  <si>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</si>
  <si>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</si>
  <si>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</si>
  <si>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</si>
  <si>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</si>
  <si>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</si>
  <si>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</si>
  <si>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</si>
  <si>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</si>
  <si>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</si>
  <si>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</si>
  <si>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</si>
  <si>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</si>
  <si>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</si>
  <si>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</si>
  <si>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</si>
  <si>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</si>
  <si>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</si>
  <si>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</si>
  <si>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</si>
  <si>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</si>
  <si>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</si>
  <si>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</si>
  <si>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</si>
  <si>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</si>
  <si>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</si>
  <si>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</si>
  <si>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</si>
  <si>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</si>
  <si>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</si>
  <si>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</si>
  <si>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</si>
  <si>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</si>
  <si>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</si>
  <si>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</si>
  <si>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</si>
  <si>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</si>
  <si>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</si>
  <si>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</si>
  <si>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</si>
  <si>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</si>
  <si>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</si>
  <si>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</si>
  <si>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</si>
  <si>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</si>
  <si>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</si>
  <si>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</si>
  <si>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</si>
  <si>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</si>
  <si>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</si>
  <si>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</si>
  <si>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</si>
  <si>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</si>
  <si>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</si>
  <si>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</si>
  <si>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</si>
  <si>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</si>
  <si>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</si>
  <si>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</si>
  <si>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</si>
  <si>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</si>
  <si>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</si>
  <si>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</si>
  <si>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</si>
  <si>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</si>
  <si>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</si>
  <si>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</si>
  <si>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</si>
  <si>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</si>
  <si>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</si>
  <si>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</si>
  <si>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</si>
  <si>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</si>
  <si>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</si>
  <si>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</si>
  <si>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</si>
  <si>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</si>
  <si>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</si>
  <si>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</si>
  <si>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</si>
  <si>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</si>
  <si>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</si>
  <si>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</si>
  <si>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</si>
  <si>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</si>
  <si>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</si>
  <si>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</si>
  <si>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</si>
  <si>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</si>
  <si>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</si>
  <si>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</si>
  <si>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</si>
  <si>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</si>
  <si>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</si>
  <si>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</si>
  <si>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</si>
  <si>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</si>
  <si>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</si>
  <si>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</si>
  <si>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</si>
  <si>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</si>
  <si>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</si>
  <si>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</si>
  <si>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</si>
  <si>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</si>
  <si>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</si>
  <si>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</si>
  <si>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</si>
  <si>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</si>
  <si>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</si>
  <si>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</si>
  <si>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</si>
  <si>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</si>
  <si>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</si>
  <si>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</si>
  <si>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</si>
  <si>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</si>
  <si>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</si>
  <si>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</si>
  <si>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</si>
  <si>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</si>
  <si>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</si>
  <si>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</si>
  <si>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</si>
  <si>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</si>
  <si>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</si>
  <si>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</si>
  <si>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013E</t>
  </si>
  <si>
    <t>02H</t>
  </si>
  <si>
    <t>0104</t>
  </si>
  <si>
    <t>FAIL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</si>
  <si>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_x000D_
</t>
  </si>
  <si>
    <t>CALL SUB1</t>
  </si>
  <si>
    <t>01H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</si>
</sst>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4" borderId="49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3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9" sqref="N9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8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7">
        <v>0</v>
      </c>
      <c r="AO2" s="117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7">
        <v>0</v>
      </c>
      <c r="AO3" s="117" t="s">
        <v>420</v>
      </c>
      <c r="AP3" s="6"/>
    </row>
    <row r="4" spans="1:42" ht="15.75" thickBot="1">
      <c r="AA4" s="7" t="s">
        <v>410</v>
      </c>
      <c r="AB4" s="109">
        <f>HEX2DEC(AB5)</f>
        <v>63</v>
      </c>
      <c r="AC4" s="111">
        <f t="shared" ref="AC4:AJ4" si="0">AB4-AC5*AC6</f>
        <v>63</v>
      </c>
      <c r="AD4" s="112">
        <f t="shared" si="0"/>
        <v>63</v>
      </c>
      <c r="AE4" s="112">
        <f t="shared" si="0"/>
        <v>31</v>
      </c>
      <c r="AF4" s="112">
        <f t="shared" si="0"/>
        <v>15</v>
      </c>
      <c r="AG4" s="112">
        <f t="shared" si="0"/>
        <v>7</v>
      </c>
      <c r="AH4" s="112">
        <f t="shared" si="0"/>
        <v>3</v>
      </c>
      <c r="AI4" s="112">
        <f t="shared" si="0"/>
        <v>1</v>
      </c>
      <c r="AJ4" s="113">
        <f t="shared" si="0"/>
        <v>1</v>
      </c>
      <c r="AK4" t="s">
        <v>411</v>
      </c>
      <c r="AL4" t="s">
        <v>412</v>
      </c>
      <c r="AN4" s="117">
        <v>1</v>
      </c>
      <c r="AO4" s="117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0" t="s">
        <v>409</v>
      </c>
      <c r="AC5" s="114">
        <f t="shared" ref="AC5:AJ5" si="1">IF(AB4&gt;AC6,1,0)</f>
        <v>0</v>
      </c>
      <c r="AD5" s="114">
        <f t="shared" si="1"/>
        <v>0</v>
      </c>
      <c r="AE5" s="114">
        <f t="shared" si="1"/>
        <v>1</v>
      </c>
      <c r="AF5" s="114">
        <f t="shared" si="1"/>
        <v>1</v>
      </c>
      <c r="AG5" s="114">
        <f t="shared" si="1"/>
        <v>1</v>
      </c>
      <c r="AH5" s="114">
        <f t="shared" si="1"/>
        <v>1</v>
      </c>
      <c r="AI5" s="114">
        <f t="shared" si="1"/>
        <v>1</v>
      </c>
      <c r="AJ5" s="114">
        <f t="shared" si="1"/>
        <v>1</v>
      </c>
      <c r="AK5" s="115">
        <f>SUM(AC5:AJ5)</f>
        <v>6</v>
      </c>
      <c r="AL5" s="115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4">
        <v>128</v>
      </c>
      <c r="AD6" s="114">
        <v>64</v>
      </c>
      <c r="AE6" s="114">
        <v>32</v>
      </c>
      <c r="AF6" s="114">
        <v>16</v>
      </c>
      <c r="AG6" s="114">
        <v>8</v>
      </c>
      <c r="AH6" s="114">
        <v>4</v>
      </c>
      <c r="AI6" s="114">
        <v>2</v>
      </c>
      <c r="AJ6" s="114">
        <v>0</v>
      </c>
    </row>
    <row r="7" spans="1:42" ht="15.75" thickBot="1">
      <c r="A7" s="27">
        <v>1</v>
      </c>
      <c r="B7" s="24" t="s">
        <v>122</v>
      </c>
      <c r="C7" s="45" t="s">
        <v>209</v>
      </c>
      <c r="D7" s="34" t="str">
        <f t="shared" ref="D7:D14" si="2">IF(AND(E7&gt;=32,E7&lt;=126),CHAR(E7),".")</f>
        <v>.</v>
      </c>
      <c r="E7" s="35">
        <f t="shared" ref="E7:E14" si="3">HEX2DEC(C7)</f>
        <v>17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4"/>
      <c r="AD7" s="114"/>
      <c r="AE7" s="114"/>
      <c r="AF7" s="114"/>
      <c r="AG7" s="114"/>
      <c r="AH7" s="114"/>
      <c r="AI7" s="114"/>
      <c r="AJ7" s="114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152</v>
      </c>
      <c r="R8" s="104" t="s">
        <v>209</v>
      </c>
      <c r="S8" s="88"/>
      <c r="U8" s="48"/>
      <c r="V8" s="51">
        <v>318</v>
      </c>
      <c r="W8" s="58" t="s">
        <v>424</v>
      </c>
      <c r="X8" s="59" t="s">
        <v>428</v>
      </c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199</v>
      </c>
      <c r="R9" s="104"/>
      <c r="S9" s="90"/>
      <c r="U9" s="49"/>
      <c r="V9" s="16">
        <v>319</v>
      </c>
      <c r="W9" s="34" t="s">
        <v>429</v>
      </c>
      <c r="X9" s="35" t="s">
        <v>428</v>
      </c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149</v>
      </c>
      <c r="Q10" s="103" t="s">
        <v>152</v>
      </c>
      <c r="R10" s="104" t="s">
        <v>210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>L</v>
      </c>
      <c r="M13" s="38" t="str">
        <f t="shared" si="4"/>
        <v>0105</v>
      </c>
      <c r="N13" s="66">
        <f t="shared" si="6"/>
        <v>261</v>
      </c>
      <c r="O13" s="101" t="s">
        <v>199</v>
      </c>
      <c r="P13" s="102" t="s">
        <v>149</v>
      </c>
      <c r="Q13" s="103" t="s">
        <v>190</v>
      </c>
      <c r="R13" s="104" t="s">
        <v>188</v>
      </c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318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204</v>
      </c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84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L</v>
      </c>
      <c r="M17" s="38" t="str">
        <f t="shared" si="4"/>
        <v>0109</v>
      </c>
      <c r="N17" s="66">
        <f t="shared" si="6"/>
        <v>265</v>
      </c>
      <c r="O17" s="101" t="s">
        <v>204</v>
      </c>
      <c r="P17" s="102" t="s">
        <v>149</v>
      </c>
      <c r="Q17" s="103" t="s">
        <v>191</v>
      </c>
      <c r="R17" s="104" t="s">
        <v>208</v>
      </c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 t="s">
        <v>84</v>
      </c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308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3" activePane="bottomLeft" state="frozen"/>
      <selection pane="bottomLeft" activeCell="R8" sqref="R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 t="str">
        <f>CPU!C7</f>
        <v>11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0104</v>
      </c>
      <c r="J2" s="56" t="str">
        <f>SP</f>
        <v>013E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343</v>
      </c>
      <c r="L4" s="70" t="s">
        <v>267</v>
      </c>
      <c r="M4" s="20">
        <f>IFERROR(VLOOKUP(A4,$P$6:$R$1048576,3,0),0)</f>
        <v>0</v>
      </c>
      <c r="U4" s="130" t="s">
        <v>341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1" t="s">
        <v>427</v>
      </c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1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1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1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343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1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1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1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1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1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343</v>
      </c>
      <c r="L16" s="70" t="s">
        <v>270</v>
      </c>
      <c r="M16" s="20">
        <f>IFERROR(VLOOKUP(A16,$P$6:$R$1048576,3,0),0)</f>
        <v>1</v>
      </c>
      <c r="P16" s="6" t="s">
        <v>327</v>
      </c>
      <c r="Q16" s="40" t="str">
        <f t="shared" si="1"/>
        <v>Unit_DCR_AC_SET_00</v>
      </c>
      <c r="R16" s="40">
        <v>1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1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1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1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1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1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1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1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354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356</v>
      </c>
      <c r="Q26" s="40" t="str">
        <f t="shared" si="1"/>
        <v>JMP direct</v>
      </c>
      <c r="R26" s="40">
        <v>1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0</v>
      </c>
      <c r="K27" s="56"/>
      <c r="L27" s="6" t="s">
        <v>207</v>
      </c>
      <c r="P27" s="6" t="s">
        <v>357</v>
      </c>
      <c r="Q27" s="40" t="str">
        <f t="shared" si="1"/>
        <v>JZ/JNZ (taken/not taken)</v>
      </c>
      <c r="R27" s="40">
        <v>1</v>
      </c>
    </row>
    <row r="28" spans="1:28" ht="15.75" thickBot="1">
      <c r="H28" s="52"/>
      <c r="I28" s="52"/>
      <c r="J28" s="52"/>
      <c r="K28" s="52"/>
      <c r="P28" s="6" t="s">
        <v>360</v>
      </c>
      <c r="Q28" s="40" t="str">
        <f t="shared" si="1"/>
        <v>JP/JM (Sign)</v>
      </c>
      <c r="R28" s="40">
        <v>1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343</v>
      </c>
      <c r="L29" s="70" t="s">
        <v>216</v>
      </c>
      <c r="M29" s="20">
        <f>IFERROR(VLOOKUP(A29,$P$6:$R$1048576,3,0),0)</f>
        <v>1</v>
      </c>
      <c r="P29" s="6" t="s">
        <v>361</v>
      </c>
      <c r="Q29" s="40" t="str">
        <f t="shared" si="1"/>
        <v>JPE/JPO (Parity)</v>
      </c>
      <c r="R29" s="40">
        <v>1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362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1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1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1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1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1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1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343</v>
      </c>
      <c r="L38" s="70" t="s">
        <v>240</v>
      </c>
      <c r="M38" s="20">
        <f>IFERROR(VLOOKUP(A38,$P$6:$R$1048576,3,0),0)</f>
        <v>1</v>
      </c>
      <c r="P38" s="6" t="s">
        <v>398</v>
      </c>
      <c r="Q38" s="40" t="str">
        <f t="shared" si="10"/>
        <v>ANI (immediate) → Zero case</v>
      </c>
      <c r="R38" s="40">
        <v>1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1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343</v>
      </c>
      <c r="L49" s="70" t="s">
        <v>263</v>
      </c>
      <c r="M49" s="20">
        <f>IFERROR(VLOOKUP(A49,$P$6:$R$1048576,3,0),0)</f>
        <v>1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343</v>
      </c>
      <c r="L57" s="70" t="s">
        <v>264</v>
      </c>
      <c r="M57" s="20">
        <f>IFERROR(VLOOKUP(A57,$P$6:$R$1048576,3,0),0)</f>
        <v>1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0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0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343</v>
      </c>
      <c r="L66" s="70" t="s">
        <v>277</v>
      </c>
      <c r="M66" s="20">
        <f>IFERROR(VLOOKUP(A66,$P$6:$R$1048576,3,0),0)</f>
        <v>1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343</v>
      </c>
      <c r="L74" s="70" t="s">
        <v>278</v>
      </c>
      <c r="M74" s="20">
        <f>IFERROR(VLOOKUP(A74,$P$6:$R$1048576,3,0),0)</f>
        <v>1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343</v>
      </c>
      <c r="L83" s="70" t="s">
        <v>283</v>
      </c>
      <c r="M83" s="20">
        <f>IFERROR(VLOOKUP(A83,$P$6:$R$1048576,3,0),0)</f>
        <v>1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343</v>
      </c>
      <c r="L97" s="70" t="s">
        <v>288</v>
      </c>
      <c r="M97" s="20">
        <f>IFERROR(VLOOKUP(A97,$P$6:$R$1048576,3,0),0)</f>
        <v>1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343</v>
      </c>
      <c r="L105" s="70" t="s">
        <v>294</v>
      </c>
      <c r="M105" s="20">
        <f>IFERROR(VLOOKUP(A105,$P$6:$R$1048576,3,0),0)</f>
        <v>1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33" t="s">
        <v>426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343</v>
      </c>
      <c r="L125" s="70" t="s">
        <v>339</v>
      </c>
      <c r="M125" s="20">
        <f>IFERROR(VLOOKUP(A125,$P$6:$R$1048576,3,0),0)</f>
        <v>1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343</v>
      </c>
      <c r="L135" s="70" t="s">
        <v>340</v>
      </c>
      <c r="M135" s="20">
        <f>IFERROR(VLOOKUP(A135,$P$6:$R$1048576,3,0),0)</f>
        <v>1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343</v>
      </c>
      <c r="L148" s="70" t="s">
        <v>344</v>
      </c>
      <c r="M148" s="20">
        <f>IFERROR(VLOOKUP(A148,$P$6:$R$1048576,3,0),0)</f>
        <v>1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345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343</v>
      </c>
      <c r="L163" s="70" t="s">
        <v>351</v>
      </c>
      <c r="M163" s="20">
        <f>IFERROR(VLOOKUP(A163,$P$6:$R$1048576,3,0),0)</f>
        <v>1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343</v>
      </c>
      <c r="L174" s="70" t="s">
        <v>352</v>
      </c>
      <c r="M174" s="20">
        <f>IFERROR(VLOOKUP(A174,$P$6:$R$1048576,3,0),0)</f>
        <v>1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346</v>
      </c>
      <c r="H177" s="86" t="s">
        <v>191</v>
      </c>
      <c r="I177" s="86" t="s">
        <v>347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348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349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350</v>
      </c>
      <c r="H181" s="86" t="s">
        <v>114</v>
      </c>
      <c r="I181" s="86" t="s">
        <v>350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343</v>
      </c>
      <c r="L184" s="70" t="s">
        <v>353</v>
      </c>
      <c r="M184" s="20">
        <f>IFERROR(VLOOKUP(A184,$P$6:$R$1048576,3,0),0)</f>
        <v>1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346</v>
      </c>
      <c r="H187" s="86" t="s">
        <v>191</v>
      </c>
      <c r="I187" s="86" t="s">
        <v>347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348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349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350</v>
      </c>
      <c r="H191" s="86" t="s">
        <v>114</v>
      </c>
      <c r="I191" s="86" t="s">
        <v>350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354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343</v>
      </c>
      <c r="L194" s="70" t="s">
        <v>355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0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356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343</v>
      </c>
      <c r="L204" s="70" t="s">
        <v>358</v>
      </c>
      <c r="M204" s="20">
        <f>IFERROR(VLOOKUP(A204,$P$6:$R$1048576,3,0),0)</f>
        <v>1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359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357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343</v>
      </c>
      <c r="L211" s="70" t="s">
        <v>366</v>
      </c>
      <c r="M211" s="20">
        <f>IFERROR(VLOOKUP(A211,$P$6:$R$1048576,3,0),0)</f>
        <v>1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363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363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364</v>
      </c>
      <c r="F219" s="103" t="s">
        <v>365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365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360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343</v>
      </c>
      <c r="L224" s="70" t="s">
        <v>367</v>
      </c>
      <c r="M224" s="20">
        <f>IFERROR(VLOOKUP(A224,$P$6:$R$1048576,3,0),0)</f>
        <v>1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370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368</v>
      </c>
      <c r="F227" s="103" t="s">
        <v>369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369</v>
      </c>
      <c r="E229" s="102" t="s">
        <v>149</v>
      </c>
      <c r="F229" s="103" t="s">
        <v>191</v>
      </c>
      <c r="G229" s="104" t="s">
        <v>370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371</v>
      </c>
      <c r="F232" s="103" t="s">
        <v>372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372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373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361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343</v>
      </c>
      <c r="L240" s="70" t="s">
        <v>374</v>
      </c>
      <c r="M240" s="20">
        <f>IFERROR(VLOOKUP(A240,$P$6:$R$1048576,3,0),0)</f>
        <v>1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362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8" t="s">
        <v>343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8" t="s">
        <v>343</v>
      </c>
      <c r="L265" s="70" t="s">
        <v>390</v>
      </c>
      <c r="M265" s="20">
        <f>IFERROR(VLOOKUP(A265,$P$6:$R$1048576,3,0),0)</f>
        <v>1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8" t="s">
        <v>343</v>
      </c>
      <c r="L273" s="70" t="s">
        <v>391</v>
      </c>
      <c r="M273" s="20">
        <f>IFERROR(VLOOKUP(A273,$P$6:$R$1048576,3,0),0)</f>
        <v>1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8" t="s">
        <v>343</v>
      </c>
      <c r="L281" s="70" t="s">
        <v>393</v>
      </c>
      <c r="M281" s="20">
        <f>IFERROR(VLOOKUP(A281,$P$6:$R$1048576,3,0),0)</f>
        <v>1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8" t="s">
        <v>343</v>
      </c>
      <c r="L290" s="70" t="s">
        <v>405</v>
      </c>
      <c r="M290" s="20">
        <f>IFERROR(VLOOKUP(A290,$P$6:$R$1048576,3,0),0)</f>
        <v>1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8" t="s">
        <v>343</v>
      </c>
      <c r="L299" s="70" t="s">
        <v>413</v>
      </c>
      <c r="M299" s="20">
        <f>IFERROR(VLOOKUP(A299,$P$6:$R$1048576,3,0),0)</f>
        <v>1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8" t="s">
        <v>343</v>
      </c>
      <c r="L308" s="70" t="s">
        <v>415</v>
      </c>
      <c r="M308" s="20">
        <f>IFERROR(VLOOKUP(A308,$P$6:$R$1048576,3,0),0)</f>
        <v>1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347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8" t="s">
        <v>343</v>
      </c>
      <c r="L317" s="70" t="s">
        <v>416</v>
      </c>
      <c r="M317" s="20">
        <f>IFERROR(VLOOKUP(A317,$P$6:$R$1048576,3,0),0)</f>
        <v>1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6"/>
      <c r="R325" s="116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8" t="s">
        <v>343</v>
      </c>
      <c r="L326" s="70" t="s">
        <v>417</v>
      </c>
      <c r="M326" s="20">
        <f>IFERROR(VLOOKUP(A326,$P$6:$R$1048576,3,0),0)</f>
        <v>1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65</vt:i4>
      </vt:variant>
    </vt:vector>
  </HeadingPairs>
  <TitlesOfParts>
    <vt:vector size="69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2026-02-16T01:15:06Z</dcterms:modified>
</cp:coreProperties>
</file>