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107932" documentId="8_{94CABAF4-C7B0-40C4-A992-4F58DB73C504}" xr6:coauthVersionLast="47" xr6:coauthVersionMax="47" xr10:uidLastSave="{91CC1E1E-FF94-47F1-AFF9-F40286D7B751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87" i="5" l="1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387" i="5" a="1"/>
  <c r="J383" i="5" a="1"/>
  <c r="J384" i="5" a="1"/>
  <c r="J386" i="5" a="1"/>
  <c r="J381" i="5" a="1"/>
  <c r="J385" i="5" a="1"/>
  <c r="J374" i="5" a="1"/>
  <c r="J376" i="5" a="1"/>
  <c r="J378" i="5" a="1"/>
  <c r="J377" i="5" a="1"/>
  <c r="J372" i="5" a="1"/>
  <c r="J375" i="5" a="1"/>
  <c r="J359" i="5" a="1"/>
  <c r="J336" i="5" a="1"/>
  <c r="J296" i="5" a="1"/>
  <c r="J331" i="5" a="1"/>
  <c r="J312" i="5" a="1"/>
  <c r="J303" i="5" a="1"/>
  <c r="J323" i="5" a="1"/>
  <c r="J198" i="5" a="1"/>
  <c r="J168" i="5" a="1"/>
  <c r="J165" i="5" a="1"/>
  <c r="J144" i="5" a="1"/>
  <c r="J260" i="5" a="1"/>
  <c r="J242" i="5" a="1"/>
  <c r="J305" i="5" a="1"/>
  <c r="J293" i="5" a="1"/>
  <c r="J225" i="5" a="1"/>
  <c r="J332" i="5" a="1"/>
  <c r="J271" i="5" a="1"/>
  <c r="J285" i="5" a="1"/>
  <c r="J354" i="5" a="1"/>
  <c r="J340" i="5" a="1"/>
  <c r="J141" i="5" a="1"/>
  <c r="J131" i="5" a="1"/>
  <c r="J150" i="5" a="1"/>
  <c r="J44" i="5" a="1"/>
  <c r="J286" i="5" a="1"/>
  <c r="J178" i="5" a="1"/>
  <c r="J188" i="5" a="1"/>
  <c r="J302" i="5" a="1"/>
  <c r="J263" i="5" a="1"/>
  <c r="J295" i="5" a="1"/>
  <c r="J339" i="5" a="1"/>
  <c r="J321" i="5" a="1"/>
  <c r="J306" i="5" a="1"/>
  <c r="J166" i="5" a="1"/>
  <c r="J234" i="5" a="1"/>
  <c r="J304" i="5" a="1"/>
  <c r="J237" i="5" a="1"/>
  <c r="J153" i="5" a="1"/>
  <c r="J358" i="5" a="1"/>
  <c r="J191" i="5" a="1"/>
  <c r="J369" i="5" a="1"/>
  <c r="J351" i="5" a="1"/>
  <c r="J179" i="5" a="1"/>
  <c r="J200" i="5" a="1"/>
  <c r="J314" i="5" a="1"/>
  <c r="J201" i="5" a="1"/>
  <c r="J137" i="5" a="1"/>
  <c r="J297" i="5" a="1"/>
  <c r="J127" i="5" a="1"/>
  <c r="J282" i="5" a="1"/>
  <c r="J324" i="5" a="1"/>
  <c r="J138" i="5" a="1"/>
  <c r="J215" i="5" a="1"/>
  <c r="J350" i="5" a="1"/>
  <c r="J126" i="5" a="1"/>
  <c r="J218" i="5" a="1"/>
  <c r="J365" i="5" a="1"/>
  <c r="J347" i="5" a="1"/>
  <c r="J155" i="5" a="1"/>
  <c r="J291" i="5" a="1"/>
  <c r="J176" i="5" a="1"/>
  <c r="J287" i="5" a="1"/>
  <c r="J142" i="5" a="1"/>
  <c r="J313" i="5" a="1"/>
  <c r="J128" i="5" a="1"/>
  <c r="J243" i="5" a="1"/>
  <c r="J158" i="5" a="1"/>
  <c r="J228" i="5" a="1"/>
  <c r="J276" i="5" a="1"/>
  <c r="J363" i="5" a="1"/>
  <c r="J143" i="5" a="1"/>
  <c r="J197" i="5" a="1"/>
  <c r="J270" i="5" a="1"/>
  <c r="J368" i="5" a="1"/>
  <c r="J348" i="5" a="1"/>
  <c r="J235" i="5" a="1"/>
  <c r="J151" i="5" a="1"/>
  <c r="J320" i="5" a="1"/>
  <c r="J186" i="5" a="1"/>
  <c r="J266" i="5" a="1"/>
  <c r="J277" i="5" a="1"/>
  <c r="J274" i="5" a="1"/>
  <c r="J181" i="5" a="1"/>
  <c r="J246" i="5" a="1"/>
  <c r="J236" i="5" a="1"/>
  <c r="J333" i="5" a="1"/>
  <c r="J219" i="5" a="1"/>
  <c r="J167" i="5" a="1"/>
  <c r="J262" i="5" a="1"/>
  <c r="J292" i="5" a="1"/>
  <c r="J367" i="5" a="1"/>
  <c r="J345" i="5" a="1"/>
  <c r="J255" i="5" a="1"/>
  <c r="J300" i="5" a="1"/>
  <c r="J212" i="5" a="1"/>
  <c r="J288" i="5" a="1"/>
  <c r="J196" i="5" a="1"/>
  <c r="J268" i="5" a="1"/>
  <c r="J245" i="5" a="1"/>
  <c r="J130" i="5" a="1"/>
  <c r="J227" i="5" a="1"/>
  <c r="J241" i="5" a="1"/>
  <c r="J195" i="5" a="1"/>
  <c r="J310" i="5" a="1"/>
  <c r="J356" i="5" a="1"/>
  <c r="J206" i="5" a="1"/>
  <c r="J171" i="5" a="1"/>
  <c r="J311" i="5" a="1"/>
  <c r="J366" i="5" a="1"/>
  <c r="J349" i="5" a="1"/>
  <c r="J152" i="5" a="1"/>
  <c r="J284" i="5" a="1"/>
  <c r="J145" i="5" a="1"/>
  <c r="J187" i="5" a="1"/>
  <c r="J177" i="5" a="1"/>
  <c r="J256" i="5" a="1"/>
  <c r="J129" i="5" a="1"/>
  <c r="J283" i="5" a="1"/>
  <c r="J136" i="5" a="1"/>
  <c r="J185" i="5" a="1"/>
  <c r="J133" i="5" a="1"/>
  <c r="J199" i="5" a="1"/>
  <c r="J267" i="5" a="1"/>
  <c r="J357" i="5" a="1"/>
  <c r="J342" i="5" a="1"/>
  <c r="J279" i="5" a="1"/>
  <c r="J175" i="5" a="1"/>
  <c r="J247" i="5" a="1"/>
  <c r="J315" i="5" a="1"/>
  <c r="J269" i="5" a="1"/>
  <c r="J322" i="5" a="1"/>
  <c r="J329" i="5" a="1"/>
  <c r="J261" i="5" a="1"/>
  <c r="J132" i="5" a="1"/>
  <c r="J170" i="5" a="1"/>
  <c r="J327" i="5" a="1"/>
  <c r="J360" i="5" a="1"/>
  <c r="J338" i="5" a="1"/>
  <c r="J309" i="5" a="1"/>
  <c r="J189" i="5" a="1"/>
  <c r="J294" i="5" a="1"/>
  <c r="J226" i="5" a="1"/>
  <c r="J278" i="5" a="1"/>
  <c r="J156" i="5" a="1"/>
  <c r="J275" i="5" a="1"/>
  <c r="J248" i="5" a="1"/>
  <c r="J249" i="5" a="1"/>
  <c r="J46" i="5" a="1"/>
  <c r="J330" i="5" a="1"/>
  <c r="J341" i="5" a="1"/>
  <c r="J318" i="5" a="1"/>
  <c r="J385" i="5" l="1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2" i="5" a="1"/>
  <c r="J101" i="5" a="1"/>
  <c r="J85" i="5" a="1"/>
  <c r="J99" i="5" a="1"/>
  <c r="J108" i="5" a="1"/>
  <c r="J110" i="5" a="1"/>
  <c r="J84" i="5" a="1"/>
  <c r="J109" i="5" a="1"/>
  <c r="J89" i="5" a="1"/>
  <c r="J87" i="5" a="1"/>
  <c r="J80" i="5" a="1"/>
  <c r="J91" i="5" a="1"/>
  <c r="J100" i="5" a="1"/>
  <c r="J90" i="5" a="1"/>
  <c r="J88" i="5" a="1"/>
  <c r="J86" i="5" a="1"/>
  <c r="J107" i="5" a="1"/>
  <c r="J380" i="5" l="1"/>
  <c r="J371" i="5"/>
  <c r="J362" i="5"/>
  <c r="J353" i="5"/>
  <c r="J344" i="5"/>
  <c r="J335" i="5"/>
  <c r="J326" i="5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5" i="5" a="1"/>
  <c r="J79" i="5" a="1"/>
  <c r="J70" i="5" a="1"/>
  <c r="J69" i="5" a="1"/>
  <c r="J12" i="5" a="1"/>
  <c r="J51" i="5" a="1"/>
  <c r="J61" i="5" a="1"/>
  <c r="J78" i="5" a="1"/>
  <c r="J19" i="5" a="1"/>
  <c r="J59" i="5" a="1"/>
  <c r="J33" i="5" a="1"/>
  <c r="J31" i="5" a="1"/>
  <c r="J71" i="5" a="1"/>
  <c r="J60" i="5" a="1"/>
  <c r="J52" i="5" a="1"/>
  <c r="J26" i="5" a="1"/>
  <c r="J40" i="5" a="1"/>
  <c r="J63" i="5" a="1"/>
  <c r="J72" i="5" a="1"/>
  <c r="J42" i="5" a="1"/>
  <c r="J22" i="5" a="1"/>
  <c r="J77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6" i="5" a="1"/>
  <c r="J7" i="5" a="1"/>
  <c r="J8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<sst xmlns="http://schemas.openxmlformats.org/spreadsheetml/2006/main" count="1664" uniqueCount="466">
  <si>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</si>
  <si>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</si>
  <si>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</si>
  <si>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</si>
  <si>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</si>
  <si>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</si>
  <si>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</si>
  <si>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</si>
  <si>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</si>
  <si>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</si>
  <si>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</si>
  <si>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</si>
  <si>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</si>
  <si>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</si>
  <si>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</si>
  <si>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</si>
  <si>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</si>
  <si>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</si>
  <si>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</si>
  <si>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</si>
  <si>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</si>
  <si>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</si>
  <si>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</si>
  <si>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</si>
  <si>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</si>
  <si>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</si>
  <si>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</si>
  <si>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</si>
  <si>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</si>
  <si>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</si>
  <si>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</si>
  <si>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</si>
  <si>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</si>
  <si>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</si>
  <si>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</si>
  <si>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</si>
  <si>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</si>
  <si>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</si>
  <si>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</si>
  <si>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</si>
  <si>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</si>
  <si>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</si>
  <si>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</si>
  <si>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</si>
  <si>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</si>
  <si>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</si>
  <si>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</si>
  <si>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</si>
  <si>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</si>
  <si>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</si>
  <si>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</si>
  <si>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</si>
  <si>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</si>
  <si>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</si>
  <si>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</si>
  <si>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</si>
  <si>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</si>
  <si>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</si>
  <si>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</si>
  <si>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</si>
  <si>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</si>
  <si>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</si>
  <si>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</si>
  <si>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</si>
  <si>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</si>
  <si>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</si>
  <si>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</si>
  <si>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</si>
  <si>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</si>
  <si>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</si>
  <si>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</si>
  <si>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</si>
  <si>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</si>
  <si>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</si>
  <si>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</si>
  <si>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</si>
  <si>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</si>
  <si>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</si>
  <si>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</si>
  <si>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</si>
  <si>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</si>
  <si>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</si>
  <si>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</si>
  <si>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</si>
  <si>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</si>
  <si>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</si>
  <si>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</si>
  <si>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</si>
  <si>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</si>
  <si>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</si>
  <si>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</si>
  <si>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</si>
  <si>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</si>
  <si>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</si>
  <si>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</si>
  <si>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</si>
  <si>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</si>
  <si>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</si>
  <si>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</si>
  <si>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</si>
  <si>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</si>
  <si>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</si>
  <si>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</si>
  <si>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</si>
  <si>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</si>
  <si>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</si>
  <si>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</si>
  <si>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</si>
  <si>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</si>
  <si>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</si>
  <si>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</si>
  <si>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</si>
  <si>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</si>
  <si>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</si>
  <si>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</si>
  <si>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</si>
  <si>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</si>
  <si>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</si>
  <si>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</si>
  <si>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</si>
  <si>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</si>
  <si>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</si>
  <si>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</si>
  <si>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</si>
  <si>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</si>
  <si>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</si>
  <si>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</si>
  <si>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</si>
  <si>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</si>
  <si>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</si>
  <si>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</si>
  <si>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</si>
  <si>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</si>
  <si>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</si>
  <si>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</si>
  <si>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</si>
  <si>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</si>
  <si>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</si>
  <si>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</si>
  <si>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</si>
  <si>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</si>
  <si>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</si>
  <si>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</si>
  <si>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</si>
  <si>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</si>
  <si>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</si>
  <si>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</si>
  <si>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</si>
  <si>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</si>
  <si>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</si>
  <si>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</si>
  <si>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</si>
  <si>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</si>
  <si>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</si>
  <si>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</si>
  <si>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</si>
  <si>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</si>
  <si>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</si>
  <si>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</si>
  <si>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</si>
  <si>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</si>
  <si>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</si>
  <si>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</si>
  <si>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</si>
  <si>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</si>
  <si>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</si>
  <si>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</si>
  <si>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</si>
  <si>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</si>
  <si>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</si>
  <si>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</si>
  <si>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</si>
  <si>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</si>
  <si>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</si>
  <si>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</si>
  <si>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</si>
  <si>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</si>
  <si>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</si>
  <si>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</si>
  <si>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</si>
  <si>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</si>
  <si>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</si>
  <si>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</si>
  <si>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</si>
  <si>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</si>
  <si>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</si>
  <si>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</si>
  <si>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</si>
  <si>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</si>
  <si>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</si>
  <si>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</si>
  <si>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</si>
  <si>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</si>
  <si>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</si>
  <si>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</si>
  <si>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</si>
  <si>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</si>
  <si>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</si>
  <si>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</si>
  <si>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</si>
  <si>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</si>
  <si>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</si>
  <si>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</si>
  <si>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</si>
  <si>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</si>
  <si>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</si>
  <si>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</si>
  <si>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</si>
  <si>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</si>
  <si>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</si>
  <si>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</si>
  <si>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</si>
  <si>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</si>
  <si>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</si>
  <si>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</si>
  <si>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</si>
  <si>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</si>
  <si>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</si>
  <si>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</si>
  <si>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</si>
  <si>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</si>
  <si>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</si>
  <si>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</si>
  <si>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</si>
  <si>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</si>
  <si>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</si>
  <si>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</si>
  <si>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</si>
  <si>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</si>
  <si>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</si>
  <si>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</si>
  <si>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</si>
  <si>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</si>
  <si>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</si>
  <si>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</si>
  <si>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</si>
  <si>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</si>
  <si>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</si>
  <si>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</si>
  <si>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</si>
  <si>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</si>
  <si>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</si>
  <si>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</si>
  <si>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</si>
  <si>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</si>
  <si>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</si>
  <si>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</si>
  <si>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</si>
  <si>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</si>
  <si>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</si>
  <si>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</si>
  <si>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</si>
  <si>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</si>
  <si>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</si>
  <si>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</si>
  <si>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</si>
  <si>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</si>
  <si>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</si>
  <si>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</si>
  <si>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</si>
  <si>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</si>
  <si>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</si>
  <si>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</si>
  <si>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</si>
  <si>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</si>
  <si>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</si>
  <si>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</si>
  <si>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</si>
  <si>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</si>
  <si>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</si>
  <si>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</si>
  <si>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</si>
  <si>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</si>
  <si>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</si>
  <si>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</si>
  <si>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</si>
  <si>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</si>
  <si>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</si>
  <si>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</si>
  <si>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</si>
  <si>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</si>
  <si>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</si>
  <si>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</si>
  <si>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</si>
  <si>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</si>
  <si>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</si>
  <si>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</si>
  <si>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</si>
  <si>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</si>
  <si>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</si>
  <si>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</si>
  <si>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</si>
  <si>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</si>
  <si>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</si>
  <si>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</si>
  <si>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</si>
  <si>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</si>
  <si>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</si>
  <si>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</si>
  <si>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</si>
  <si>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</si>
  <si>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</si>
  <si>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</si>
  <si>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</si>
  <si>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</si>
  <si>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</si>
  <si>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</si>
  <si>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</si>
  <si>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</si>
  <si>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</si>
  <si>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</si>
  <si>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</si>
  <si>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</si>
  <si>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</si>
  <si>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</si>
  <si>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</si>
  <si>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</si>
  <si>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</si>
  <si>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</si>
  <si>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</si>
  <si>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</si>
  <si>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</si>
  <si>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</si>
  <si>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</si>
  <si>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</si>
  <si>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</si>
  <si>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</si>
  <si>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</si>
  <si>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</si>
  <si>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</si>
  <si>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</si>
  <si>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</si>
  <si>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</si>
  <si>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</si>
  <si>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</si>
  <si>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</si>
  <si>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</si>
  <si>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</si>
  <si>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</si>
  <si>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</si>
  <si>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</si>
  <si>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</si>
  <si>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</si>
  <si>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</si>
  <si>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</si>
  <si>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</si>
  <si>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</si>
  <si>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</si>
  <si>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</si>
  <si>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</si>
  <si>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</si>
  <si>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</si>
  <si>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</si>
  <si>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</si>
  <si>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</si>
  <si>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</si>
  <si>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</si>
  <si>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</si>
  <si>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</si>
  <si>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</si>
  <si>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</si>
  <si>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</si>
  <si>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</si>
  <si>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</si>
  <si>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</si>
  <si>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</si>
  <si>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</si>
  <si>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</si>
  <si>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</si>
  <si>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</si>
  <si>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</si>
  <si>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</si>
  <si>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</si>
  <si>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</si>
  <si>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</si>
  <si>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</si>
  <si>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</si>
  <si>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</si>
  <si>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</si>
  <si>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</si>
  <si>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</si>
  <si>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</si>
  <si>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</si>
  <si>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</si>
  <si>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</si>
  <si>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</si>
  <si>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</si>
  <si>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</si>
  <si>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</si>
  <si>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</si>
  <si>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</si>
  <si>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</si>
  <si>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</si>
  <si>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</si>
  <si>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</si>
  <si>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</si>
  <si>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</si>
  <si>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</si>
  <si>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</si>
  <si>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</si>
  <si>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</si>
  <si>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</si>
  <si>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</si>
  <si>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</si>
  <si>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</si>
  <si>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</si>
  <si>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</si>
  <si>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</si>
  <si>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</si>
  <si>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</si>
  <si>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</si>
  <si>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</si>
  <si>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</si>
  <si>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</si>
  <si>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</si>
  <si>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</si>
  <si>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</si>
  <si>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</si>
  <si>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</si>
  <si>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</si>
  <si>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</si>
  <si>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</si>
  <si>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</si>
  <si>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</si>
  <si>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</si>
  <si>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</si>
  <si>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</si>
  <si>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</si>
  <si>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</si>
  <si>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</si>
  <si>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</si>
  <si>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</si>
  <si>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</si>
  <si>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</si>
  <si>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</si>
  <si>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</si>
  <si>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</si>
  <si>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</si>
  <si>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</si>
  <si>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</si>
  <si>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</si>
  <si>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</si>
  <si>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Execution Complete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</si>
  <si>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</si>
  <si>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</si>
  <si>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</si>
  <si>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</si>
  <si>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</si>
  <si>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</si>
  <si>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</si>
  <si>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</si>
  <si>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</si>
  <si>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</si>
  <si>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</si>
  <si>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</si>
  <si>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</si>
  <si>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</si>
  <si>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</si>
  <si>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</si>
  <si>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</si>
  <si>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</si>
  <si>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</si>
  <si>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0105</t>
  </si>
  <si>
    <t>SBI imm (includes carry)</t>
  </si>
  <si>
    <t>SBI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</si>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</sst>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9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12" borderId="43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</cellXfs>
  <cellStyles count="1">
    <cellStyle name="Normal" xfId="0" builtinId="0"/>
  </cellStyles>
  <dxfs count="24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8" sqref="P8:R10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21" t="s">
        <v>442</v>
      </c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3"/>
      <c r="AN1" s="67" t="s">
        <v>421</v>
      </c>
      <c r="AO1" s="67" t="s">
        <v>417</v>
      </c>
      <c r="AP1" s="6"/>
    </row>
    <row r="2" spans="1:42">
      <c r="A2" s="14" t="s">
        <v>135</v>
      </c>
      <c r="B2" s="15">
        <v>1</v>
      </c>
      <c r="AN2" s="116">
        <v>1</v>
      </c>
      <c r="AO2" s="116" t="s">
        <v>418</v>
      </c>
      <c r="AP2" s="6"/>
    </row>
    <row r="3" spans="1:42" ht="15.75" thickBot="1">
      <c r="A3" s="8" t="s">
        <v>134</v>
      </c>
      <c r="B3" s="13">
        <f>Line0</f>
        <v>256</v>
      </c>
      <c r="AN3" s="116">
        <v>1</v>
      </c>
      <c r="AO3" s="116" t="s">
        <v>419</v>
      </c>
      <c r="AP3" s="6"/>
    </row>
    <row r="4" spans="1:42" ht="15.75" thickBot="1">
      <c r="AA4" s="7" t="s">
        <v>409</v>
      </c>
      <c r="AB4" s="108">
        <f>HEX2DEC(AB5)</f>
        <v>63</v>
      </c>
      <c r="AC4" s="110">
        <f t="shared" ref="AC4:AJ4" si="0">AB4-AC5*AC6</f>
        <v>63</v>
      </c>
      <c r="AD4" s="111">
        <f t="shared" si="0"/>
        <v>63</v>
      </c>
      <c r="AE4" s="111">
        <f t="shared" si="0"/>
        <v>31</v>
      </c>
      <c r="AF4" s="111">
        <f t="shared" si="0"/>
        <v>15</v>
      </c>
      <c r="AG4" s="111">
        <f t="shared" si="0"/>
        <v>7</v>
      </c>
      <c r="AH4" s="111">
        <f t="shared" si="0"/>
        <v>3</v>
      </c>
      <c r="AI4" s="111">
        <f t="shared" si="0"/>
        <v>1</v>
      </c>
      <c r="AJ4" s="112">
        <f t="shared" si="0"/>
        <v>1</v>
      </c>
      <c r="AK4" t="s">
        <v>410</v>
      </c>
      <c r="AL4" t="s">
        <v>411</v>
      </c>
      <c r="AN4" s="116">
        <v>0</v>
      </c>
      <c r="AO4" s="116" t="s">
        <v>420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09" t="s">
        <v>408</v>
      </c>
      <c r="AC5" s="113">
        <f t="shared" ref="AC5:AJ5" si="1">IF(AB4&gt;AC6,1,0)</f>
        <v>0</v>
      </c>
      <c r="AD5" s="113">
        <f t="shared" si="1"/>
        <v>0</v>
      </c>
      <c r="AE5" s="113">
        <f t="shared" si="1"/>
        <v>1</v>
      </c>
      <c r="AF5" s="113">
        <f t="shared" si="1"/>
        <v>1</v>
      </c>
      <c r="AG5" s="113">
        <f t="shared" si="1"/>
        <v>1</v>
      </c>
      <c r="AH5" s="113">
        <f t="shared" si="1"/>
        <v>1</v>
      </c>
      <c r="AI5" s="113">
        <f t="shared" si="1"/>
        <v>1</v>
      </c>
      <c r="AJ5" s="113">
        <f t="shared" si="1"/>
        <v>1</v>
      </c>
      <c r="AK5" s="114">
        <f>SUM(AC5:AJ5)</f>
        <v>6</v>
      </c>
      <c r="AL5" s="114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148</v>
      </c>
      <c r="D6" s="34" t="str">
        <f>IF(AND(E6&gt;=32,E6&lt;=126),CHAR(E6),".")</f>
        <v>.</v>
      </c>
      <c r="E6" s="35">
        <f>HEX2DEC(C6)</f>
        <v>255</v>
      </c>
      <c r="G6" s="21" t="s">
        <v>115</v>
      </c>
      <c r="H6" s="22">
        <v>1</v>
      </c>
      <c r="AC6" s="113">
        <v>128</v>
      </c>
      <c r="AD6" s="113">
        <v>64</v>
      </c>
      <c r="AE6" s="113">
        <v>32</v>
      </c>
      <c r="AF6" s="113">
        <v>16</v>
      </c>
      <c r="AG6" s="113">
        <v>8</v>
      </c>
      <c r="AH6" s="113">
        <v>4</v>
      </c>
      <c r="AI6" s="113">
        <v>2</v>
      </c>
      <c r="AJ6" s="113">
        <v>0</v>
      </c>
    </row>
    <row r="7" spans="1:42" ht="15.75" thickBot="1">
      <c r="A7" s="27">
        <v>1</v>
      </c>
      <c r="B7" s="24" t="s">
        <v>122</v>
      </c>
      <c r="C7" s="45" t="s">
        <v>223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1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3"/>
      <c r="AD7" s="113"/>
      <c r="AE7" s="113"/>
      <c r="AF7" s="113"/>
      <c r="AG7" s="113"/>
      <c r="AH7" s="113"/>
      <c r="AI7" s="113"/>
      <c r="AJ7" s="113"/>
    </row>
    <row r="8" spans="1:42">
      <c r="A8" s="27">
        <v>2</v>
      </c>
      <c r="B8" s="24" t="s">
        <v>123</v>
      </c>
      <c r="C8" s="45" t="s">
        <v>223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1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149</v>
      </c>
      <c r="Q8" s="103" t="s">
        <v>154</v>
      </c>
      <c r="R8" s="104" t="s">
        <v>223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 t="s">
        <v>223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72</v>
      </c>
      <c r="Q9" s="103"/>
      <c r="R9" s="104"/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 t="s">
        <v>223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464</v>
      </c>
      <c r="Q10" s="103">
        <v>0</v>
      </c>
      <c r="R10" s="104"/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223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1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/>
      <c r="Q11" s="103"/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223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462</v>
      </c>
      <c r="D13" s="34" t="str">
        <f t="shared" si="2"/>
        <v>.</v>
      </c>
      <c r="E13" s="35">
        <f t="shared" si="3"/>
        <v>261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 t="s">
        <v>192</v>
      </c>
      <c r="Q13" s="103"/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423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/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/>
      </c>
      <c r="M17" s="38" t="str">
        <f t="shared" si="4"/>
        <v>0109</v>
      </c>
      <c r="N17" s="66">
        <f t="shared" si="6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 ht="15.75" thickBot="1">
      <c r="A19" s="6" t="s">
        <v>248</v>
      </c>
      <c r="B19" s="6" t="s">
        <v>307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17" t="s">
        <v>422</v>
      </c>
      <c r="H20" s="60">
        <v>0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42" priority="26" operator="equal">
      <formula>0</formula>
    </cfRule>
    <cfRule type="cellIs" dxfId="241" priority="27" operator="greaterThan">
      <formula>0</formula>
    </cfRule>
  </conditionalFormatting>
  <conditionalFormatting sqref="F1:V1">
    <cfRule type="containsText" dxfId="240" priority="17" operator="containsText" text="Halted">
      <formula>NOT(ISERROR(SEARCH("Halted",F1)))</formula>
    </cfRule>
    <cfRule type="containsText" dxfId="239" priority="24" operator="containsText" text="Execution Complete">
      <formula>NOT(ISERROR(SEARCH("Execution Complete",F1)))</formula>
    </cfRule>
    <cfRule type="containsText" dxfId="238" priority="25" operator="containsText" text="Error">
      <formula>NOT(ISERROR(SEARCH("Error",F1)))</formula>
    </cfRule>
  </conditionalFormatting>
  <conditionalFormatting sqref="P22:R1070">
    <cfRule type="expression" dxfId="237" priority="49">
      <formula>$N22=$E$13</formula>
    </cfRule>
  </conditionalFormatting>
  <conditionalFormatting sqref="M7:S7 M22:S1070 M8:N21 S8:S21">
    <cfRule type="containsText" dxfId="236" priority="5" operator="containsText" text=" ">
      <formula>NOT(ISERROR(SEARCH(" ",M7)))</formula>
    </cfRule>
  </conditionalFormatting>
  <conditionalFormatting sqref="AC5:AL5">
    <cfRule type="cellIs" dxfId="235" priority="3" operator="equal">
      <formula>0</formula>
    </cfRule>
    <cfRule type="cellIs" dxfId="234" priority="4" operator="equal">
      <formula>1</formula>
    </cfRule>
  </conditionalFormatting>
  <conditionalFormatting sqref="H20">
    <cfRule type="cellIs" dxfId="233" priority="2" operator="equal">
      <formula>1</formula>
    </cfRule>
    <cfRule type="cellIs" dxfId="232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Step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87"/>
  <sheetViews>
    <sheetView zoomScaleNormal="100" workbookViewId="0">
      <pane xSplit="1" ySplit="4" topLeftCell="E5" activePane="bottomRight" state="frozen"/>
      <selection pane="topRight" activeCell="B1" sqref="B1"/>
      <selection pane="bottomLeft" activeCell="A5" sqref="A5"/>
      <selection pane="bottomRight" activeCell="R6" sqref="R6:R52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">
        <v>154</v>
      </c>
      <c r="C1" s="97" t="s">
        <v>152</v>
      </c>
      <c r="D1" s="97" t="s">
        <v>190</v>
      </c>
      <c r="E1" s="97" t="s">
        <v>240</v>
      </c>
      <c r="F1" s="97" t="s">
        <v>274</v>
      </c>
      <c r="G1" s="97" t="s">
        <v>314</v>
      </c>
      <c r="H1" s="97" t="s">
        <v>338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FF</v>
      </c>
      <c r="C2" s="56" t="str">
        <f>CPU!C7</f>
        <v>00</v>
      </c>
      <c r="D2" s="56" t="str">
        <f>CPU!C8</f>
        <v>00</v>
      </c>
      <c r="E2" s="56" t="str">
        <f>CPU!C9</f>
        <v>00</v>
      </c>
      <c r="F2" s="56" t="str">
        <f>CPU!C10</f>
        <v>00</v>
      </c>
      <c r="G2" s="56" t="str">
        <f>CPU!C11</f>
        <v>00</v>
      </c>
      <c r="H2" s="56" t="str">
        <f>CPU!C12</f>
        <v>00</v>
      </c>
      <c r="I2" s="56" t="str">
        <f>PC</f>
        <v>0105</v>
      </c>
      <c r="J2" s="56" t="str">
        <f>SP</f>
        <v>0140</v>
      </c>
      <c r="K2" s="56">
        <f>Carry</f>
        <v>1</v>
      </c>
      <c r="L2" s="56">
        <f>Parity</f>
        <v>1</v>
      </c>
      <c r="M2" s="56">
        <f>AC</f>
        <v>1</v>
      </c>
      <c r="N2" s="56">
        <f>Zero</f>
        <v>0</v>
      </c>
      <c r="O2" s="56">
        <f>Flag</f>
        <v>1</v>
      </c>
      <c r="P2" s="56">
        <f>Sign</f>
        <v>1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20" t="s">
        <v>443</v>
      </c>
      <c r="L4" s="70" t="s">
        <v>267</v>
      </c>
      <c r="M4" s="20">
        <f>IFERROR(VLOOKUP(A4,$P$6:$R$1048576,3,0),0)</f>
        <v>0</v>
      </c>
      <c r="U4" s="124" t="s">
        <v>341</v>
      </c>
      <c r="V4" s="125"/>
      <c r="W4" s="125"/>
      <c r="X4" s="125"/>
      <c r="Y4" s="125"/>
      <c r="Z4" s="125"/>
      <c r="AA4" s="125"/>
      <c r="AB4" s="126"/>
    </row>
    <row r="5" spans="1:28" ht="15.75" customHeight="1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391</v>
      </c>
      <c r="R5" s="93" t="s">
        <v>243</v>
      </c>
      <c r="U5" s="127" t="s">
        <v>465</v>
      </c>
      <c r="V5" s="127"/>
      <c r="W5" s="127"/>
      <c r="X5" s="127"/>
      <c r="Y5" s="127"/>
      <c r="Z5" s="127"/>
      <c r="AA5" s="127"/>
      <c r="AB5" s="127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28"/>
      <c r="V6" s="128"/>
      <c r="W6" s="128"/>
      <c r="X6" s="128"/>
      <c r="Y6" s="128"/>
      <c r="Z6" s="128"/>
      <c r="AA6" s="128"/>
      <c r="AB6" s="128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28"/>
      <c r="V7" s="128"/>
      <c r="W7" s="128"/>
      <c r="X7" s="128"/>
      <c r="Y7" s="128"/>
      <c r="Z7" s="128"/>
      <c r="AA7" s="128"/>
      <c r="AB7" s="128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0</v>
      </c>
      <c r="U8" s="128"/>
      <c r="V8" s="128"/>
      <c r="W8" s="128"/>
      <c r="X8" s="128"/>
      <c r="Y8" s="128"/>
      <c r="Z8" s="128"/>
      <c r="AA8" s="128"/>
      <c r="AB8" s="128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0</v>
      </c>
      <c r="U9" s="128"/>
      <c r="V9" s="128"/>
      <c r="W9" s="128"/>
      <c r="X9" s="128"/>
      <c r="Y9" s="128"/>
      <c r="Z9" s="128"/>
      <c r="AA9" s="128"/>
      <c r="AB9" s="128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0</v>
      </c>
      <c r="U10" s="128"/>
      <c r="V10" s="128"/>
      <c r="W10" s="128"/>
      <c r="X10" s="128"/>
      <c r="Y10" s="128"/>
      <c r="Z10" s="128"/>
      <c r="AA10" s="128"/>
      <c r="AB10" s="128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20" t="s">
        <v>443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0</v>
      </c>
      <c r="U11" s="128"/>
      <c r="V11" s="128"/>
      <c r="W11" s="128"/>
      <c r="X11" s="128"/>
      <c r="Y11" s="128"/>
      <c r="Z11" s="128"/>
      <c r="AA11" s="128"/>
      <c r="AB11" s="128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1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0</v>
      </c>
      <c r="U12" s="128"/>
      <c r="V12" s="128"/>
      <c r="W12" s="128"/>
      <c r="X12" s="128"/>
      <c r="Y12" s="128"/>
      <c r="Z12" s="128"/>
      <c r="AA12" s="128"/>
      <c r="AB12" s="128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0</v>
      </c>
      <c r="U13" s="128"/>
      <c r="V13" s="128"/>
      <c r="W13" s="128"/>
      <c r="X13" s="128"/>
      <c r="Y13" s="128"/>
      <c r="Z13" s="128"/>
      <c r="AA13" s="128"/>
      <c r="AB13" s="128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0</v>
      </c>
      <c r="U14" s="128"/>
      <c r="V14" s="128"/>
      <c r="W14" s="128"/>
      <c r="X14" s="128"/>
      <c r="Y14" s="128"/>
      <c r="Z14" s="128"/>
      <c r="AA14" s="128"/>
      <c r="AB14" s="128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0</v>
      </c>
      <c r="U15" s="128"/>
      <c r="V15" s="128"/>
      <c r="W15" s="128"/>
      <c r="X15" s="128"/>
      <c r="Y15" s="128"/>
      <c r="Z15" s="128"/>
      <c r="AA15" s="128"/>
      <c r="AB15" s="128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20" t="s">
        <v>443</v>
      </c>
      <c r="L16" s="70" t="s">
        <v>270</v>
      </c>
      <c r="M16" s="20">
        <f>IFERROR(VLOOKUP(A16,$P$6:$R$1048576,3,0),0)</f>
        <v>0</v>
      </c>
      <c r="P16" s="6" t="s">
        <v>327</v>
      </c>
      <c r="Q16" s="40" t="str">
        <f t="shared" si="1"/>
        <v>Unit_DCR_AC_SET_00</v>
      </c>
      <c r="R16" s="40">
        <v>0</v>
      </c>
      <c r="U16" s="128"/>
      <c r="V16" s="128"/>
      <c r="W16" s="128"/>
      <c r="X16" s="128"/>
      <c r="Y16" s="128"/>
      <c r="Z16" s="128"/>
      <c r="AA16" s="128"/>
      <c r="AB16" s="128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0</v>
      </c>
      <c r="U17" s="128"/>
      <c r="V17" s="128"/>
      <c r="W17" s="128"/>
      <c r="X17" s="128"/>
      <c r="Y17" s="128"/>
      <c r="Z17" s="128"/>
      <c r="AA17" s="128"/>
      <c r="AB17" s="128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0</v>
      </c>
      <c r="U18" s="128"/>
      <c r="V18" s="128"/>
      <c r="W18" s="128"/>
      <c r="X18" s="128"/>
      <c r="Y18" s="128"/>
      <c r="Z18" s="128"/>
      <c r="AA18" s="128"/>
      <c r="AB18" s="128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0</v>
      </c>
      <c r="U19" s="128"/>
      <c r="V19" s="128"/>
      <c r="W19" s="128"/>
      <c r="X19" s="128"/>
      <c r="Y19" s="128"/>
      <c r="Z19" s="128"/>
      <c r="AA19" s="128"/>
      <c r="AB19" s="128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56"/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0</v>
      </c>
      <c r="U20" s="128"/>
      <c r="V20" s="128"/>
      <c r="W20" s="128"/>
      <c r="X20" s="128"/>
      <c r="Y20" s="128"/>
      <c r="Z20" s="128"/>
      <c r="AA20" s="128"/>
      <c r="AB20" s="128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0</v>
      </c>
      <c r="U21" s="128"/>
      <c r="V21" s="128"/>
      <c r="W21" s="128"/>
      <c r="X21" s="128"/>
      <c r="Y21" s="128"/>
      <c r="Z21" s="128"/>
      <c r="AA21" s="128"/>
      <c r="AB21" s="128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0</v>
      </c>
      <c r="U22" s="128"/>
      <c r="V22" s="128"/>
      <c r="W22" s="128"/>
      <c r="X22" s="128"/>
      <c r="Y22" s="128"/>
      <c r="Z22" s="128"/>
      <c r="AA22" s="128"/>
      <c r="AB22" s="128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0</v>
      </c>
      <c r="U23" s="128"/>
      <c r="V23" s="128"/>
      <c r="W23" s="128"/>
      <c r="X23" s="128"/>
      <c r="Y23" s="128"/>
      <c r="Z23" s="128"/>
      <c r="AA23" s="128"/>
      <c r="AB23" s="128"/>
    </row>
    <row r="24" spans="1:28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0</v>
      </c>
      <c r="U24" s="128"/>
      <c r="V24" s="128"/>
      <c r="W24" s="128"/>
      <c r="X24" s="128"/>
      <c r="Y24" s="128"/>
      <c r="Z24" s="128"/>
      <c r="AA24" s="128"/>
      <c r="AB24" s="128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353</v>
      </c>
      <c r="Q25" s="40" t="str">
        <f t="shared" si="1"/>
        <v>PUSH/POP PSW round‑trip (flags + A)</v>
      </c>
      <c r="R25" s="40">
        <v>0</v>
      </c>
      <c r="U25" s="128"/>
      <c r="V25" s="128"/>
      <c r="W25" s="128"/>
      <c r="X25" s="128"/>
      <c r="Y25" s="128"/>
      <c r="Z25" s="128"/>
      <c r="AA25" s="128"/>
      <c r="AB25" s="128"/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355</v>
      </c>
      <c r="Q26" s="40" t="str">
        <f t="shared" si="1"/>
        <v>JMP direct</v>
      </c>
      <c r="R26" s="40">
        <v>0</v>
      </c>
      <c r="U26" s="128"/>
      <c r="V26" s="128"/>
      <c r="W26" s="128"/>
      <c r="X26" s="128"/>
      <c r="Y26" s="128"/>
      <c r="Z26" s="128"/>
      <c r="AA26" s="128"/>
      <c r="AB26" s="128"/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356</v>
      </c>
      <c r="Q27" s="40" t="str">
        <f t="shared" si="1"/>
        <v>JZ/JNZ (taken/not taken)</v>
      </c>
      <c r="R27" s="40">
        <v>0</v>
      </c>
      <c r="U27" s="128"/>
      <c r="V27" s="128"/>
      <c r="W27" s="128"/>
      <c r="X27" s="128"/>
      <c r="Y27" s="128"/>
      <c r="Z27" s="128"/>
      <c r="AA27" s="128"/>
      <c r="AB27" s="128"/>
    </row>
    <row r="28" spans="1:28" ht="15.75" thickBot="1">
      <c r="H28" s="52"/>
      <c r="I28" s="52"/>
      <c r="J28" s="52"/>
      <c r="K28" s="52"/>
      <c r="P28" s="6" t="s">
        <v>359</v>
      </c>
      <c r="Q28" s="40" t="str">
        <f t="shared" si="1"/>
        <v>JP/JM (Sign)</v>
      </c>
      <c r="R28" s="40">
        <v>0</v>
      </c>
      <c r="U28" s="128"/>
      <c r="V28" s="128"/>
      <c r="W28" s="128"/>
      <c r="X28" s="128"/>
      <c r="Y28" s="128"/>
      <c r="Z28" s="128"/>
      <c r="AA28" s="128"/>
      <c r="AB28" s="128"/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20" t="s">
        <v>443</v>
      </c>
      <c r="L29" s="70" t="s">
        <v>216</v>
      </c>
      <c r="M29" s="20">
        <f>IFERROR(VLOOKUP(A29,$P$6:$R$1048576,3,0),0)</f>
        <v>0</v>
      </c>
      <c r="P29" s="6" t="s">
        <v>360</v>
      </c>
      <c r="Q29" s="40" t="str">
        <f t="shared" si="1"/>
        <v>JPE/JPO (Parity)</v>
      </c>
      <c r="R29" s="40">
        <v>0</v>
      </c>
      <c r="U29" s="128"/>
      <c r="V29" s="128"/>
      <c r="W29" s="128"/>
      <c r="X29" s="128"/>
      <c r="Y29" s="128"/>
      <c r="Z29" s="128"/>
      <c r="AA29" s="128"/>
      <c r="AB29" s="128"/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361</v>
      </c>
      <c r="Q30" s="40" t="str">
        <f t="shared" si="1"/>
        <v>EQU + LXI (symbol resolution)</v>
      </c>
      <c r="R30" s="40">
        <v>0</v>
      </c>
      <c r="U30" s="128"/>
      <c r="V30" s="128"/>
      <c r="W30" s="128"/>
      <c r="X30" s="128"/>
      <c r="Y30" s="128"/>
      <c r="Z30" s="128"/>
      <c r="AA30" s="128"/>
      <c r="AB30" s="128"/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0</v>
      </c>
      <c r="K31" s="56"/>
      <c r="L31" s="6"/>
      <c r="P31" s="6" t="s">
        <v>385</v>
      </c>
      <c r="Q31" s="40" t="str">
        <f t="shared" ref="Q31:Q33" si="7">IFERROR(VLOOKUP(P31,$A$4:$L$1048576,12,0),"")</f>
        <v>ORI Label Test</v>
      </c>
      <c r="R31" s="40">
        <v>0</v>
      </c>
      <c r="U31" s="128"/>
      <c r="V31" s="128"/>
      <c r="W31" s="128"/>
      <c r="X31" s="128"/>
      <c r="Y31" s="128"/>
      <c r="Z31" s="128"/>
      <c r="AA31" s="128"/>
      <c r="AB31" s="128"/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387</v>
      </c>
      <c r="Q32" s="40" t="str">
        <f t="shared" si="7"/>
        <v>ORI Immediate</v>
      </c>
      <c r="R32" s="40">
        <v>0</v>
      </c>
      <c r="U32" s="128"/>
      <c r="V32" s="128"/>
      <c r="W32" s="128"/>
      <c r="X32" s="128"/>
      <c r="Y32" s="128"/>
      <c r="Z32" s="128"/>
      <c r="AA32" s="128"/>
      <c r="AB32" s="128"/>
    </row>
    <row r="33" spans="1:2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388</v>
      </c>
      <c r="Q33" s="40" t="str">
        <f t="shared" si="7"/>
        <v>ORI Zero Result</v>
      </c>
      <c r="R33" s="40">
        <v>0</v>
      </c>
      <c r="U33" s="128"/>
      <c r="V33" s="128"/>
      <c r="W33" s="128"/>
      <c r="X33" s="128"/>
      <c r="Y33" s="128"/>
      <c r="Z33" s="128"/>
      <c r="AA33" s="128"/>
      <c r="AB33" s="128"/>
    </row>
    <row r="34" spans="1:2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393</v>
      </c>
      <c r="Q34" s="40" t="str">
        <f t="shared" ref="Q34:Q40" si="10">IFERROR(VLOOKUP(P34,$A$4:$L$1048576,12,0),"")</f>
        <v>ADD (register) with Aux Carry</v>
      </c>
      <c r="R34" s="40">
        <v>0</v>
      </c>
      <c r="U34" s="128"/>
      <c r="V34" s="128"/>
      <c r="W34" s="128"/>
      <c r="X34" s="128"/>
      <c r="Y34" s="128"/>
      <c r="Z34" s="128"/>
      <c r="AA34" s="128"/>
      <c r="AB34" s="128"/>
    </row>
    <row r="35" spans="1:2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394</v>
      </c>
      <c r="Q35" s="40" t="str">
        <f t="shared" si="10"/>
        <v>ADD (register) with full Carry and Zero</v>
      </c>
      <c r="R35" s="40">
        <v>0</v>
      </c>
    </row>
    <row r="36" spans="1:2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395</v>
      </c>
      <c r="Q36" s="40" t="str">
        <f t="shared" si="10"/>
        <v>ADI (immediate)</v>
      </c>
      <c r="R36" s="40">
        <v>0</v>
      </c>
    </row>
    <row r="37" spans="1:28" ht="15.75" thickBot="1">
      <c r="H37" s="52"/>
      <c r="I37" s="52"/>
      <c r="J37" s="52"/>
      <c r="K37" s="52"/>
      <c r="P37" s="6" t="s">
        <v>396</v>
      </c>
      <c r="Q37" s="40" t="str">
        <f t="shared" si="10"/>
        <v>ANA (register)</v>
      </c>
      <c r="R37" s="40">
        <v>0</v>
      </c>
    </row>
    <row r="38" spans="1:2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20" t="s">
        <v>443</v>
      </c>
      <c r="L38" s="70" t="s">
        <v>240</v>
      </c>
      <c r="M38" s="20">
        <f>IFERROR(VLOOKUP(A38,$P$6:$R$1048576,3,0),0)</f>
        <v>0</v>
      </c>
      <c r="P38" s="6" t="s">
        <v>397</v>
      </c>
      <c r="Q38" s="40" t="str">
        <f t="shared" si="10"/>
        <v>ANI (immediate) → Zero case</v>
      </c>
      <c r="R38" s="40">
        <v>0</v>
      </c>
    </row>
    <row r="39" spans="1:2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398</v>
      </c>
      <c r="Q39" s="40" t="str">
        <f t="shared" si="10"/>
        <v>CPI (immediate) → Borrow (A &lt; data)</v>
      </c>
      <c r="R39" s="40">
        <v>0</v>
      </c>
    </row>
    <row r="40" spans="1:2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0</v>
      </c>
      <c r="K40" s="55"/>
      <c r="L40" s="40"/>
      <c r="P40" s="6" t="s">
        <v>399</v>
      </c>
      <c r="Q40" s="40" t="str">
        <f t="shared" si="10"/>
        <v>ADC r (with carry-in)</v>
      </c>
      <c r="R40" s="40">
        <v>0</v>
      </c>
    </row>
    <row r="41" spans="1:2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400</v>
      </c>
      <c r="Q41" s="40" t="str">
        <f t="shared" ref="Q41" si="13">IFERROR(VLOOKUP(P41,$A$4:$L$1048576,12,0),"")</f>
        <v>ACI imm (with carry-in)</v>
      </c>
      <c r="R41" s="40">
        <v>0</v>
      </c>
    </row>
    <row r="42" spans="1:2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401</v>
      </c>
      <c r="Q42" s="40" t="str">
        <f t="shared" ref="Q42" si="14">IFERROR(VLOOKUP(P42,$A$4:$L$1048576,12,0),"")</f>
        <v>SUB r (AC borrow)</v>
      </c>
      <c r="R42" s="40">
        <v>0</v>
      </c>
    </row>
    <row r="43" spans="1:2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402</v>
      </c>
      <c r="Q43" s="40" t="str">
        <f t="shared" ref="Q43" si="15">IFERROR(VLOOKUP(P43,$A$4:$L$1048576,12,0),"")</f>
        <v>SUI imm (borrow -&gt; CY=1)</v>
      </c>
      <c r="R43" s="40">
        <v>0</v>
      </c>
    </row>
    <row r="44" spans="1:28">
      <c r="B44" s="6" t="str">
        <f t="shared" ref="B44:B47" si="16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  <c r="P44" s="6" t="s">
        <v>450</v>
      </c>
      <c r="Q44" s="40" t="str">
        <f t="shared" ref="Q44:Q52" si="17">IFERROR(VLOOKUP(P44,$A$4:$L$1048576,12,0),"")</f>
        <v>SBB r (includes carry)</v>
      </c>
      <c r="R44" s="40">
        <v>0</v>
      </c>
    </row>
    <row r="45" spans="1:28">
      <c r="B45" s="6" t="str">
        <f t="shared" si="16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  <c r="P45" s="6" t="s">
        <v>451</v>
      </c>
      <c r="Q45" s="40" t="str">
        <f t="shared" si="17"/>
        <v>SBI imm (includes carry)</v>
      </c>
      <c r="R45" s="40">
        <v>0</v>
      </c>
    </row>
    <row r="46" spans="1:28">
      <c r="B46" s="6" t="str">
        <f t="shared" si="16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  <c r="P46" s="6" t="s">
        <v>452</v>
      </c>
      <c r="Q46" s="40" t="str">
        <f t="shared" si="17"/>
        <v/>
      </c>
      <c r="R46" s="40">
        <v>1</v>
      </c>
    </row>
    <row r="47" spans="1:28">
      <c r="B47" s="6" t="str">
        <f t="shared" si="16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  <c r="P47" s="6" t="s">
        <v>453</v>
      </c>
      <c r="Q47" s="40" t="str">
        <f t="shared" si="17"/>
        <v/>
      </c>
      <c r="R47" s="40">
        <v>1</v>
      </c>
    </row>
    <row r="48" spans="1:28" ht="15.75" thickBot="1">
      <c r="H48" s="52"/>
      <c r="I48" s="52"/>
      <c r="J48" s="52"/>
      <c r="K48" s="52"/>
      <c r="P48" s="6" t="s">
        <v>454</v>
      </c>
      <c r="Q48" s="40" t="str">
        <f t="shared" si="17"/>
        <v/>
      </c>
      <c r="R48" s="40">
        <v>1</v>
      </c>
    </row>
    <row r="49" spans="1:18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20" t="s">
        <v>443</v>
      </c>
      <c r="L49" s="70" t="s">
        <v>263</v>
      </c>
      <c r="M49" s="20">
        <f>IFERROR(VLOOKUP(A49,$P$6:$R$1048576,3,0),0)</f>
        <v>0</v>
      </c>
      <c r="P49" s="6" t="s">
        <v>455</v>
      </c>
      <c r="Q49" s="40" t="str">
        <f t="shared" si="17"/>
        <v/>
      </c>
      <c r="R49" s="40">
        <v>1</v>
      </c>
    </row>
    <row r="50" spans="1:18">
      <c r="B50" s="40" t="str">
        <f t="shared" ref="B50:B51" si="18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  <c r="P50" s="6" t="s">
        <v>456</v>
      </c>
      <c r="Q50" s="40" t="str">
        <f t="shared" si="17"/>
        <v/>
      </c>
      <c r="R50" s="40">
        <v>1</v>
      </c>
    </row>
    <row r="51" spans="1:18">
      <c r="B51" s="6" t="str">
        <f t="shared" si="18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0</v>
      </c>
      <c r="K51" s="55"/>
      <c r="L51" s="40" t="s">
        <v>256</v>
      </c>
      <c r="P51" s="6" t="s">
        <v>457</v>
      </c>
      <c r="Q51" s="40" t="str">
        <f t="shared" si="17"/>
        <v/>
      </c>
      <c r="R51" s="40">
        <v>1</v>
      </c>
    </row>
    <row r="52" spans="1:18">
      <c r="B52" s="6" t="str">
        <f t="shared" ref="B52:B55" si="19">DEC2HEX(C52)</f>
        <v>2</v>
      </c>
      <c r="C52" s="6">
        <f t="shared" ref="C52:C55" si="20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  <c r="P52" s="6" t="s">
        <v>458</v>
      </c>
      <c r="Q52" s="40" t="str">
        <f t="shared" si="17"/>
        <v/>
      </c>
      <c r="R52" s="40">
        <v>1</v>
      </c>
    </row>
    <row r="53" spans="1:18">
      <c r="B53" s="6" t="str">
        <f t="shared" si="19"/>
        <v>3</v>
      </c>
      <c r="C53" s="6">
        <f t="shared" si="20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8">
      <c r="B54" s="6" t="str">
        <f t="shared" si="19"/>
        <v>4</v>
      </c>
      <c r="C54" s="6">
        <f t="shared" si="20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8">
      <c r="B55" s="6" t="str">
        <f t="shared" si="19"/>
        <v>5</v>
      </c>
      <c r="C55" s="6">
        <f t="shared" si="20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8" ht="15.75" thickBot="1"/>
    <row r="57" spans="1:18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20" t="s">
        <v>443</v>
      </c>
      <c r="L57" s="70" t="s">
        <v>264</v>
      </c>
      <c r="M57" s="20">
        <f>IFERROR(VLOOKUP(A57,$P$6:$R$1048576,3,0),0)</f>
        <v>0</v>
      </c>
    </row>
    <row r="58" spans="1:18">
      <c r="B58" s="40" t="str">
        <f t="shared" ref="B58:B60" si="21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8">
      <c r="B59" s="6" t="str">
        <f t="shared" si="21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8">
      <c r="B60" s="6" t="str">
        <f t="shared" si="21"/>
        <v>2</v>
      </c>
      <c r="C60" s="6">
        <f t="shared" ref="C60" si="22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8">
      <c r="B61" s="6" t="str">
        <f t="shared" ref="B61:B64" si="23">DEC2HEX(C61)</f>
        <v>3</v>
      </c>
      <c r="C61" s="6">
        <f t="shared" ref="C61:C64" si="24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8">
      <c r="B62" s="6" t="str">
        <f t="shared" si="23"/>
        <v>4</v>
      </c>
      <c r="C62" s="6">
        <f t="shared" si="24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8">
      <c r="B63" s="6" t="str">
        <f t="shared" si="23"/>
        <v>5</v>
      </c>
      <c r="C63" s="6">
        <f t="shared" si="24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8">
      <c r="B64" s="6" t="str">
        <f t="shared" si="23"/>
        <v>6</v>
      </c>
      <c r="C64" s="6">
        <f t="shared" si="24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20" t="s">
        <v>443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5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5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5"/>
        <v>2</v>
      </c>
      <c r="C69" s="6">
        <f t="shared" ref="C69" si="26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7">DEC2HEX(C70)</f>
        <v>3</v>
      </c>
      <c r="C70" s="6">
        <f t="shared" ref="C70:C72" si="28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0</v>
      </c>
      <c r="K70" s="55"/>
      <c r="L70" s="40"/>
    </row>
    <row r="71" spans="1:13">
      <c r="B71" s="6" t="str">
        <f t="shared" si="27"/>
        <v>4</v>
      </c>
      <c r="C71" s="6">
        <f t="shared" si="28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1</v>
      </c>
      <c r="K71" s="55"/>
      <c r="L71" s="40"/>
    </row>
    <row r="72" spans="1:13">
      <c r="B72" s="6" t="str">
        <f t="shared" si="27"/>
        <v>5</v>
      </c>
      <c r="C72" s="6">
        <f t="shared" si="28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20" t="s">
        <v>443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9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9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9"/>
        <v>2</v>
      </c>
      <c r="C77" s="6">
        <f t="shared" ref="C77" si="30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1</v>
      </c>
      <c r="K77" s="55"/>
      <c r="L77" s="40" t="s">
        <v>281</v>
      </c>
    </row>
    <row r="78" spans="1:13">
      <c r="B78" s="6" t="str">
        <f t="shared" ref="B78:B81" si="31">DEC2HEX(C78)</f>
        <v>3</v>
      </c>
      <c r="C78" s="6">
        <f t="shared" ref="C78:C81" si="32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0</v>
      </c>
      <c r="K78" s="55"/>
      <c r="L78" s="40"/>
    </row>
    <row r="79" spans="1:13">
      <c r="B79" s="6" t="str">
        <f t="shared" si="31"/>
        <v>4</v>
      </c>
      <c r="C79" s="6">
        <f t="shared" si="32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31"/>
        <v>5</v>
      </c>
      <c r="C80" s="6">
        <f t="shared" si="32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31"/>
        <v>6</v>
      </c>
      <c r="C81" s="6">
        <f t="shared" si="32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20" t="s">
        <v>443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33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33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33"/>
        <v>2</v>
      </c>
      <c r="C86" s="6">
        <f t="shared" ref="C86" si="34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5">DEC2HEX(C87)</f>
        <v>3</v>
      </c>
      <c r="C87" s="6">
        <f t="shared" ref="C87:C95" si="36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1</v>
      </c>
      <c r="K87" s="55"/>
      <c r="L87" s="40"/>
    </row>
    <row r="88" spans="1:13">
      <c r="B88" s="6" t="str">
        <f t="shared" si="35"/>
        <v>4</v>
      </c>
      <c r="C88" s="6">
        <f t="shared" si="36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0</v>
      </c>
      <c r="K88" s="55"/>
      <c r="L88" s="40"/>
    </row>
    <row r="89" spans="1:13">
      <c r="B89" s="6" t="str">
        <f t="shared" si="35"/>
        <v>5</v>
      </c>
      <c r="C89" s="6">
        <f t="shared" si="36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0</v>
      </c>
      <c r="K89" s="55"/>
      <c r="L89" s="40"/>
    </row>
    <row r="90" spans="1:13">
      <c r="B90" s="6" t="str">
        <f t="shared" si="35"/>
        <v>6</v>
      </c>
      <c r="C90" s="6">
        <f t="shared" si="36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5"/>
        <v>7</v>
      </c>
      <c r="C91" s="6">
        <f t="shared" si="36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5"/>
        <v>8</v>
      </c>
      <c r="C92" s="6">
        <f t="shared" si="36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5"/>
        <v>9</v>
      </c>
      <c r="C93" s="6">
        <f t="shared" si="36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5"/>
        <v>A</v>
      </c>
      <c r="C94" s="6">
        <f t="shared" si="36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5"/>
        <v>B</v>
      </c>
      <c r="C95" s="6">
        <f t="shared" si="36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0</v>
      </c>
      <c r="K97" s="120" t="s">
        <v>443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7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7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1</v>
      </c>
      <c r="K99" s="55"/>
      <c r="L99" s="40"/>
    </row>
    <row r="100" spans="1:13">
      <c r="B100" s="6" t="str">
        <f t="shared" si="37"/>
        <v>2</v>
      </c>
      <c r="C100" s="6">
        <f t="shared" ref="C100:C111" si="38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1</v>
      </c>
      <c r="K100" s="55"/>
      <c r="L100" s="40"/>
    </row>
    <row r="101" spans="1:13">
      <c r="B101" s="6" t="str">
        <f t="shared" si="37"/>
        <v>3</v>
      </c>
      <c r="C101" s="6">
        <f t="shared" si="38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1</v>
      </c>
      <c r="K101" s="55"/>
      <c r="L101" s="40" t="s">
        <v>290</v>
      </c>
    </row>
    <row r="102" spans="1:13">
      <c r="B102" s="6" t="str">
        <f t="shared" si="37"/>
        <v>4</v>
      </c>
      <c r="C102" s="6">
        <f t="shared" si="38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1</v>
      </c>
      <c r="K102" s="55"/>
      <c r="L102" s="40" t="s">
        <v>291</v>
      </c>
    </row>
    <row r="103" spans="1:13">
      <c r="B103" s="6" t="str">
        <f t="shared" si="37"/>
        <v>5</v>
      </c>
      <c r="C103" s="6">
        <f t="shared" si="38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20" t="s">
        <v>443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9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9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9"/>
        <v>2</v>
      </c>
      <c r="C108" s="6">
        <f t="shared" si="38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1</v>
      </c>
      <c r="K108" s="55"/>
      <c r="L108" s="40" t="s">
        <v>297</v>
      </c>
    </row>
    <row r="109" spans="1:13">
      <c r="B109" s="6" t="str">
        <f t="shared" si="39"/>
        <v>3</v>
      </c>
      <c r="C109" s="6">
        <f t="shared" si="38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0</v>
      </c>
      <c r="K109" s="55"/>
      <c r="L109" s="40" t="s">
        <v>298</v>
      </c>
    </row>
    <row r="110" spans="1:13">
      <c r="B110" s="6" t="str">
        <f t="shared" si="39"/>
        <v>4</v>
      </c>
      <c r="C110" s="6">
        <f t="shared" si="38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1</v>
      </c>
      <c r="K110" s="55"/>
      <c r="L110" s="40" t="s">
        <v>299</v>
      </c>
    </row>
    <row r="111" spans="1:13">
      <c r="B111" s="6" t="str">
        <f t="shared" si="39"/>
        <v>5</v>
      </c>
      <c r="C111" s="6">
        <f t="shared" si="38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0</v>
      </c>
      <c r="K113" s="120" t="s">
        <v>443</v>
      </c>
      <c r="L113" s="70" t="s">
        <v>315</v>
      </c>
      <c r="M113" s="20">
        <f>IFERROR(VLOOKUP(A113,$P$6:$R$1048576,3,0),0)</f>
        <v>0</v>
      </c>
    </row>
    <row r="114" spans="1:13">
      <c r="B114" s="40" t="str">
        <f t="shared" ref="B114:B119" si="40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40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40"/>
        <v>2</v>
      </c>
      <c r="C116" s="40">
        <f t="shared" ref="C116:C123" si="41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40"/>
        <v>3</v>
      </c>
      <c r="C117" s="40">
        <f t="shared" si="41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40"/>
        <v>4</v>
      </c>
      <c r="C118" s="40">
        <f t="shared" si="41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40"/>
        <v>5</v>
      </c>
      <c r="C119" s="40">
        <f t="shared" si="41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42">DEC2HEX(C120)</f>
        <v>6</v>
      </c>
      <c r="C120" s="40">
        <f t="shared" si="41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42"/>
        <v>7</v>
      </c>
      <c r="C121" s="40">
        <f t="shared" si="41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42"/>
        <v>8</v>
      </c>
      <c r="C122" s="40">
        <f t="shared" si="41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1</v>
      </c>
      <c r="K122" s="55"/>
      <c r="L122" s="40"/>
    </row>
    <row r="123" spans="1:13">
      <c r="B123" s="40" t="str">
        <f t="shared" si="42"/>
        <v>9</v>
      </c>
      <c r="C123" s="40">
        <f t="shared" si="41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1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20" t="s">
        <v>443</v>
      </c>
      <c r="L125" s="70" t="s">
        <v>339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43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43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43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43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43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43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4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43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20" t="s">
        <v>443</v>
      </c>
      <c r="L135" s="70" t="s">
        <v>340</v>
      </c>
      <c r="M135" s="20">
        <f>IFERROR(VLOOKUP(A135,$P$6:$R$1048576,3,0),0)</f>
        <v>0</v>
      </c>
    </row>
    <row r="136" spans="1:13">
      <c r="B136" s="40" t="str">
        <f t="shared" ref="B136:B146" si="45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5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5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5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5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5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1</v>
      </c>
      <c r="K141" s="55"/>
      <c r="L141" s="40"/>
      <c r="M141" s="40"/>
    </row>
    <row r="142" spans="1:13">
      <c r="B142" s="40" t="str">
        <f t="shared" si="45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5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0</v>
      </c>
      <c r="K143" s="55"/>
      <c r="L143" s="40"/>
      <c r="M143" s="40"/>
    </row>
    <row r="144" spans="1:13">
      <c r="B144" s="40" t="str">
        <f t="shared" si="45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0</v>
      </c>
      <c r="K144" s="55"/>
      <c r="L144" s="40"/>
      <c r="M144" s="40"/>
    </row>
    <row r="145" spans="1:13">
      <c r="B145" s="40" t="str">
        <f t="shared" si="45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1</v>
      </c>
      <c r="K145" s="55"/>
      <c r="L145" s="40"/>
      <c r="M145" s="40"/>
    </row>
    <row r="146" spans="1:13">
      <c r="B146" s="40" t="str">
        <f t="shared" si="45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20" t="s">
        <v>443</v>
      </c>
      <c r="L148" s="70" t="s">
        <v>343</v>
      </c>
      <c r="M148" s="20">
        <f>IFERROR(VLOOKUP(A148,$P$6:$R$1048576,3,0),0)</f>
        <v>0</v>
      </c>
    </row>
    <row r="149" spans="1:13">
      <c r="B149" s="40" t="str">
        <f t="shared" ref="B149:B161" si="46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6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0</v>
      </c>
      <c r="K150" s="55"/>
      <c r="L150" s="40"/>
      <c r="M150" s="40"/>
    </row>
    <row r="151" spans="1:13">
      <c r="B151" s="40" t="str">
        <f t="shared" si="46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6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1</v>
      </c>
      <c r="K152" s="55"/>
      <c r="L152" s="40"/>
      <c r="M152" s="40"/>
    </row>
    <row r="153" spans="1:13">
      <c r="B153" s="40" t="str">
        <f t="shared" si="46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1</v>
      </c>
      <c r="K153" s="55"/>
      <c r="L153" s="40"/>
      <c r="M153" s="40"/>
    </row>
    <row r="154" spans="1:13">
      <c r="B154" s="40" t="str">
        <f t="shared" si="46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344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6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6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0</v>
      </c>
      <c r="K156" s="55"/>
      <c r="L156" s="40"/>
      <c r="M156" s="40"/>
    </row>
    <row r="157" spans="1:13">
      <c r="B157" s="40" t="str">
        <f t="shared" si="46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6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6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6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6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20" t="s">
        <v>443</v>
      </c>
      <c r="L163" s="70" t="s">
        <v>350</v>
      </c>
      <c r="M163" s="20">
        <f>IFERROR(VLOOKUP(A163,$P$6:$R$1048576,3,0),0)</f>
        <v>0</v>
      </c>
    </row>
    <row r="164" spans="1:13">
      <c r="B164" s="40" t="str">
        <f t="shared" ref="B164:B172" si="47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7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1</v>
      </c>
      <c r="K165" s="55"/>
      <c r="L165" s="40"/>
      <c r="M165" s="40"/>
    </row>
    <row r="166" spans="1:13">
      <c r="B166" s="40" t="str">
        <f t="shared" si="47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7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0</v>
      </c>
      <c r="K167" s="55"/>
      <c r="L167" s="40"/>
      <c r="M167" s="40"/>
    </row>
    <row r="168" spans="1:13">
      <c r="B168" s="40" t="str">
        <f t="shared" si="47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1</v>
      </c>
      <c r="K168" s="55"/>
      <c r="L168" s="40"/>
      <c r="M168" s="40"/>
    </row>
    <row r="169" spans="1:13">
      <c r="B169" s="40" t="str">
        <f t="shared" si="47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7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7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1</v>
      </c>
      <c r="K171" s="55"/>
      <c r="L171" s="40"/>
      <c r="M171" s="40"/>
    </row>
    <row r="172" spans="1:13">
      <c r="B172" s="40" t="str">
        <f t="shared" si="47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20" t="s">
        <v>443</v>
      </c>
      <c r="L174" s="70" t="s">
        <v>351</v>
      </c>
      <c r="M174" s="20">
        <f>IFERROR(VLOOKUP(A174,$P$6:$R$1048576,3,0),0)</f>
        <v>0</v>
      </c>
    </row>
    <row r="175" spans="1:13">
      <c r="B175" s="40" t="str">
        <f t="shared" ref="B175:B182" si="48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8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8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345</v>
      </c>
      <c r="H177" s="86" t="s">
        <v>191</v>
      </c>
      <c r="I177" s="86" t="s">
        <v>346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8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347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8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348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8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8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349</v>
      </c>
      <c r="H181" s="86" t="s">
        <v>114</v>
      </c>
      <c r="I181" s="86" t="s">
        <v>349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8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20" t="s">
        <v>443</v>
      </c>
      <c r="L184" s="70" t="s">
        <v>352</v>
      </c>
      <c r="M184" s="20">
        <f>IFERROR(VLOOKUP(A184,$P$6:$R$1048576,3,0),0)</f>
        <v>0</v>
      </c>
    </row>
    <row r="185" spans="1:13">
      <c r="B185" s="40" t="str">
        <f t="shared" ref="B185:B192" si="49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9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9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345</v>
      </c>
      <c r="H187" s="86" t="s">
        <v>191</v>
      </c>
      <c r="I187" s="86" t="s">
        <v>346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9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347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9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348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9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9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349</v>
      </c>
      <c r="H191" s="86" t="s">
        <v>114</v>
      </c>
      <c r="I191" s="86" t="s">
        <v>349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9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353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20" t="s">
        <v>443</v>
      </c>
      <c r="L194" s="70" t="s">
        <v>354</v>
      </c>
      <c r="M194" s="20">
        <f>IFERROR(VLOOKUP(A194,$P$6:$R$1048576,3,0),0)</f>
        <v>0</v>
      </c>
    </row>
    <row r="195" spans="1:13">
      <c r="B195" s="40" t="str">
        <f t="shared" ref="B195:B202" si="50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50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50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1</v>
      </c>
      <c r="K197" s="55"/>
      <c r="L197" s="40"/>
      <c r="M197" s="40"/>
    </row>
    <row r="198" spans="1:13">
      <c r="B198" s="40" t="str">
        <f t="shared" si="50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50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0</v>
      </c>
      <c r="K199" s="55"/>
      <c r="L199" s="40"/>
      <c r="M199" s="40"/>
    </row>
    <row r="200" spans="1:13">
      <c r="B200" s="40" t="str">
        <f t="shared" si="50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0</v>
      </c>
      <c r="K200" s="55"/>
      <c r="L200" s="40"/>
      <c r="M200" s="40"/>
    </row>
    <row r="201" spans="1:13">
      <c r="B201" s="40" t="str">
        <f t="shared" si="50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0</v>
      </c>
      <c r="K201" s="55"/>
      <c r="L201" s="40"/>
      <c r="M201" s="40"/>
    </row>
    <row r="202" spans="1:13">
      <c r="B202" s="40" t="str">
        <f t="shared" si="50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355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20" t="s">
        <v>443</v>
      </c>
      <c r="L204" s="70" t="s">
        <v>357</v>
      </c>
      <c r="M204" s="20">
        <f>IFERROR(VLOOKUP(A204,$P$6:$R$1048576,3,0),0)</f>
        <v>0</v>
      </c>
    </row>
    <row r="205" spans="1:13">
      <c r="B205" s="40" t="str">
        <f t="shared" ref="B205:B209" si="51">DEC2HEX(C205)</f>
        <v>0</v>
      </c>
      <c r="C205" s="40">
        <v>0</v>
      </c>
      <c r="D205" s="101"/>
      <c r="E205" s="102" t="s">
        <v>358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51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51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51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51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356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20" t="s">
        <v>443</v>
      </c>
      <c r="L211" s="70" t="s">
        <v>365</v>
      </c>
      <c r="M211" s="20">
        <f>IFERROR(VLOOKUP(A211,$P$6:$R$1048576,3,0),0)</f>
        <v>0</v>
      </c>
    </row>
    <row r="212" spans="1:13">
      <c r="B212" s="40" t="str">
        <f t="shared" ref="B212:B222" si="52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52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52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52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0</v>
      </c>
      <c r="K215" s="55"/>
      <c r="L215" s="40"/>
      <c r="M215" s="40"/>
    </row>
    <row r="216" spans="1:13">
      <c r="B216" s="40" t="str">
        <f t="shared" si="52"/>
        <v>4</v>
      </c>
      <c r="C216" s="40">
        <v>4</v>
      </c>
      <c r="D216" s="101"/>
      <c r="E216" s="102" t="s">
        <v>257</v>
      </c>
      <c r="F216" s="103" t="s">
        <v>362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52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52"/>
        <v>6</v>
      </c>
      <c r="C218" s="40">
        <v>6</v>
      </c>
      <c r="D218" s="101" t="s">
        <v>362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52"/>
        <v>7</v>
      </c>
      <c r="C219" s="40">
        <v>7</v>
      </c>
      <c r="D219" s="101"/>
      <c r="E219" s="102" t="s">
        <v>363</v>
      </c>
      <c r="F219" s="103" t="s">
        <v>364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52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52"/>
        <v>9</v>
      </c>
      <c r="C221" s="40">
        <v>9</v>
      </c>
      <c r="D221" s="101" t="s">
        <v>364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52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359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20" t="s">
        <v>443</v>
      </c>
      <c r="L224" s="70" t="s">
        <v>366</v>
      </c>
      <c r="M224" s="20">
        <f>IFERROR(VLOOKUP(A224,$P$6:$R$1048576,3,0),0)</f>
        <v>0</v>
      </c>
    </row>
    <row r="225" spans="1:13">
      <c r="B225" s="40" t="str">
        <f t="shared" ref="B225:B238" si="53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53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369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53"/>
        <v>2</v>
      </c>
      <c r="C227" s="40">
        <v>2</v>
      </c>
      <c r="D227" s="101"/>
      <c r="E227" s="102" t="s">
        <v>367</v>
      </c>
      <c r="F227" s="103" t="s">
        <v>368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0</v>
      </c>
      <c r="K227" s="55"/>
      <c r="L227" s="40"/>
      <c r="M227" s="40"/>
    </row>
    <row r="228" spans="1:13">
      <c r="B228" s="40" t="str">
        <f t="shared" si="53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368</v>
      </c>
      <c r="E229" s="102" t="s">
        <v>149</v>
      </c>
      <c r="F229" s="103" t="s">
        <v>191</v>
      </c>
      <c r="G229" s="104" t="s">
        <v>369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370</v>
      </c>
      <c r="F232" s="103" t="s">
        <v>371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371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372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53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0</v>
      </c>
      <c r="K235" s="55"/>
      <c r="L235" s="40"/>
      <c r="M235" s="40"/>
    </row>
    <row r="236" spans="1:13">
      <c r="B236" s="40" t="str">
        <f t="shared" si="53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0</v>
      </c>
      <c r="K236" s="55"/>
      <c r="L236" s="40"/>
      <c r="M236" s="40"/>
    </row>
    <row r="237" spans="1:13">
      <c r="B237" s="40" t="str">
        <f t="shared" si="53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0</v>
      </c>
      <c r="K237" s="55"/>
      <c r="L237" s="40"/>
      <c r="M237" s="40"/>
    </row>
    <row r="238" spans="1:13">
      <c r="B238" s="40" t="str">
        <f t="shared" si="53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360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20" t="s">
        <v>443</v>
      </c>
      <c r="L240" s="70" t="s">
        <v>373</v>
      </c>
      <c r="M240" s="20">
        <f>IFERROR(VLOOKUP(A240,$P$6:$R$1048576,3,0),0)</f>
        <v>0</v>
      </c>
    </row>
    <row r="241" spans="1:13">
      <c r="B241" s="40" t="str">
        <f t="shared" ref="B241:B251" si="54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375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4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4"/>
        <v>2</v>
      </c>
      <c r="C243" s="40">
        <v>2</v>
      </c>
      <c r="D243" s="101"/>
      <c r="E243" s="102" t="s">
        <v>376</v>
      </c>
      <c r="F243" s="103" t="s">
        <v>377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4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4"/>
        <v>4</v>
      </c>
      <c r="C245" s="40">
        <v>4</v>
      </c>
      <c r="D245" s="101" t="s">
        <v>377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0</v>
      </c>
      <c r="K245" s="55"/>
      <c r="L245" s="40"/>
      <c r="M245" s="40"/>
    </row>
    <row r="246" spans="1:13">
      <c r="B246" s="40" t="str">
        <f t="shared" si="54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0</v>
      </c>
      <c r="K246" s="55"/>
      <c r="L246" s="40"/>
      <c r="M246" s="40"/>
    </row>
    <row r="247" spans="1:13">
      <c r="B247" s="40" t="str">
        <f t="shared" si="54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4"/>
        <v>7</v>
      </c>
      <c r="C248" s="40">
        <v>7</v>
      </c>
      <c r="D248" s="101"/>
      <c r="E248" s="102" t="s">
        <v>378</v>
      </c>
      <c r="F248" s="103" t="s">
        <v>379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0</v>
      </c>
      <c r="K248" s="55"/>
      <c r="L248" s="40"/>
      <c r="M248" s="40"/>
    </row>
    <row r="249" spans="1:13">
      <c r="B249" s="40" t="str">
        <f t="shared" si="54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0</v>
      </c>
      <c r="K249" s="55"/>
      <c r="L249" s="40"/>
      <c r="M249" s="40"/>
    </row>
    <row r="250" spans="1:13">
      <c r="B250" s="40" t="str">
        <f t="shared" si="54"/>
        <v>9</v>
      </c>
      <c r="C250" s="40">
        <v>9</v>
      </c>
      <c r="D250" s="101" t="s">
        <v>379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4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361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20" t="s">
        <v>443</v>
      </c>
      <c r="L253" s="70" t="s">
        <v>374</v>
      </c>
      <c r="M253" s="20">
        <f>IFERROR(VLOOKUP(A253,$P$6:$R$1048576,3,0),0)</f>
        <v>0</v>
      </c>
    </row>
    <row r="254" spans="1:13">
      <c r="B254" s="40" t="str">
        <f t="shared" ref="B254:B257" si="55">DEC2HEX(C254)</f>
        <v>0</v>
      </c>
      <c r="C254" s="40">
        <v>0</v>
      </c>
      <c r="D254" s="101" t="s">
        <v>380</v>
      </c>
      <c r="E254" s="102" t="s">
        <v>166</v>
      </c>
      <c r="F254" s="103" t="s">
        <v>381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5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380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5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5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385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20" t="s">
        <v>443</v>
      </c>
      <c r="L259" s="70" t="s">
        <v>386</v>
      </c>
      <c r="M259" s="20">
        <f>IFERROR(VLOOKUP(A259,$P$6:$R$1048576,3,0),0)</f>
        <v>0</v>
      </c>
    </row>
    <row r="260" spans="1:13">
      <c r="B260" s="40" t="str">
        <f t="shared" ref="B260:B263" si="56">DEC2HEX(C260)</f>
        <v>0</v>
      </c>
      <c r="C260" s="40">
        <v>0</v>
      </c>
      <c r="D260" s="101" t="s">
        <v>382</v>
      </c>
      <c r="E260" s="102" t="s">
        <v>166</v>
      </c>
      <c r="F260" s="103" t="s">
        <v>383</v>
      </c>
      <c r="G260" s="104"/>
      <c r="H260" s="55" t="s">
        <v>154</v>
      </c>
      <c r="I260" s="86" t="s">
        <v>384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6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6"/>
        <v>2</v>
      </c>
      <c r="C262" s="40">
        <v>2</v>
      </c>
      <c r="D262" s="101"/>
      <c r="E262" s="102" t="s">
        <v>157</v>
      </c>
      <c r="F262" s="103" t="s">
        <v>382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0</v>
      </c>
      <c r="K262" s="55"/>
      <c r="L262" s="40"/>
      <c r="M262" s="40"/>
    </row>
    <row r="263" spans="1:13">
      <c r="B263" s="40" t="str">
        <f t="shared" si="56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0</v>
      </c>
      <c r="K263" s="55"/>
      <c r="L263" s="40"/>
      <c r="M263" s="40"/>
    </row>
    <row r="264" spans="1:13" ht="15.75" thickBot="1"/>
    <row r="265" spans="1:13" ht="15.75" thickBot="1">
      <c r="A265" s="20" t="s">
        <v>387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20" t="s">
        <v>443</v>
      </c>
      <c r="L265" s="70" t="s">
        <v>389</v>
      </c>
      <c r="M265" s="20">
        <f>IFERROR(VLOOKUP(A265,$P$6:$R$1048576,3,0),0)</f>
        <v>0</v>
      </c>
    </row>
    <row r="266" spans="1:13">
      <c r="B266" s="40" t="str">
        <f t="shared" ref="B266:B269" si="57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1</v>
      </c>
      <c r="K266" s="55"/>
      <c r="L266" s="40"/>
      <c r="M266" s="40"/>
    </row>
    <row r="267" spans="1:13">
      <c r="B267" s="40" t="str">
        <f t="shared" si="57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1</v>
      </c>
      <c r="K267" s="55"/>
      <c r="L267" s="40"/>
      <c r="M267" s="40"/>
    </row>
    <row r="268" spans="1:13">
      <c r="B268" s="40" t="str">
        <f t="shared" si="57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1</v>
      </c>
      <c r="K268" s="55"/>
      <c r="L268" s="40"/>
      <c r="M268" s="40"/>
    </row>
    <row r="269" spans="1:13">
      <c r="B269" s="40" t="str">
        <f t="shared" si="57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0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0</v>
      </c>
      <c r="K271" s="55"/>
      <c r="L271" s="40"/>
      <c r="M271" s="40"/>
    </row>
    <row r="272" spans="1:13" ht="15.75" thickBot="1"/>
    <row r="273" spans="1:13" ht="15.75" thickBot="1">
      <c r="A273" s="20" t="s">
        <v>388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20" t="s">
        <v>443</v>
      </c>
      <c r="L273" s="70" t="s">
        <v>390</v>
      </c>
      <c r="M273" s="20">
        <f>IFERROR(VLOOKUP(A273,$P$6:$R$1048576,3,0),0)</f>
        <v>0</v>
      </c>
    </row>
    <row r="274" spans="1:13">
      <c r="B274" s="40" t="str">
        <f t="shared" ref="B274:B277" si="58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0</v>
      </c>
      <c r="K274" s="55"/>
      <c r="L274" s="40"/>
      <c r="M274" s="40"/>
    </row>
    <row r="275" spans="1:13">
      <c r="B275" s="40" t="str">
        <f t="shared" si="58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1</v>
      </c>
      <c r="K275" s="55"/>
      <c r="L275" s="40"/>
      <c r="M275" s="40"/>
    </row>
    <row r="276" spans="1:13">
      <c r="B276" s="40" t="str">
        <f t="shared" si="58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0</v>
      </c>
      <c r="K276" s="55"/>
      <c r="L276" s="40"/>
      <c r="M276" s="40"/>
    </row>
    <row r="277" spans="1:13">
      <c r="B277" s="40" t="str">
        <f t="shared" si="58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0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0</v>
      </c>
      <c r="K279" s="55"/>
      <c r="L279" s="40"/>
      <c r="M279" s="40"/>
    </row>
    <row r="280" spans="1:13" ht="15.75" thickBot="1"/>
    <row r="281" spans="1:13" ht="15.75" thickBot="1">
      <c r="A281" s="20" t="s">
        <v>393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20" t="s">
        <v>443</v>
      </c>
      <c r="L281" s="70" t="s">
        <v>392</v>
      </c>
      <c r="M281" s="20">
        <f>IFERROR(VLOOKUP(A281,$P$6:$R$1048576,3,0),0)</f>
        <v>0</v>
      </c>
    </row>
    <row r="282" spans="1:13">
      <c r="B282" s="40" t="str">
        <f t="shared" ref="B282:B288" si="59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9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9"/>
        <v>2</v>
      </c>
      <c r="C284" s="40">
        <v>2</v>
      </c>
      <c r="D284" s="101"/>
      <c r="E284" s="102" t="s">
        <v>403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0</v>
      </c>
      <c r="K284" s="55"/>
      <c r="L284" s="40"/>
      <c r="M284" s="40"/>
    </row>
    <row r="285" spans="1:13">
      <c r="B285" s="40" t="str">
        <f t="shared" si="59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0</v>
      </c>
      <c r="K285" s="55"/>
      <c r="L285" s="40"/>
      <c r="M285" s="40"/>
    </row>
    <row r="286" spans="1:13">
      <c r="B286" s="40" t="str">
        <f t="shared" si="59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9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0</v>
      </c>
      <c r="K287" s="55"/>
      <c r="L287" s="40"/>
      <c r="M287" s="40"/>
    </row>
    <row r="288" spans="1:13">
      <c r="B288" s="40" t="str">
        <f t="shared" si="59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1</v>
      </c>
      <c r="K288" s="55"/>
      <c r="L288" s="40"/>
      <c r="M288" s="40"/>
    </row>
    <row r="289" spans="1:13" ht="15.75" thickBot="1"/>
    <row r="290" spans="1:13" ht="15.75" thickBot="1">
      <c r="A290" s="20" t="s">
        <v>394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20" t="s">
        <v>443</v>
      </c>
      <c r="L290" s="70" t="s">
        <v>404</v>
      </c>
      <c r="M290" s="20">
        <f>IFERROR(VLOOKUP(A290,$P$6:$R$1048576,3,0),0)</f>
        <v>0</v>
      </c>
    </row>
    <row r="291" spans="1:13">
      <c r="B291" s="40" t="str">
        <f t="shared" ref="B291:B297" si="60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0</v>
      </c>
      <c r="K291" s="55"/>
      <c r="L291" s="40"/>
      <c r="M291" s="40"/>
    </row>
    <row r="292" spans="1:13">
      <c r="B292" s="40" t="str">
        <f t="shared" si="60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60"/>
        <v>2</v>
      </c>
      <c r="C293" s="40">
        <v>2</v>
      </c>
      <c r="D293" s="101"/>
      <c r="E293" s="102" t="s">
        <v>403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1</v>
      </c>
      <c r="K293" s="55"/>
      <c r="L293" s="40"/>
      <c r="M293" s="40"/>
    </row>
    <row r="294" spans="1:13">
      <c r="B294" s="40" t="str">
        <f t="shared" si="60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0</v>
      </c>
      <c r="K294" s="55"/>
      <c r="L294" s="40"/>
      <c r="M294" s="40"/>
    </row>
    <row r="295" spans="1:13">
      <c r="B295" s="40" t="str">
        <f t="shared" si="60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60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1</v>
      </c>
      <c r="K296" s="55"/>
      <c r="L296" s="40"/>
      <c r="M296" s="40"/>
    </row>
    <row r="297" spans="1:13">
      <c r="B297" s="40" t="str">
        <f t="shared" si="60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1</v>
      </c>
      <c r="K297" s="55"/>
      <c r="L297" s="40"/>
      <c r="M297" s="40"/>
    </row>
    <row r="298" spans="1:13" ht="15.75" thickBot="1"/>
    <row r="299" spans="1:13" ht="15.75" thickBot="1">
      <c r="A299" s="20" t="s">
        <v>395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20" t="s">
        <v>443</v>
      </c>
      <c r="L299" s="70" t="s">
        <v>412</v>
      </c>
      <c r="M299" s="20">
        <f>IFERROR(VLOOKUP(A299,$P$6:$R$1048576,3,0),0)</f>
        <v>0</v>
      </c>
    </row>
    <row r="300" spans="1:13">
      <c r="B300" s="40" t="str">
        <f t="shared" ref="B300:B306" si="61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405</v>
      </c>
      <c r="H300" s="55" t="s">
        <v>154</v>
      </c>
      <c r="I300" s="86" t="s">
        <v>408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61"/>
        <v>1</v>
      </c>
      <c r="C301" s="40">
        <v>1</v>
      </c>
      <c r="D301" s="101"/>
      <c r="E301" s="102" t="s">
        <v>406</v>
      </c>
      <c r="F301" s="103" t="s">
        <v>407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61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1</v>
      </c>
      <c r="K302" s="55"/>
      <c r="L302" s="40"/>
      <c r="M302" s="40"/>
    </row>
    <row r="303" spans="1:13">
      <c r="B303" s="40" t="str">
        <f t="shared" si="61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0</v>
      </c>
      <c r="K303" s="55"/>
      <c r="L303" s="40"/>
      <c r="M303" s="40"/>
    </row>
    <row r="304" spans="1:13">
      <c r="B304" s="40" t="str">
        <f t="shared" si="61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61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0</v>
      </c>
      <c r="K305" s="55"/>
      <c r="L305" s="40"/>
      <c r="M305" s="40"/>
    </row>
    <row r="306" spans="1:13">
      <c r="B306" s="40" t="str">
        <f t="shared" si="61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0</v>
      </c>
      <c r="K306" s="55"/>
      <c r="L306" s="40"/>
      <c r="M306" s="40"/>
    </row>
    <row r="307" spans="1:13" ht="15.75" thickBot="1"/>
    <row r="308" spans="1:13" ht="15.75" thickBot="1">
      <c r="A308" s="20" t="s">
        <v>396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20" t="s">
        <v>443</v>
      </c>
      <c r="L308" s="70" t="s">
        <v>414</v>
      </c>
      <c r="M308" s="20">
        <f>IFERROR(VLOOKUP(A308,$P$6:$R$1048576,3,0),0)</f>
        <v>0</v>
      </c>
    </row>
    <row r="309" spans="1:13">
      <c r="B309" s="40" t="str">
        <f t="shared" ref="B309:B315" si="62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346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62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62"/>
        <v>2</v>
      </c>
      <c r="C311" s="40">
        <v>2</v>
      </c>
      <c r="D311" s="101"/>
      <c r="E311" s="102" t="s">
        <v>413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1</v>
      </c>
      <c r="K311" s="55"/>
      <c r="L311" s="40"/>
      <c r="M311" s="40"/>
    </row>
    <row r="312" spans="1:13">
      <c r="B312" s="40" t="str">
        <f t="shared" si="62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0</v>
      </c>
      <c r="K312" s="55"/>
      <c r="L312" s="40"/>
      <c r="M312" s="40"/>
    </row>
    <row r="313" spans="1:13">
      <c r="B313" s="40" t="str">
        <f t="shared" si="62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62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0</v>
      </c>
      <c r="K314" s="55"/>
      <c r="L314" s="40"/>
      <c r="M314" s="40"/>
    </row>
    <row r="315" spans="1:13">
      <c r="B315" s="40" t="str">
        <f t="shared" si="62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1</v>
      </c>
      <c r="K315" s="55"/>
      <c r="L315" s="40"/>
      <c r="M315" s="40"/>
    </row>
    <row r="316" spans="1:13" ht="15.75" thickBot="1"/>
    <row r="317" spans="1:13" ht="15.75" thickBot="1">
      <c r="A317" s="20" t="s">
        <v>397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20" t="s">
        <v>443</v>
      </c>
      <c r="L317" s="70" t="s">
        <v>415</v>
      </c>
      <c r="M317" s="20">
        <f>IFERROR(VLOOKUP(A317,$P$6:$R$1048576,3,0),0)</f>
        <v>0</v>
      </c>
    </row>
    <row r="318" spans="1:13">
      <c r="B318" s="40" t="str">
        <f t="shared" ref="B318:B324" si="63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0</v>
      </c>
      <c r="K318" s="55"/>
      <c r="L318" s="40"/>
      <c r="M318" s="40"/>
    </row>
    <row r="319" spans="1:13">
      <c r="B319" s="40" t="str">
        <f t="shared" si="63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63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1</v>
      </c>
      <c r="K320" s="55"/>
      <c r="L320" s="40"/>
      <c r="M320" s="40"/>
    </row>
    <row r="321" spans="1:18">
      <c r="B321" s="40" t="str">
        <f t="shared" si="63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0</v>
      </c>
      <c r="K321" s="55"/>
      <c r="L321" s="40"/>
      <c r="M321" s="40"/>
    </row>
    <row r="322" spans="1:18">
      <c r="B322" s="40" t="str">
        <f t="shared" si="63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63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0</v>
      </c>
      <c r="K323" s="55"/>
      <c r="L323" s="40"/>
      <c r="M323" s="40"/>
    </row>
    <row r="324" spans="1:18">
      <c r="B324" s="40" t="str">
        <f t="shared" si="63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1</v>
      </c>
      <c r="K324" s="55"/>
      <c r="L324" s="40"/>
      <c r="M324" s="40"/>
    </row>
    <row r="325" spans="1:18" ht="15.75" thickBot="1">
      <c r="Q325" s="115"/>
      <c r="R325" s="115"/>
    </row>
    <row r="326" spans="1:18" ht="15.75" thickBot="1">
      <c r="A326" s="20" t="s">
        <v>398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20" t="s">
        <v>443</v>
      </c>
      <c r="L326" s="70" t="s">
        <v>416</v>
      </c>
      <c r="M326" s="20">
        <f>IFERROR(VLOOKUP(A326,$P$6:$R$1048576,3,0),0)</f>
        <v>0</v>
      </c>
    </row>
    <row r="327" spans="1:18">
      <c r="B327" s="40" t="str">
        <f t="shared" ref="B327:B333" si="64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4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4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1</v>
      </c>
      <c r="K329" s="55"/>
      <c r="L329" s="40"/>
      <c r="M329" s="40"/>
    </row>
    <row r="330" spans="1:18">
      <c r="B330" s="40" t="str">
        <f t="shared" si="64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1</v>
      </c>
      <c r="K330" s="55"/>
      <c r="L330" s="40"/>
      <c r="M330" s="40"/>
    </row>
    <row r="331" spans="1:18">
      <c r="B331" s="40" t="str">
        <f t="shared" si="64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4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1</v>
      </c>
      <c r="K332" s="55"/>
      <c r="L332" s="40"/>
      <c r="M332" s="40"/>
    </row>
    <row r="333" spans="1:18">
      <c r="B333" s="40" t="str">
        <f t="shared" si="64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0</v>
      </c>
      <c r="K333" s="55"/>
      <c r="L333" s="40"/>
      <c r="M333" s="40"/>
    </row>
    <row r="334" spans="1:18" ht="15.75" thickBot="1"/>
    <row r="335" spans="1:18" ht="15.75" thickBot="1">
      <c r="A335" s="20" t="s">
        <v>399</v>
      </c>
      <c r="B335" s="41" t="s">
        <v>143</v>
      </c>
      <c r="C335" s="41" t="s">
        <v>144</v>
      </c>
      <c r="D335" s="54" t="s">
        <v>131</v>
      </c>
      <c r="E335" s="42" t="s">
        <v>150</v>
      </c>
      <c r="F335" s="54" t="s">
        <v>129</v>
      </c>
      <c r="G335" s="54" t="s">
        <v>130</v>
      </c>
      <c r="H335" s="54" t="s">
        <v>254</v>
      </c>
      <c r="I335" s="80" t="s">
        <v>213</v>
      </c>
      <c r="J335" s="53">
        <f ca="1">IFERROR(IF(AND(J336:J341),0,1),0)</f>
        <v>1</v>
      </c>
      <c r="K335" s="120" t="s">
        <v>443</v>
      </c>
      <c r="L335" s="70" t="s">
        <v>439</v>
      </c>
      <c r="M335" s="20">
        <f>IFERROR(VLOOKUP(A335,$P$6:$R$1048576,3,0),0)</f>
        <v>0</v>
      </c>
    </row>
    <row r="336" spans="1:18">
      <c r="B336" s="40" t="str">
        <f t="shared" ref="B336:B342" si="65">DEC2HEX(C336)</f>
        <v>0</v>
      </c>
      <c r="C336" s="40">
        <v>0</v>
      </c>
      <c r="D336" s="101"/>
      <c r="E336" s="102" t="s">
        <v>149</v>
      </c>
      <c r="F336" s="103" t="s">
        <v>154</v>
      </c>
      <c r="G336" s="104" t="s">
        <v>440</v>
      </c>
      <c r="H336" s="55" t="s">
        <v>154</v>
      </c>
      <c r="I336" s="86" t="s">
        <v>223</v>
      </c>
      <c r="J336" s="94" t="b" cm="1">
        <f t="array" aca="1" ref="J336" ca="1">RIGHT("00"&amp;INDIRECT("R_"&amp;H336),2)=RIGHT("00"&amp;I336,2)</f>
        <v>0</v>
      </c>
      <c r="K336" s="55"/>
      <c r="L336" s="40"/>
      <c r="M336" s="40"/>
    </row>
    <row r="337" spans="1:13">
      <c r="B337" s="40" t="str">
        <f t="shared" si="65"/>
        <v>1</v>
      </c>
      <c r="C337" s="40">
        <v>1</v>
      </c>
      <c r="D337" s="101"/>
      <c r="E337" s="102" t="s">
        <v>149</v>
      </c>
      <c r="F337" s="103" t="s">
        <v>152</v>
      </c>
      <c r="G337" s="104" t="s">
        <v>306</v>
      </c>
      <c r="H337" s="55"/>
      <c r="I337" s="55"/>
      <c r="J337" s="55"/>
      <c r="K337" s="55"/>
      <c r="L337" s="40"/>
      <c r="M337" s="40"/>
    </row>
    <row r="338" spans="1:13">
      <c r="B338" s="40" t="str">
        <f t="shared" si="65"/>
        <v>2</v>
      </c>
      <c r="C338" s="40">
        <v>2</v>
      </c>
      <c r="D338" s="101"/>
      <c r="E338" s="102" t="s">
        <v>72</v>
      </c>
      <c r="F338" s="103"/>
      <c r="G338" s="104"/>
      <c r="H338" s="55" t="s">
        <v>116</v>
      </c>
      <c r="I338" s="86">
        <v>1</v>
      </c>
      <c r="J338" s="96" t="b" cm="1">
        <f t="array" aca="1" ref="J338" ca="1">INDIRECT(H338)=I338</f>
        <v>1</v>
      </c>
      <c r="K338" s="55"/>
      <c r="L338" s="40"/>
      <c r="M338" s="40"/>
    </row>
    <row r="339" spans="1:13">
      <c r="B339" s="40" t="str">
        <f t="shared" si="65"/>
        <v>3</v>
      </c>
      <c r="C339" s="40">
        <v>3</v>
      </c>
      <c r="D339" s="101"/>
      <c r="E339" s="102" t="s">
        <v>441</v>
      </c>
      <c r="F339" s="103" t="s">
        <v>152</v>
      </c>
      <c r="G339" s="104"/>
      <c r="H339" s="86" t="s">
        <v>120</v>
      </c>
      <c r="I339" s="86">
        <v>0</v>
      </c>
      <c r="J339" s="96" t="b" cm="1">
        <f t="array" aca="1" ref="J339" ca="1">INDIRECT(H339)=I339</f>
        <v>0</v>
      </c>
      <c r="K339" s="55"/>
      <c r="L339" s="40"/>
      <c r="M339" s="40"/>
    </row>
    <row r="340" spans="1:13">
      <c r="B340" s="40" t="str">
        <f t="shared" si="65"/>
        <v>4</v>
      </c>
      <c r="C340" s="40">
        <v>4</v>
      </c>
      <c r="D340" s="101"/>
      <c r="E340" s="102"/>
      <c r="F340" s="103"/>
      <c r="G340" s="104"/>
      <c r="H340" s="86" t="s">
        <v>119</v>
      </c>
      <c r="I340" s="86">
        <v>1</v>
      </c>
      <c r="J340" s="96" t="b" cm="1">
        <f t="array" aca="1" ref="J340" ca="1">INDIRECT(H340)=I340</f>
        <v>0</v>
      </c>
      <c r="K340" s="55"/>
      <c r="L340" s="40"/>
      <c r="M340" s="40"/>
    </row>
    <row r="341" spans="1:13">
      <c r="B341" s="40" t="str">
        <f t="shared" si="65"/>
        <v>5</v>
      </c>
      <c r="C341" s="40">
        <v>5</v>
      </c>
      <c r="D341" s="101"/>
      <c r="E341" s="102"/>
      <c r="F341" s="103"/>
      <c r="G341" s="104"/>
      <c r="H341" s="86" t="s">
        <v>115</v>
      </c>
      <c r="I341" s="86">
        <v>1</v>
      </c>
      <c r="J341" s="96" t="b" cm="1">
        <f t="array" aca="1" ref="J341" ca="1">INDIRECT(H341)=I341</f>
        <v>1</v>
      </c>
      <c r="K341" s="55"/>
      <c r="L341" s="40"/>
      <c r="M341" s="40"/>
    </row>
    <row r="342" spans="1:13">
      <c r="B342" s="40" t="str">
        <f t="shared" si="65"/>
        <v>6</v>
      </c>
      <c r="C342" s="40">
        <v>6</v>
      </c>
      <c r="D342" s="101"/>
      <c r="E342" s="102" t="s">
        <v>192</v>
      </c>
      <c r="F342" s="103"/>
      <c r="G342" s="104"/>
      <c r="H342" s="86" t="s">
        <v>128</v>
      </c>
      <c r="I342" s="86">
        <v>1</v>
      </c>
      <c r="J342" s="96" t="b" cm="1">
        <f t="array" aca="1" ref="J342" ca="1">INDIRECT(H342)=I342</f>
        <v>1</v>
      </c>
      <c r="K342" s="55"/>
      <c r="L342" s="40"/>
      <c r="M342" s="40"/>
    </row>
    <row r="343" spans="1:13" ht="15.75" thickBot="1"/>
    <row r="344" spans="1:13" ht="15.75" thickBot="1">
      <c r="A344" s="20" t="s">
        <v>400</v>
      </c>
      <c r="B344" s="41" t="s">
        <v>143</v>
      </c>
      <c r="C344" s="41" t="s">
        <v>144</v>
      </c>
      <c r="D344" s="54" t="s">
        <v>131</v>
      </c>
      <c r="E344" s="42" t="s">
        <v>150</v>
      </c>
      <c r="F344" s="54" t="s">
        <v>129</v>
      </c>
      <c r="G344" s="54" t="s">
        <v>130</v>
      </c>
      <c r="H344" s="54" t="s">
        <v>254</v>
      </c>
      <c r="I344" s="80" t="s">
        <v>213</v>
      </c>
      <c r="J344" s="53">
        <f ca="1">IFERROR(IF(AND(J345:J350),0,1),0)</f>
        <v>1</v>
      </c>
      <c r="K344" s="120" t="s">
        <v>443</v>
      </c>
      <c r="L344" s="70" t="s">
        <v>444</v>
      </c>
      <c r="M344" s="20">
        <f>IFERROR(VLOOKUP(A344,$P$6:$R$1048576,3,0),0)</f>
        <v>0</v>
      </c>
    </row>
    <row r="345" spans="1:13">
      <c r="B345" s="40" t="str">
        <f t="shared" ref="B345:B351" si="66">DEC2HEX(C345)</f>
        <v>0</v>
      </c>
      <c r="C345" s="40">
        <v>0</v>
      </c>
      <c r="D345" s="101"/>
      <c r="E345" s="102" t="s">
        <v>149</v>
      </c>
      <c r="F345" s="103" t="s">
        <v>154</v>
      </c>
      <c r="G345" s="104" t="s">
        <v>272</v>
      </c>
      <c r="H345" s="55" t="s">
        <v>154</v>
      </c>
      <c r="I345" s="86" t="s">
        <v>209</v>
      </c>
      <c r="J345" s="94" t="b" cm="1">
        <f t="array" aca="1" ref="J345" ca="1">RIGHT("00"&amp;INDIRECT("R_"&amp;H345),2)=RIGHT("00"&amp;I345,2)</f>
        <v>0</v>
      </c>
      <c r="K345" s="55"/>
      <c r="L345" s="40"/>
      <c r="M345" s="40"/>
    </row>
    <row r="346" spans="1:13">
      <c r="B346" s="40" t="str">
        <f t="shared" si="66"/>
        <v>1</v>
      </c>
      <c r="C346" s="40">
        <v>1</v>
      </c>
      <c r="D346" s="101"/>
      <c r="E346" s="102" t="s">
        <v>72</v>
      </c>
      <c r="F346" s="103"/>
      <c r="G346" s="104"/>
      <c r="H346" s="55"/>
      <c r="I346" s="55"/>
      <c r="J346" s="55"/>
      <c r="K346" s="55"/>
      <c r="L346" s="40"/>
      <c r="M346" s="40"/>
    </row>
    <row r="347" spans="1:13">
      <c r="B347" s="40" t="str">
        <f t="shared" si="66"/>
        <v>2</v>
      </c>
      <c r="C347" s="40">
        <v>2</v>
      </c>
      <c r="D347" s="101"/>
      <c r="E347" s="102" t="s">
        <v>445</v>
      </c>
      <c r="F347" s="103" t="s">
        <v>306</v>
      </c>
      <c r="G347" s="104"/>
      <c r="H347" s="55" t="s">
        <v>116</v>
      </c>
      <c r="I347" s="86">
        <v>1</v>
      </c>
      <c r="J347" s="96" t="b" cm="1">
        <f t="array" aca="1" ref="J347" ca="1">INDIRECT(H347)=I347</f>
        <v>1</v>
      </c>
      <c r="K347" s="55"/>
      <c r="L347" s="40"/>
      <c r="M347" s="40"/>
    </row>
    <row r="348" spans="1:13">
      <c r="B348" s="40" t="str">
        <f t="shared" si="66"/>
        <v>3</v>
      </c>
      <c r="C348" s="40">
        <v>3</v>
      </c>
      <c r="D348" s="101"/>
      <c r="E348" s="102"/>
      <c r="F348" s="103"/>
      <c r="G348" s="104"/>
      <c r="H348" s="86" t="s">
        <v>120</v>
      </c>
      <c r="I348" s="86">
        <v>0</v>
      </c>
      <c r="J348" s="96" t="b" cm="1">
        <f t="array" aca="1" ref="J348" ca="1">INDIRECT(H348)=I348</f>
        <v>0</v>
      </c>
      <c r="K348" s="55"/>
      <c r="L348" s="40"/>
      <c r="M348" s="40"/>
    </row>
    <row r="349" spans="1:13">
      <c r="B349" s="40" t="str">
        <f t="shared" si="66"/>
        <v>4</v>
      </c>
      <c r="C349" s="40">
        <v>4</v>
      </c>
      <c r="D349" s="101"/>
      <c r="E349" s="102"/>
      <c r="F349" s="103"/>
      <c r="G349" s="104"/>
      <c r="H349" s="86" t="s">
        <v>119</v>
      </c>
      <c r="I349" s="86">
        <v>0</v>
      </c>
      <c r="J349" s="96" t="b" cm="1">
        <f t="array" aca="1" ref="J349" ca="1">INDIRECT(H349)=I349</f>
        <v>1</v>
      </c>
      <c r="K349" s="55"/>
      <c r="L349" s="40"/>
      <c r="M349" s="40"/>
    </row>
    <row r="350" spans="1:13">
      <c r="B350" s="40" t="str">
        <f t="shared" si="66"/>
        <v>5</v>
      </c>
      <c r="C350" s="40">
        <v>5</v>
      </c>
      <c r="D350" s="101"/>
      <c r="E350" s="102"/>
      <c r="F350" s="103"/>
      <c r="G350" s="104"/>
      <c r="H350" s="86" t="s">
        <v>115</v>
      </c>
      <c r="I350" s="86">
        <v>0</v>
      </c>
      <c r="J350" s="96" t="b" cm="1">
        <f t="array" aca="1" ref="J350" ca="1">INDIRECT(H350)=I350</f>
        <v>0</v>
      </c>
      <c r="K350" s="55"/>
      <c r="L350" s="40"/>
      <c r="M350" s="40"/>
    </row>
    <row r="351" spans="1:13">
      <c r="B351" s="40" t="str">
        <f t="shared" si="66"/>
        <v>6</v>
      </c>
      <c r="C351" s="40">
        <v>6</v>
      </c>
      <c r="D351" s="101"/>
      <c r="E351" s="102" t="s">
        <v>192</v>
      </c>
      <c r="F351" s="103"/>
      <c r="G351" s="104"/>
      <c r="H351" s="86" t="s">
        <v>128</v>
      </c>
      <c r="I351" s="86">
        <v>1</v>
      </c>
      <c r="J351" s="96" t="b" cm="1">
        <f t="array" aca="1" ref="J351" ca="1">INDIRECT(H351)=I351</f>
        <v>1</v>
      </c>
      <c r="K351" s="55"/>
      <c r="L351" s="40"/>
      <c r="M351" s="40"/>
    </row>
    <row r="352" spans="1:13" ht="15.75" thickBot="1"/>
    <row r="353" spans="1:13" ht="15.75" thickBot="1">
      <c r="A353" s="20" t="s">
        <v>401</v>
      </c>
      <c r="B353" s="41" t="s">
        <v>143</v>
      </c>
      <c r="C353" s="41" t="s">
        <v>144</v>
      </c>
      <c r="D353" s="54" t="s">
        <v>131</v>
      </c>
      <c r="E353" s="42" t="s">
        <v>150</v>
      </c>
      <c r="F353" s="54" t="s">
        <v>129</v>
      </c>
      <c r="G353" s="54" t="s">
        <v>130</v>
      </c>
      <c r="H353" s="54" t="s">
        <v>254</v>
      </c>
      <c r="I353" s="80" t="s">
        <v>213</v>
      </c>
      <c r="J353" s="53">
        <f ca="1">IFERROR(IF(AND(J354:J359),0,1),0)</f>
        <v>1</v>
      </c>
      <c r="K353" s="120" t="s">
        <v>443</v>
      </c>
      <c r="L353" s="70" t="s">
        <v>446</v>
      </c>
      <c r="M353" s="20">
        <f>IFERROR(VLOOKUP(A353,$P$6:$R$1048576,3,0),0)</f>
        <v>0</v>
      </c>
    </row>
    <row r="354" spans="1:13">
      <c r="B354" s="40" t="str">
        <f t="shared" ref="B354:B360" si="67">DEC2HEX(C354)</f>
        <v>0</v>
      </c>
      <c r="C354" s="40">
        <v>0</v>
      </c>
      <c r="D354" s="101"/>
      <c r="E354" s="102" t="s">
        <v>149</v>
      </c>
      <c r="F354" s="103" t="s">
        <v>154</v>
      </c>
      <c r="G354" s="104" t="s">
        <v>239</v>
      </c>
      <c r="H354" s="55" t="s">
        <v>154</v>
      </c>
      <c r="I354" s="86" t="s">
        <v>272</v>
      </c>
      <c r="J354" s="94" t="b" cm="1">
        <f t="array" aca="1" ref="J354" ca="1">RIGHT("00"&amp;INDIRECT("R_"&amp;H354),2)=RIGHT("00"&amp;I354,2)</f>
        <v>0</v>
      </c>
      <c r="K354" s="55"/>
      <c r="L354" s="40"/>
      <c r="M354" s="40"/>
    </row>
    <row r="355" spans="1:13">
      <c r="B355" s="40" t="str">
        <f t="shared" si="67"/>
        <v>1</v>
      </c>
      <c r="C355" s="40">
        <v>1</v>
      </c>
      <c r="D355" s="101"/>
      <c r="E355" s="102" t="s">
        <v>149</v>
      </c>
      <c r="F355" s="103" t="s">
        <v>152</v>
      </c>
      <c r="G355" s="104" t="s">
        <v>306</v>
      </c>
      <c r="H355" s="55"/>
      <c r="I355" s="55"/>
      <c r="J355" s="55"/>
      <c r="K355" s="55"/>
      <c r="L355" s="40"/>
      <c r="M355" s="40"/>
    </row>
    <row r="356" spans="1:13">
      <c r="B356" s="40" t="str">
        <f t="shared" si="67"/>
        <v>2</v>
      </c>
      <c r="C356" s="40">
        <v>2</v>
      </c>
      <c r="D356" s="101"/>
      <c r="E356" s="102" t="s">
        <v>447</v>
      </c>
      <c r="F356" s="103" t="s">
        <v>152</v>
      </c>
      <c r="G356" s="104"/>
      <c r="H356" s="55" t="s">
        <v>116</v>
      </c>
      <c r="I356" s="86">
        <v>1</v>
      </c>
      <c r="J356" s="96" t="b" cm="1">
        <f t="array" aca="1" ref="J356" ca="1">INDIRECT(H356)=I356</f>
        <v>1</v>
      </c>
      <c r="K356" s="55"/>
      <c r="L356" s="40"/>
      <c r="M356" s="40"/>
    </row>
    <row r="357" spans="1:13">
      <c r="B357" s="40" t="str">
        <f t="shared" si="67"/>
        <v>3</v>
      </c>
      <c r="C357" s="40">
        <v>3</v>
      </c>
      <c r="D357" s="101"/>
      <c r="E357" s="102"/>
      <c r="F357" s="103"/>
      <c r="G357" s="104"/>
      <c r="H357" s="86" t="s">
        <v>120</v>
      </c>
      <c r="I357" s="86">
        <v>0</v>
      </c>
      <c r="J357" s="96" t="b" cm="1">
        <f t="array" aca="1" ref="J357" ca="1">INDIRECT(H357)=I357</f>
        <v>0</v>
      </c>
      <c r="K357" s="55"/>
      <c r="L357" s="40"/>
      <c r="M357" s="40"/>
    </row>
    <row r="358" spans="1:13">
      <c r="B358" s="40" t="str">
        <f t="shared" si="67"/>
        <v>4</v>
      </c>
      <c r="C358" s="40">
        <v>4</v>
      </c>
      <c r="D358" s="101"/>
      <c r="E358" s="102"/>
      <c r="F358" s="103"/>
      <c r="G358" s="104"/>
      <c r="H358" s="86" t="s">
        <v>119</v>
      </c>
      <c r="I358" s="86">
        <v>0</v>
      </c>
      <c r="J358" s="96" t="b" cm="1">
        <f t="array" aca="1" ref="J358" ca="1">INDIRECT(H358)=I358</f>
        <v>1</v>
      </c>
      <c r="K358" s="55"/>
      <c r="L358" s="40"/>
      <c r="M358" s="40"/>
    </row>
    <row r="359" spans="1:13">
      <c r="B359" s="40" t="str">
        <f t="shared" si="67"/>
        <v>5</v>
      </c>
      <c r="C359" s="40">
        <v>5</v>
      </c>
      <c r="D359" s="101"/>
      <c r="E359" s="102"/>
      <c r="F359" s="103"/>
      <c r="G359" s="104"/>
      <c r="H359" s="86" t="s">
        <v>115</v>
      </c>
      <c r="I359" s="86">
        <v>0</v>
      </c>
      <c r="J359" s="96" t="b" cm="1">
        <f t="array" aca="1" ref="J359" ca="1">INDIRECT(H359)=I359</f>
        <v>0</v>
      </c>
      <c r="K359" s="55"/>
      <c r="L359" s="40"/>
      <c r="M359" s="40"/>
    </row>
    <row r="360" spans="1:13">
      <c r="B360" s="40" t="str">
        <f t="shared" si="67"/>
        <v>6</v>
      </c>
      <c r="C360" s="40">
        <v>6</v>
      </c>
      <c r="D360" s="101"/>
      <c r="E360" s="102" t="s">
        <v>192</v>
      </c>
      <c r="F360" s="103"/>
      <c r="G360" s="104"/>
      <c r="H360" s="86" t="s">
        <v>128</v>
      </c>
      <c r="I360" s="86">
        <v>1</v>
      </c>
      <c r="J360" s="96" t="b" cm="1">
        <f t="array" aca="1" ref="J360" ca="1">INDIRECT(H360)=I360</f>
        <v>1</v>
      </c>
      <c r="K360" s="55"/>
      <c r="L360" s="40"/>
      <c r="M360" s="40"/>
    </row>
    <row r="361" spans="1:13" ht="15.75" thickBot="1"/>
    <row r="362" spans="1:13" ht="15.75" thickBot="1">
      <c r="A362" s="20" t="s">
        <v>402</v>
      </c>
      <c r="B362" s="41" t="s">
        <v>143</v>
      </c>
      <c r="C362" s="41" t="s">
        <v>144</v>
      </c>
      <c r="D362" s="54" t="s">
        <v>131</v>
      </c>
      <c r="E362" s="42" t="s">
        <v>150</v>
      </c>
      <c r="F362" s="54" t="s">
        <v>129</v>
      </c>
      <c r="G362" s="54" t="s">
        <v>130</v>
      </c>
      <c r="H362" s="54" t="s">
        <v>254</v>
      </c>
      <c r="I362" s="80" t="s">
        <v>213</v>
      </c>
      <c r="J362" s="53">
        <f ca="1">IFERROR(IF(AND(J363:J368),0,1),0)</f>
        <v>0</v>
      </c>
      <c r="K362" s="120" t="s">
        <v>443</v>
      </c>
      <c r="L362" s="70" t="s">
        <v>448</v>
      </c>
      <c r="M362" s="20">
        <f>IFERROR(VLOOKUP(A362,$P$6:$R$1048576,3,0),0)</f>
        <v>0</v>
      </c>
    </row>
    <row r="363" spans="1:13">
      <c r="B363" s="40" t="str">
        <f t="shared" ref="B363:B369" si="68">DEC2HEX(C363)</f>
        <v>0</v>
      </c>
      <c r="C363" s="40">
        <v>0</v>
      </c>
      <c r="D363" s="101"/>
      <c r="E363" s="102" t="s">
        <v>149</v>
      </c>
      <c r="F363" s="103" t="s">
        <v>154</v>
      </c>
      <c r="G363" s="104" t="s">
        <v>223</v>
      </c>
      <c r="H363" s="55" t="s">
        <v>154</v>
      </c>
      <c r="I363" s="86" t="s">
        <v>148</v>
      </c>
      <c r="J363" s="94" t="b" cm="1">
        <f t="array" aca="1" ref="J363" ca="1">RIGHT("00"&amp;INDIRECT("R_"&amp;H363),2)=RIGHT("00"&amp;I363,2)</f>
        <v>1</v>
      </c>
      <c r="K363" s="55"/>
      <c r="L363" s="40"/>
      <c r="M363" s="40"/>
    </row>
    <row r="364" spans="1:13">
      <c r="B364" s="40" t="str">
        <f t="shared" si="68"/>
        <v>1</v>
      </c>
      <c r="C364" s="40">
        <v>1</v>
      </c>
      <c r="D364" s="101"/>
      <c r="E364" s="102" t="s">
        <v>449</v>
      </c>
      <c r="F364" s="103" t="s">
        <v>306</v>
      </c>
      <c r="G364" s="104"/>
      <c r="H364" s="55"/>
      <c r="I364" s="55"/>
      <c r="J364" s="55"/>
      <c r="K364" s="55"/>
      <c r="L364" s="40"/>
      <c r="M364" s="40"/>
    </row>
    <row r="365" spans="1:13">
      <c r="B365" s="40" t="str">
        <f t="shared" si="68"/>
        <v>2</v>
      </c>
      <c r="C365" s="40">
        <v>2</v>
      </c>
      <c r="D365" s="101"/>
      <c r="E365" s="102"/>
      <c r="F365" s="103"/>
      <c r="G365" s="104"/>
      <c r="H365" s="55" t="s">
        <v>116</v>
      </c>
      <c r="I365" s="86">
        <v>1</v>
      </c>
      <c r="J365" s="96" t="b" cm="1">
        <f t="array" aca="1" ref="J365" ca="1">INDIRECT(H365)=I365</f>
        <v>1</v>
      </c>
      <c r="K365" s="55"/>
      <c r="L365" s="40"/>
      <c r="M365" s="40"/>
    </row>
    <row r="366" spans="1:13">
      <c r="B366" s="40" t="str">
        <f t="shared" si="68"/>
        <v>3</v>
      </c>
      <c r="C366" s="40">
        <v>3</v>
      </c>
      <c r="D366" s="101"/>
      <c r="E366" s="102"/>
      <c r="F366" s="103"/>
      <c r="G366" s="104"/>
      <c r="H366" s="86" t="s">
        <v>120</v>
      </c>
      <c r="I366" s="86">
        <v>1</v>
      </c>
      <c r="J366" s="96" t="b" cm="1">
        <f t="array" aca="1" ref="J366" ca="1">INDIRECT(H366)=I366</f>
        <v>1</v>
      </c>
      <c r="K366" s="55"/>
      <c r="L366" s="40"/>
      <c r="M366" s="40"/>
    </row>
    <row r="367" spans="1:13">
      <c r="B367" s="40" t="str">
        <f t="shared" si="68"/>
        <v>4</v>
      </c>
      <c r="C367" s="40">
        <v>4</v>
      </c>
      <c r="D367" s="101"/>
      <c r="E367" s="102"/>
      <c r="F367" s="103"/>
      <c r="G367" s="104"/>
      <c r="H367" s="86" t="s">
        <v>119</v>
      </c>
      <c r="I367" s="86">
        <v>0</v>
      </c>
      <c r="J367" s="96" t="b" cm="1">
        <f t="array" aca="1" ref="J367" ca="1">INDIRECT(H367)=I367</f>
        <v>1</v>
      </c>
      <c r="K367" s="55"/>
      <c r="L367" s="40"/>
      <c r="M367" s="40"/>
    </row>
    <row r="368" spans="1:13">
      <c r="B368" s="40" t="str">
        <f t="shared" si="68"/>
        <v>5</v>
      </c>
      <c r="C368" s="40">
        <v>5</v>
      </c>
      <c r="D368" s="101"/>
      <c r="E368" s="102" t="s">
        <v>192</v>
      </c>
      <c r="F368" s="103"/>
      <c r="G368" s="104"/>
      <c r="H368" s="86" t="s">
        <v>115</v>
      </c>
      <c r="I368" s="86">
        <v>1</v>
      </c>
      <c r="J368" s="96" t="b" cm="1">
        <f t="array" aca="1" ref="J368" ca="1">INDIRECT(H368)=I368</f>
        <v>1</v>
      </c>
      <c r="K368" s="55"/>
      <c r="L368" s="40"/>
      <c r="M368" s="40"/>
    </row>
    <row r="369" spans="1:13">
      <c r="B369" s="40" t="str">
        <f t="shared" si="68"/>
        <v>6</v>
      </c>
      <c r="C369" s="40">
        <v>6</v>
      </c>
      <c r="D369" s="101"/>
      <c r="E369" s="102"/>
      <c r="F369" s="103"/>
      <c r="G369" s="104"/>
      <c r="H369" s="86" t="s">
        <v>128</v>
      </c>
      <c r="I369" s="86">
        <v>1</v>
      </c>
      <c r="J369" s="96" t="b" cm="1">
        <f t="array" aca="1" ref="J369" ca="1">INDIRECT(H369)=I369</f>
        <v>1</v>
      </c>
      <c r="K369" s="55"/>
      <c r="L369" s="40"/>
      <c r="M369" s="40"/>
    </row>
    <row r="370" spans="1:13" ht="15.75" thickBot="1"/>
    <row r="371" spans="1:13" ht="15.75" thickBot="1">
      <c r="A371" s="20" t="s">
        <v>450</v>
      </c>
      <c r="B371" s="41" t="s">
        <v>143</v>
      </c>
      <c r="C371" s="41" t="s">
        <v>144</v>
      </c>
      <c r="D371" s="54" t="s">
        <v>131</v>
      </c>
      <c r="E371" s="42" t="s">
        <v>150</v>
      </c>
      <c r="F371" s="54" t="s">
        <v>129</v>
      </c>
      <c r="G371" s="54" t="s">
        <v>130</v>
      </c>
      <c r="H371" s="54" t="s">
        <v>254</v>
      </c>
      <c r="I371" s="80" t="s">
        <v>213</v>
      </c>
      <c r="J371" s="53">
        <f ca="1">IFERROR(IF(AND(J372:J377),0,1),0)</f>
        <v>1</v>
      </c>
      <c r="K371" s="120" t="s">
        <v>443</v>
      </c>
      <c r="L371" s="70" t="s">
        <v>459</v>
      </c>
      <c r="M371" s="20">
        <f>IFERROR(VLOOKUP(A371,$P$6:$R$1048576,3,0),0)</f>
        <v>0</v>
      </c>
    </row>
    <row r="372" spans="1:13">
      <c r="B372" s="40" t="str">
        <f t="shared" ref="B372:B378" si="69">DEC2HEX(C372)</f>
        <v>0</v>
      </c>
      <c r="C372" s="40">
        <v>0</v>
      </c>
      <c r="D372" s="101"/>
      <c r="E372" s="102" t="s">
        <v>149</v>
      </c>
      <c r="F372" s="103" t="s">
        <v>154</v>
      </c>
      <c r="G372" s="104" t="s">
        <v>239</v>
      </c>
      <c r="H372" s="55" t="s">
        <v>154</v>
      </c>
      <c r="I372" s="86" t="s">
        <v>461</v>
      </c>
      <c r="J372" s="94" t="b" cm="1">
        <f t="array" aca="1" ref="J372" ca="1">RIGHT("00"&amp;INDIRECT("R_"&amp;H372),2)=RIGHT("00"&amp;I372,2)</f>
        <v>0</v>
      </c>
      <c r="K372" s="55"/>
      <c r="L372" s="40"/>
      <c r="M372" s="40"/>
    </row>
    <row r="373" spans="1:13">
      <c r="B373" s="40" t="str">
        <f t="shared" si="69"/>
        <v>1</v>
      </c>
      <c r="C373" s="40">
        <v>1</v>
      </c>
      <c r="D373" s="101"/>
      <c r="E373" s="102" t="s">
        <v>149</v>
      </c>
      <c r="F373" s="103" t="s">
        <v>152</v>
      </c>
      <c r="G373" s="104" t="s">
        <v>306</v>
      </c>
      <c r="H373" s="55"/>
      <c r="I373" s="55"/>
      <c r="J373" s="55"/>
      <c r="K373" s="55"/>
      <c r="L373" s="40"/>
      <c r="M373" s="40"/>
    </row>
    <row r="374" spans="1:13">
      <c r="B374" s="40" t="str">
        <f t="shared" si="69"/>
        <v>2</v>
      </c>
      <c r="C374" s="40">
        <v>2</v>
      </c>
      <c r="D374" s="101"/>
      <c r="E374" s="102" t="s">
        <v>72</v>
      </c>
      <c r="F374" s="103"/>
      <c r="G374" s="104"/>
      <c r="H374" s="55" t="s">
        <v>116</v>
      </c>
      <c r="I374" s="86">
        <v>0</v>
      </c>
      <c r="J374" s="96" t="b" cm="1">
        <f t="array" aca="1" ref="J374" ca="1">INDIRECT(H374)=I374</f>
        <v>0</v>
      </c>
      <c r="K374" s="55"/>
      <c r="L374" s="40"/>
      <c r="M374" s="40"/>
    </row>
    <row r="375" spans="1:13">
      <c r="B375" s="40" t="str">
        <f t="shared" si="69"/>
        <v>3</v>
      </c>
      <c r="C375" s="40">
        <v>3</v>
      </c>
      <c r="D375" s="101"/>
      <c r="E375" s="102" t="s">
        <v>460</v>
      </c>
      <c r="F375" s="103" t="s">
        <v>152</v>
      </c>
      <c r="G375" s="104"/>
      <c r="H375" s="86" t="s">
        <v>120</v>
      </c>
      <c r="I375" s="86">
        <v>0</v>
      </c>
      <c r="J375" s="96" t="b" cm="1">
        <f t="array" aca="1" ref="J375" ca="1">INDIRECT(H375)=I375</f>
        <v>0</v>
      </c>
      <c r="K375" s="55"/>
      <c r="L375" s="40"/>
      <c r="M375" s="40"/>
    </row>
    <row r="376" spans="1:13">
      <c r="B376" s="40" t="str">
        <f t="shared" si="69"/>
        <v>4</v>
      </c>
      <c r="C376" s="40">
        <v>4</v>
      </c>
      <c r="D376" s="101"/>
      <c r="E376" s="102"/>
      <c r="F376" s="103"/>
      <c r="G376" s="104"/>
      <c r="H376" s="86" t="s">
        <v>119</v>
      </c>
      <c r="I376" s="86">
        <v>0</v>
      </c>
      <c r="J376" s="96" t="b" cm="1">
        <f t="array" aca="1" ref="J376" ca="1">INDIRECT(H376)=I376</f>
        <v>1</v>
      </c>
      <c r="K376" s="55"/>
      <c r="L376" s="40"/>
      <c r="M376" s="40"/>
    </row>
    <row r="377" spans="1:13">
      <c r="B377" s="40" t="str">
        <f t="shared" si="69"/>
        <v>5</v>
      </c>
      <c r="C377" s="40">
        <v>5</v>
      </c>
      <c r="D377" s="101"/>
      <c r="E377" s="102"/>
      <c r="F377" s="103"/>
      <c r="G377" s="104"/>
      <c r="H377" s="86" t="s">
        <v>115</v>
      </c>
      <c r="I377" s="86">
        <v>0</v>
      </c>
      <c r="J377" s="96" t="b" cm="1">
        <f t="array" aca="1" ref="J377" ca="1">INDIRECT(H377)=I377</f>
        <v>0</v>
      </c>
      <c r="K377" s="55"/>
      <c r="L377" s="40"/>
      <c r="M377" s="40"/>
    </row>
    <row r="378" spans="1:13">
      <c r="B378" s="40" t="str">
        <f t="shared" si="69"/>
        <v>6</v>
      </c>
      <c r="C378" s="40">
        <v>6</v>
      </c>
      <c r="D378" s="101"/>
      <c r="E378" s="102" t="s">
        <v>192</v>
      </c>
      <c r="F378" s="103"/>
      <c r="G378" s="104"/>
      <c r="H378" s="86" t="s">
        <v>128</v>
      </c>
      <c r="I378" s="86">
        <v>1</v>
      </c>
      <c r="J378" s="96" t="b" cm="1">
        <f t="array" aca="1" ref="J378" ca="1">INDIRECT(H378)=I378</f>
        <v>1</v>
      </c>
      <c r="K378" s="55"/>
      <c r="L378" s="40"/>
      <c r="M378" s="40"/>
    </row>
    <row r="379" spans="1:13" ht="15.75" thickBot="1"/>
    <row r="380" spans="1:13" ht="15.75" thickBot="1">
      <c r="A380" s="20" t="s">
        <v>451</v>
      </c>
      <c r="B380" s="41" t="s">
        <v>143</v>
      </c>
      <c r="C380" s="41" t="s">
        <v>144</v>
      </c>
      <c r="D380" s="54" t="s">
        <v>131</v>
      </c>
      <c r="E380" s="42" t="s">
        <v>150</v>
      </c>
      <c r="F380" s="54" t="s">
        <v>129</v>
      </c>
      <c r="G380" s="54" t="s">
        <v>130</v>
      </c>
      <c r="H380" s="54" t="s">
        <v>254</v>
      </c>
      <c r="I380" s="80" t="s">
        <v>213</v>
      </c>
      <c r="J380" s="53">
        <f ca="1">IFERROR(IF(AND(J381:J386),0,1),0)</f>
        <v>0</v>
      </c>
      <c r="K380" s="120" t="s">
        <v>443</v>
      </c>
      <c r="L380" s="70" t="s">
        <v>463</v>
      </c>
      <c r="M380" s="20">
        <f>IFERROR(VLOOKUP(A380,$P$6:$R$1048576,3,0),0)</f>
        <v>0</v>
      </c>
    </row>
    <row r="381" spans="1:13">
      <c r="B381" s="40" t="str">
        <f t="shared" ref="B381:B387" si="70">DEC2HEX(C381)</f>
        <v>0</v>
      </c>
      <c r="C381" s="40">
        <v>0</v>
      </c>
      <c r="D381" s="101"/>
      <c r="E381" s="102" t="s">
        <v>149</v>
      </c>
      <c r="F381" s="103" t="s">
        <v>154</v>
      </c>
      <c r="G381" s="104" t="s">
        <v>223</v>
      </c>
      <c r="H381" s="55" t="s">
        <v>154</v>
      </c>
      <c r="I381" s="86" t="s">
        <v>148</v>
      </c>
      <c r="J381" s="94" t="b" cm="1">
        <f t="array" aca="1" ref="J381" ca="1">RIGHT("00"&amp;INDIRECT("R_"&amp;H381),2)=RIGHT("00"&amp;I381,2)</f>
        <v>1</v>
      </c>
      <c r="K381" s="55"/>
      <c r="L381" s="40"/>
      <c r="M381" s="40"/>
    </row>
    <row r="382" spans="1:13">
      <c r="B382" s="40" t="str">
        <f t="shared" si="70"/>
        <v>1</v>
      </c>
      <c r="C382" s="40">
        <v>1</v>
      </c>
      <c r="D382" s="101"/>
      <c r="E382" s="102" t="s">
        <v>72</v>
      </c>
      <c r="F382" s="103"/>
      <c r="G382" s="104"/>
      <c r="H382" s="55"/>
      <c r="I382" s="55"/>
      <c r="J382" s="55"/>
      <c r="K382" s="55"/>
      <c r="L382" s="40"/>
      <c r="M382" s="40"/>
    </row>
    <row r="383" spans="1:13">
      <c r="B383" s="40" t="str">
        <f t="shared" si="70"/>
        <v>2</v>
      </c>
      <c r="C383" s="40">
        <v>2</v>
      </c>
      <c r="D383" s="101"/>
      <c r="E383" s="102" t="s">
        <v>464</v>
      </c>
      <c r="F383" s="103" t="s">
        <v>223</v>
      </c>
      <c r="G383" s="104"/>
      <c r="H383" s="55" t="s">
        <v>116</v>
      </c>
      <c r="I383" s="86">
        <v>1</v>
      </c>
      <c r="J383" s="96" t="b" cm="1">
        <f t="array" aca="1" ref="J383" ca="1">INDIRECT(H383)=I383</f>
        <v>1</v>
      </c>
      <c r="K383" s="55"/>
      <c r="L383" s="40"/>
      <c r="M383" s="40"/>
    </row>
    <row r="384" spans="1:13">
      <c r="B384" s="40" t="str">
        <f t="shared" si="70"/>
        <v>3</v>
      </c>
      <c r="C384" s="40">
        <v>3</v>
      </c>
      <c r="D384" s="101"/>
      <c r="E384" s="102"/>
      <c r="F384" s="103"/>
      <c r="G384" s="104"/>
      <c r="H384" s="86" t="s">
        <v>120</v>
      </c>
      <c r="I384" s="86">
        <v>1</v>
      </c>
      <c r="J384" s="96" t="b" cm="1">
        <f t="array" aca="1" ref="J384" ca="1">INDIRECT(H384)=I384</f>
        <v>1</v>
      </c>
      <c r="K384" s="55"/>
      <c r="L384" s="40"/>
      <c r="M384" s="40"/>
    </row>
    <row r="385" spans="2:13">
      <c r="B385" s="40" t="str">
        <f t="shared" si="70"/>
        <v>4</v>
      </c>
      <c r="C385" s="40">
        <v>4</v>
      </c>
      <c r="D385" s="101"/>
      <c r="E385" s="102"/>
      <c r="F385" s="103"/>
      <c r="G385" s="104"/>
      <c r="H385" s="86" t="s">
        <v>119</v>
      </c>
      <c r="I385" s="86">
        <v>0</v>
      </c>
      <c r="J385" s="96" t="b" cm="1">
        <f t="array" aca="1" ref="J385" ca="1">INDIRECT(H385)=I385</f>
        <v>1</v>
      </c>
      <c r="K385" s="55"/>
      <c r="L385" s="40"/>
      <c r="M385" s="40"/>
    </row>
    <row r="386" spans="2:13">
      <c r="B386" s="40" t="str">
        <f t="shared" si="70"/>
        <v>5</v>
      </c>
      <c r="C386" s="40">
        <v>5</v>
      </c>
      <c r="D386" s="101"/>
      <c r="E386" s="102" t="s">
        <v>192</v>
      </c>
      <c r="F386" s="103"/>
      <c r="G386" s="104"/>
      <c r="H386" s="86" t="s">
        <v>115</v>
      </c>
      <c r="I386" s="86">
        <v>1</v>
      </c>
      <c r="J386" s="96" t="b" cm="1">
        <f t="array" aca="1" ref="J386" ca="1">INDIRECT(H386)=I386</f>
        <v>1</v>
      </c>
      <c r="K386" s="55"/>
      <c r="L386" s="40"/>
      <c r="M386" s="40"/>
    </row>
    <row r="387" spans="2:13">
      <c r="B387" s="40" t="str">
        <f t="shared" si="70"/>
        <v>6</v>
      </c>
      <c r="C387" s="40">
        <v>6</v>
      </c>
      <c r="D387" s="101"/>
      <c r="E387" s="102"/>
      <c r="F387" s="103"/>
      <c r="G387" s="104"/>
      <c r="H387" s="86" t="s">
        <v>128</v>
      </c>
      <c r="I387" s="86">
        <v>1</v>
      </c>
      <c r="J387" s="96" t="b" cm="1">
        <f t="array" aca="1" ref="J387" ca="1">INDIRECT(H387)=I387</f>
        <v>1</v>
      </c>
      <c r="K387" s="55"/>
      <c r="L387" s="40"/>
      <c r="M387" s="40"/>
    </row>
  </sheetData>
  <mergeCells count="2">
    <mergeCell ref="U4:AB4"/>
    <mergeCell ref="U5:AB34"/>
  </mergeCells>
  <phoneticPr fontId="16" type="noConversion"/>
  <conditionalFormatting sqref="J4:K4">
    <cfRule type="cellIs" dxfId="231" priority="329" operator="equal">
      <formula>0</formula>
    </cfRule>
    <cfRule type="cellIs" dxfId="230" priority="330" operator="equal">
      <formula>1</formula>
    </cfRule>
  </conditionalFormatting>
  <conditionalFormatting sqref="J11:K11">
    <cfRule type="cellIs" dxfId="229" priority="327" operator="equal">
      <formula>0</formula>
    </cfRule>
    <cfRule type="cellIs" dxfId="228" priority="328" operator="equal">
      <formula>1</formula>
    </cfRule>
  </conditionalFormatting>
  <conditionalFormatting sqref="J16:K16">
    <cfRule type="cellIs" dxfId="227" priority="325" operator="equal">
      <formula>0</formula>
    </cfRule>
    <cfRule type="cellIs" dxfId="226" priority="326" operator="equal">
      <formula>1</formula>
    </cfRule>
  </conditionalFormatting>
  <conditionalFormatting sqref="J29:K29">
    <cfRule type="cellIs" dxfId="225" priority="321" operator="equal">
      <formula>0</formula>
    </cfRule>
    <cfRule type="cellIs" dxfId="224" priority="322" operator="equal">
      <formula>1</formula>
    </cfRule>
  </conditionalFormatting>
  <conditionalFormatting sqref="M4">
    <cfRule type="cellIs" dxfId="223" priority="319" operator="equal">
      <formula>0</formula>
    </cfRule>
    <cfRule type="cellIs" dxfId="222" priority="320" operator="equal">
      <formula>1</formula>
    </cfRule>
  </conditionalFormatting>
  <conditionalFormatting sqref="J38:K38">
    <cfRule type="cellIs" dxfId="221" priority="309" operator="equal">
      <formula>0</formula>
    </cfRule>
    <cfRule type="cellIs" dxfId="220" priority="310" operator="equal">
      <formula>1</formula>
    </cfRule>
  </conditionalFormatting>
  <conditionalFormatting sqref="K49">
    <cfRule type="cellIs" dxfId="219" priority="305" operator="equal">
      <formula>0</formula>
    </cfRule>
    <cfRule type="cellIs" dxfId="218" priority="306" operator="equal">
      <formula>1</formula>
    </cfRule>
  </conditionalFormatting>
  <conditionalFormatting sqref="K66">
    <cfRule type="cellIs" dxfId="217" priority="297" operator="equal">
      <formula>0</formula>
    </cfRule>
    <cfRule type="cellIs" dxfId="216" priority="298" operator="equal">
      <formula>1</formula>
    </cfRule>
  </conditionalFormatting>
  <conditionalFormatting sqref="K57">
    <cfRule type="cellIs" dxfId="215" priority="293" operator="equal">
      <formula>0</formula>
    </cfRule>
    <cfRule type="cellIs" dxfId="214" priority="294" operator="equal">
      <formula>1</formula>
    </cfRule>
  </conditionalFormatting>
  <conditionalFormatting sqref="J49">
    <cfRule type="cellIs" dxfId="213" priority="289" operator="equal">
      <formula>0</formula>
    </cfRule>
    <cfRule type="cellIs" dxfId="212" priority="290" operator="equal">
      <formula>1</formula>
    </cfRule>
  </conditionalFormatting>
  <conditionalFormatting sqref="J57">
    <cfRule type="cellIs" dxfId="211" priority="287" operator="equal">
      <formula>0</formula>
    </cfRule>
    <cfRule type="cellIs" dxfId="210" priority="288" operator="equal">
      <formula>1</formula>
    </cfRule>
  </conditionalFormatting>
  <conditionalFormatting sqref="J66">
    <cfRule type="cellIs" dxfId="209" priority="285" operator="equal">
      <formula>0</formula>
    </cfRule>
    <cfRule type="cellIs" dxfId="208" priority="286" operator="equal">
      <formula>1</formula>
    </cfRule>
  </conditionalFormatting>
  <conditionalFormatting sqref="K74">
    <cfRule type="cellIs" dxfId="207" priority="283" operator="equal">
      <formula>0</formula>
    </cfRule>
    <cfRule type="cellIs" dxfId="206" priority="284" operator="equal">
      <formula>1</formula>
    </cfRule>
  </conditionalFormatting>
  <conditionalFormatting sqref="J74">
    <cfRule type="cellIs" dxfId="205" priority="279" operator="equal">
      <formula>0</formula>
    </cfRule>
    <cfRule type="cellIs" dxfId="204" priority="280" operator="equal">
      <formula>1</formula>
    </cfRule>
  </conditionalFormatting>
  <conditionalFormatting sqref="R6:R52">
    <cfRule type="cellIs" dxfId="203" priority="277" operator="equal">
      <formula>0</formula>
    </cfRule>
    <cfRule type="cellIs" dxfId="202" priority="278" operator="equal">
      <formula>1</formula>
    </cfRule>
  </conditionalFormatting>
  <conditionalFormatting sqref="K83">
    <cfRule type="cellIs" dxfId="201" priority="259" operator="equal">
      <formula>0</formula>
    </cfRule>
    <cfRule type="cellIs" dxfId="200" priority="260" operator="equal">
      <formula>1</formula>
    </cfRule>
  </conditionalFormatting>
  <conditionalFormatting sqref="J83">
    <cfRule type="cellIs" dxfId="199" priority="257" operator="equal">
      <formula>0</formula>
    </cfRule>
    <cfRule type="cellIs" dxfId="198" priority="258" operator="equal">
      <formula>1</formula>
    </cfRule>
  </conditionalFormatting>
  <conditionalFormatting sqref="K97">
    <cfRule type="cellIs" dxfId="197" priority="253" operator="equal">
      <formula>0</formula>
    </cfRule>
    <cfRule type="cellIs" dxfId="196" priority="254" operator="equal">
      <formula>1</formula>
    </cfRule>
  </conditionalFormatting>
  <conditionalFormatting sqref="J97">
    <cfRule type="cellIs" dxfId="195" priority="251" operator="equal">
      <formula>0</formula>
    </cfRule>
    <cfRule type="cellIs" dxfId="194" priority="252" operator="equal">
      <formula>1</formula>
    </cfRule>
  </conditionalFormatting>
  <conditionalFormatting sqref="K105">
    <cfRule type="cellIs" dxfId="193" priority="241" operator="equal">
      <formula>0</formula>
    </cfRule>
    <cfRule type="cellIs" dxfId="192" priority="242" operator="equal">
      <formula>1</formula>
    </cfRule>
  </conditionalFormatting>
  <conditionalFormatting sqref="J105">
    <cfRule type="cellIs" dxfId="191" priority="239" operator="equal">
      <formula>0</formula>
    </cfRule>
    <cfRule type="cellIs" dxfId="190" priority="240" operator="equal">
      <formula>1</formula>
    </cfRule>
  </conditionalFormatting>
  <conditionalFormatting sqref="K113">
    <cfRule type="cellIs" dxfId="189" priority="235" operator="equal">
      <formula>0</formula>
    </cfRule>
    <cfRule type="cellIs" dxfId="188" priority="236" operator="equal">
      <formula>1</formula>
    </cfRule>
  </conditionalFormatting>
  <conditionalFormatting sqref="M11">
    <cfRule type="cellIs" dxfId="187" priority="227" operator="equal">
      <formula>0</formula>
    </cfRule>
    <cfRule type="cellIs" dxfId="186" priority="228" operator="equal">
      <formula>1</formula>
    </cfRule>
  </conditionalFormatting>
  <conditionalFormatting sqref="M16">
    <cfRule type="cellIs" dxfId="185" priority="225" operator="equal">
      <formula>0</formula>
    </cfRule>
    <cfRule type="cellIs" dxfId="184" priority="226" operator="equal">
      <formula>1</formula>
    </cfRule>
  </conditionalFormatting>
  <conditionalFormatting sqref="M29">
    <cfRule type="cellIs" dxfId="183" priority="223" operator="equal">
      <formula>0</formula>
    </cfRule>
    <cfRule type="cellIs" dxfId="182" priority="224" operator="equal">
      <formula>1</formula>
    </cfRule>
  </conditionalFormatting>
  <conditionalFormatting sqref="M38">
    <cfRule type="cellIs" dxfId="181" priority="221" operator="equal">
      <formula>0</formula>
    </cfRule>
    <cfRule type="cellIs" dxfId="180" priority="222" operator="equal">
      <formula>1</formula>
    </cfRule>
  </conditionalFormatting>
  <conditionalFormatting sqref="M49">
    <cfRule type="cellIs" dxfId="179" priority="219" operator="equal">
      <formula>0</formula>
    </cfRule>
    <cfRule type="cellIs" dxfId="178" priority="220" operator="equal">
      <formula>1</formula>
    </cfRule>
  </conditionalFormatting>
  <conditionalFormatting sqref="M57">
    <cfRule type="cellIs" dxfId="177" priority="217" operator="equal">
      <formula>0</formula>
    </cfRule>
    <cfRule type="cellIs" dxfId="176" priority="218" operator="equal">
      <formula>1</formula>
    </cfRule>
  </conditionalFormatting>
  <conditionalFormatting sqref="M66">
    <cfRule type="cellIs" dxfId="175" priority="215" operator="equal">
      <formula>0</formula>
    </cfRule>
    <cfRule type="cellIs" dxfId="174" priority="216" operator="equal">
      <formula>1</formula>
    </cfRule>
  </conditionalFormatting>
  <conditionalFormatting sqref="M74">
    <cfRule type="cellIs" dxfId="173" priority="213" operator="equal">
      <formula>0</formula>
    </cfRule>
    <cfRule type="cellIs" dxfId="172" priority="214" operator="equal">
      <formula>1</formula>
    </cfRule>
  </conditionalFormatting>
  <conditionalFormatting sqref="M83">
    <cfRule type="cellIs" dxfId="171" priority="211" operator="equal">
      <formula>0</formula>
    </cfRule>
    <cfRule type="cellIs" dxfId="170" priority="212" operator="equal">
      <formula>1</formula>
    </cfRule>
  </conditionalFormatting>
  <conditionalFormatting sqref="M97">
    <cfRule type="cellIs" dxfId="169" priority="209" operator="equal">
      <formula>0</formula>
    </cfRule>
    <cfRule type="cellIs" dxfId="168" priority="210" operator="equal">
      <formula>1</formula>
    </cfRule>
  </conditionalFormatting>
  <conditionalFormatting sqref="M105">
    <cfRule type="cellIs" dxfId="167" priority="207" operator="equal">
      <formula>0</formula>
    </cfRule>
    <cfRule type="cellIs" dxfId="166" priority="208" operator="equal">
      <formula>1</formula>
    </cfRule>
  </conditionalFormatting>
  <conditionalFormatting sqref="M113">
    <cfRule type="cellIs" dxfId="165" priority="205" operator="equal">
      <formula>0</formula>
    </cfRule>
    <cfRule type="cellIs" dxfId="164" priority="206" operator="equal">
      <formula>1</formula>
    </cfRule>
  </conditionalFormatting>
  <conditionalFormatting sqref="K125">
    <cfRule type="cellIs" dxfId="163" priority="197" operator="equal">
      <formula>0</formula>
    </cfRule>
    <cfRule type="cellIs" dxfId="162" priority="198" operator="equal">
      <formula>1</formula>
    </cfRule>
  </conditionalFormatting>
  <conditionalFormatting sqref="M125">
    <cfRule type="cellIs" dxfId="161" priority="193" operator="equal">
      <formula>0</formula>
    </cfRule>
    <cfRule type="cellIs" dxfId="160" priority="194" operator="equal">
      <formula>1</formula>
    </cfRule>
  </conditionalFormatting>
  <conditionalFormatting sqref="K135">
    <cfRule type="cellIs" dxfId="159" priority="183" operator="equal">
      <formula>0</formula>
    </cfRule>
    <cfRule type="cellIs" dxfId="158" priority="184" operator="equal">
      <formula>1</formula>
    </cfRule>
  </conditionalFormatting>
  <conditionalFormatting sqref="M135">
    <cfRule type="cellIs" dxfId="157" priority="179" operator="equal">
      <formula>0</formula>
    </cfRule>
    <cfRule type="cellIs" dxfId="156" priority="180" operator="equal">
      <formula>1</formula>
    </cfRule>
  </conditionalFormatting>
  <conditionalFormatting sqref="J125">
    <cfRule type="cellIs" dxfId="155" priority="177" operator="equal">
      <formula>0</formula>
    </cfRule>
    <cfRule type="cellIs" dxfId="154" priority="178" operator="equal">
      <formula>1</formula>
    </cfRule>
  </conditionalFormatting>
  <conditionalFormatting sqref="J135">
    <cfRule type="cellIs" dxfId="153" priority="175" operator="equal">
      <formula>0</formula>
    </cfRule>
    <cfRule type="cellIs" dxfId="152" priority="176" operator="equal">
      <formula>1</formula>
    </cfRule>
  </conditionalFormatting>
  <conditionalFormatting sqref="J113">
    <cfRule type="cellIs" dxfId="151" priority="173" operator="equal">
      <formula>0</formula>
    </cfRule>
    <cfRule type="cellIs" dxfId="150" priority="174" operator="equal">
      <formula>1</formula>
    </cfRule>
  </conditionalFormatting>
  <conditionalFormatting sqref="K148">
    <cfRule type="cellIs" dxfId="149" priority="171" operator="equal">
      <formula>0</formula>
    </cfRule>
    <cfRule type="cellIs" dxfId="148" priority="172" operator="equal">
      <formula>1</formula>
    </cfRule>
  </conditionalFormatting>
  <conditionalFormatting sqref="J148">
    <cfRule type="cellIs" dxfId="147" priority="165" operator="equal">
      <formula>0</formula>
    </cfRule>
    <cfRule type="cellIs" dxfId="146" priority="166" operator="equal">
      <formula>1</formula>
    </cfRule>
  </conditionalFormatting>
  <conditionalFormatting sqref="M148">
    <cfRule type="cellIs" dxfId="145" priority="163" operator="equal">
      <formula>0</formula>
    </cfRule>
    <cfRule type="cellIs" dxfId="144" priority="164" operator="equal">
      <formula>1</formula>
    </cfRule>
  </conditionalFormatting>
  <conditionalFormatting sqref="K163">
    <cfRule type="cellIs" dxfId="143" priority="161" operator="equal">
      <formula>0</formula>
    </cfRule>
    <cfRule type="cellIs" dxfId="142" priority="162" operator="equal">
      <formula>1</formula>
    </cfRule>
  </conditionalFormatting>
  <conditionalFormatting sqref="J163">
    <cfRule type="cellIs" dxfId="141" priority="159" operator="equal">
      <formula>0</formula>
    </cfRule>
    <cfRule type="cellIs" dxfId="140" priority="160" operator="equal">
      <formula>1</formula>
    </cfRule>
  </conditionalFormatting>
  <conditionalFormatting sqref="M163">
    <cfRule type="cellIs" dxfId="139" priority="157" operator="equal">
      <formula>0</formula>
    </cfRule>
    <cfRule type="cellIs" dxfId="138" priority="158" operator="equal">
      <formula>1</formula>
    </cfRule>
  </conditionalFormatting>
  <conditionalFormatting sqref="K174">
    <cfRule type="cellIs" dxfId="137" priority="155" operator="equal">
      <formula>0</formula>
    </cfRule>
    <cfRule type="cellIs" dxfId="136" priority="156" operator="equal">
      <formula>1</formula>
    </cfRule>
  </conditionalFormatting>
  <conditionalFormatting sqref="J174">
    <cfRule type="cellIs" dxfId="135" priority="153" operator="equal">
      <formula>0</formula>
    </cfRule>
    <cfRule type="cellIs" dxfId="134" priority="154" operator="equal">
      <formula>1</formula>
    </cfRule>
  </conditionalFormatting>
  <conditionalFormatting sqref="M174">
    <cfRule type="cellIs" dxfId="133" priority="151" operator="equal">
      <formula>0</formula>
    </cfRule>
    <cfRule type="cellIs" dxfId="132" priority="152" operator="equal">
      <formula>1</formula>
    </cfRule>
  </conditionalFormatting>
  <conditionalFormatting sqref="K184">
    <cfRule type="cellIs" dxfId="131" priority="143" operator="equal">
      <formula>0</formula>
    </cfRule>
    <cfRule type="cellIs" dxfId="130" priority="144" operator="equal">
      <formula>1</formula>
    </cfRule>
  </conditionalFormatting>
  <conditionalFormatting sqref="J184">
    <cfRule type="cellIs" dxfId="129" priority="141" operator="equal">
      <formula>0</formula>
    </cfRule>
    <cfRule type="cellIs" dxfId="128" priority="142" operator="equal">
      <formula>1</formula>
    </cfRule>
  </conditionalFormatting>
  <conditionalFormatting sqref="M184">
    <cfRule type="cellIs" dxfId="127" priority="139" operator="equal">
      <formula>0</formula>
    </cfRule>
    <cfRule type="cellIs" dxfId="126" priority="140" operator="equal">
      <formula>1</formula>
    </cfRule>
  </conditionalFormatting>
  <conditionalFormatting sqref="K194">
    <cfRule type="cellIs" dxfId="125" priority="137" operator="equal">
      <formula>0</formula>
    </cfRule>
    <cfRule type="cellIs" dxfId="124" priority="138" operator="equal">
      <formula>1</formula>
    </cfRule>
  </conditionalFormatting>
  <conditionalFormatting sqref="J194">
    <cfRule type="cellIs" dxfId="123" priority="135" operator="equal">
      <formula>0</formula>
    </cfRule>
    <cfRule type="cellIs" dxfId="122" priority="136" operator="equal">
      <formula>1</formula>
    </cfRule>
  </conditionalFormatting>
  <conditionalFormatting sqref="M194">
    <cfRule type="cellIs" dxfId="121" priority="133" operator="equal">
      <formula>0</formula>
    </cfRule>
    <cfRule type="cellIs" dxfId="120" priority="134" operator="equal">
      <formula>1</formula>
    </cfRule>
  </conditionalFormatting>
  <conditionalFormatting sqref="K204">
    <cfRule type="cellIs" dxfId="119" priority="131" operator="equal">
      <formula>0</formula>
    </cfRule>
    <cfRule type="cellIs" dxfId="118" priority="132" operator="equal">
      <formula>1</formula>
    </cfRule>
  </conditionalFormatting>
  <conditionalFormatting sqref="J204">
    <cfRule type="cellIs" dxfId="117" priority="129" operator="equal">
      <formula>0</formula>
    </cfRule>
    <cfRule type="cellIs" dxfId="116" priority="130" operator="equal">
      <formula>1</formula>
    </cfRule>
  </conditionalFormatting>
  <conditionalFormatting sqref="M204">
    <cfRule type="cellIs" dxfId="115" priority="127" operator="equal">
      <formula>0</formula>
    </cfRule>
    <cfRule type="cellIs" dxfId="114" priority="128" operator="equal">
      <formula>1</formula>
    </cfRule>
  </conditionalFormatting>
  <conditionalFormatting sqref="K211">
    <cfRule type="cellIs" dxfId="113" priority="125" operator="equal">
      <formula>0</formula>
    </cfRule>
    <cfRule type="cellIs" dxfId="112" priority="126" operator="equal">
      <formula>1</formula>
    </cfRule>
  </conditionalFormatting>
  <conditionalFormatting sqref="J211">
    <cfRule type="cellIs" dxfId="111" priority="123" operator="equal">
      <formula>0</formula>
    </cfRule>
    <cfRule type="cellIs" dxfId="110" priority="124" operator="equal">
      <formula>1</formula>
    </cfRule>
  </conditionalFormatting>
  <conditionalFormatting sqref="M211">
    <cfRule type="cellIs" dxfId="109" priority="121" operator="equal">
      <formula>0</formula>
    </cfRule>
    <cfRule type="cellIs" dxfId="108" priority="122" operator="equal">
      <formula>1</formula>
    </cfRule>
  </conditionalFormatting>
  <conditionalFormatting sqref="K224">
    <cfRule type="cellIs" dxfId="107" priority="119" operator="equal">
      <formula>0</formula>
    </cfRule>
    <cfRule type="cellIs" dxfId="106" priority="120" operator="equal">
      <formula>1</formula>
    </cfRule>
  </conditionalFormatting>
  <conditionalFormatting sqref="J224">
    <cfRule type="cellIs" dxfId="105" priority="117" operator="equal">
      <formula>0</formula>
    </cfRule>
    <cfRule type="cellIs" dxfId="104" priority="118" operator="equal">
      <formula>1</formula>
    </cfRule>
  </conditionalFormatting>
  <conditionalFormatting sqref="M224">
    <cfRule type="cellIs" dxfId="103" priority="115" operator="equal">
      <formula>0</formula>
    </cfRule>
    <cfRule type="cellIs" dxfId="102" priority="116" operator="equal">
      <formula>1</formula>
    </cfRule>
  </conditionalFormatting>
  <conditionalFormatting sqref="K240">
    <cfRule type="cellIs" dxfId="101" priority="113" operator="equal">
      <formula>0</formula>
    </cfRule>
    <cfRule type="cellIs" dxfId="100" priority="114" operator="equal">
      <formula>1</formula>
    </cfRule>
  </conditionalFormatting>
  <conditionalFormatting sqref="J240">
    <cfRule type="cellIs" dxfId="99" priority="111" operator="equal">
      <formula>0</formula>
    </cfRule>
    <cfRule type="cellIs" dxfId="98" priority="112" operator="equal">
      <formula>1</formula>
    </cfRule>
  </conditionalFormatting>
  <conditionalFormatting sqref="M240">
    <cfRule type="cellIs" dxfId="97" priority="109" operator="equal">
      <formula>0</formula>
    </cfRule>
    <cfRule type="cellIs" dxfId="96" priority="110" operator="equal">
      <formula>1</formula>
    </cfRule>
  </conditionalFormatting>
  <conditionalFormatting sqref="K253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253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253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259">
    <cfRule type="cellIs" dxfId="89" priority="89" operator="equal">
      <formula>0</formula>
    </cfRule>
    <cfRule type="cellIs" dxfId="88" priority="90" operator="equal">
      <formula>1</formula>
    </cfRule>
  </conditionalFormatting>
  <conditionalFormatting sqref="J259">
    <cfRule type="cellIs" dxfId="87" priority="87" operator="equal">
      <formula>0</formula>
    </cfRule>
    <cfRule type="cellIs" dxfId="86" priority="88" operator="equal">
      <formula>1</formula>
    </cfRule>
  </conditionalFormatting>
  <conditionalFormatting sqref="M259">
    <cfRule type="cellIs" dxfId="85" priority="85" operator="equal">
      <formula>0</formula>
    </cfRule>
    <cfRule type="cellIs" dxfId="84" priority="86" operator="equal">
      <formula>1</formula>
    </cfRule>
  </conditionalFormatting>
  <conditionalFormatting sqref="K265">
    <cfRule type="cellIs" dxfId="83" priority="83" operator="equal">
      <formula>0</formula>
    </cfRule>
    <cfRule type="cellIs" dxfId="82" priority="84" operator="equal">
      <formula>1</formula>
    </cfRule>
  </conditionalFormatting>
  <conditionalFormatting sqref="J265">
    <cfRule type="cellIs" dxfId="81" priority="81" operator="equal">
      <formula>0</formula>
    </cfRule>
    <cfRule type="cellIs" dxfId="80" priority="82" operator="equal">
      <formula>1</formula>
    </cfRule>
  </conditionalFormatting>
  <conditionalFormatting sqref="M265">
    <cfRule type="cellIs" dxfId="79" priority="79" operator="equal">
      <formula>0</formula>
    </cfRule>
    <cfRule type="cellIs" dxfId="78" priority="80" operator="equal">
      <formula>1</formula>
    </cfRule>
  </conditionalFormatting>
  <conditionalFormatting sqref="K273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J273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273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K281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J281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281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K290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290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290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K299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299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299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K308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308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308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317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317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317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326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326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326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335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335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335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344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344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344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353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353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353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62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62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62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71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71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71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80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80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8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2" activePane="bottomRight" state="frozen"/>
      <selection activeCell="B1" sqref="B1"/>
      <selection pane="topRight" activeCell="E1" sqref="E1"/>
      <selection pane="bottomLeft" activeCell="B3" sqref="B3"/>
      <selection pane="bottomRight" activeCell="G3" sqref="G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1" t="s">
        <v>2</v>
      </c>
      <c r="F2" s="6" t="s">
        <v>142</v>
      </c>
      <c r="G2" t="s">
        <v>438</v>
      </c>
    </row>
    <row r="3" spans="1:7">
      <c r="A3" s="3" t="s">
        <v>2</v>
      </c>
      <c r="B3" s="3" t="s">
        <v>3</v>
      </c>
      <c r="E3" s="61" t="s">
        <v>32</v>
      </c>
      <c r="F3" s="6">
        <v>100</v>
      </c>
    </row>
    <row r="4" spans="1:7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7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7">
      <c r="A9" s="3" t="s">
        <v>14</v>
      </c>
      <c r="B9" s="4" t="s">
        <v>15</v>
      </c>
      <c r="E9" s="61" t="s">
        <v>82</v>
      </c>
      <c r="F9" s="62">
        <v>1000</v>
      </c>
    </row>
    <row r="10" spans="1:7">
      <c r="A10" s="3" t="s">
        <v>16</v>
      </c>
      <c r="B10" s="4" t="s">
        <v>17</v>
      </c>
      <c r="E10" s="61" t="s">
        <v>80</v>
      </c>
      <c r="F10" s="62">
        <v>160</v>
      </c>
    </row>
    <row r="11" spans="1:7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7">
      <c r="A14" s="5"/>
      <c r="E14" s="61" t="s">
        <v>165</v>
      </c>
      <c r="F14" s="6">
        <f t="shared" si="0"/>
        <v>200</v>
      </c>
    </row>
    <row r="15" spans="1:7" ht="20.25">
      <c r="A15" s="1" t="s">
        <v>24</v>
      </c>
      <c r="E15" s="61" t="s">
        <v>52</v>
      </c>
      <c r="F15" s="6">
        <f t="shared" si="0"/>
        <v>210</v>
      </c>
    </row>
    <row r="16" spans="1:7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3" t="s">
        <v>168</v>
      </c>
    </row>
    <row r="2" spans="1:22" ht="15.75" thickBot="1">
      <c r="N2" t="s">
        <v>437</v>
      </c>
    </row>
    <row r="3" spans="1:22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  <c r="N3" s="118" t="s">
        <v>118</v>
      </c>
      <c r="O3" s="118" t="s">
        <v>424</v>
      </c>
      <c r="P3" s="118" t="s">
        <v>225</v>
      </c>
      <c r="Q3" s="118" t="s">
        <v>3</v>
      </c>
      <c r="S3" t="str">
        <f>R4&amp;R5&amp;R6&amp;R7&amp;R8&amp;R9&amp;R10&amp;R11</f>
        <v>10010111</v>
      </c>
      <c r="T3" t="str">
        <f>BIN2HEX(S3)</f>
        <v>97</v>
      </c>
      <c r="U3">
        <f>SUM(U4:U11)</f>
        <v>151</v>
      </c>
      <c r="V3" t="str">
        <f>DEC2HEX(U3)</f>
        <v>97</v>
      </c>
    </row>
    <row r="4" spans="1:22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  <c r="N4" s="118">
        <v>7</v>
      </c>
      <c r="O4" s="118" t="s">
        <v>230</v>
      </c>
      <c r="P4" s="119" t="s">
        <v>425</v>
      </c>
      <c r="Q4" s="119" t="s">
        <v>426</v>
      </c>
      <c r="R4">
        <f>Sign</f>
        <v>1</v>
      </c>
      <c r="S4">
        <f t="shared" ref="S4:S11" si="0">2^N4</f>
        <v>128</v>
      </c>
      <c r="U4">
        <f t="shared" ref="U4:U11" si="1">S4*R4</f>
        <v>128</v>
      </c>
    </row>
    <row r="5" spans="1:22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  <c r="N5" s="118">
        <v>6</v>
      </c>
      <c r="O5" s="118" t="s">
        <v>227</v>
      </c>
      <c r="P5" s="119" t="s">
        <v>427</v>
      </c>
      <c r="Q5" s="119" t="s">
        <v>428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  <c r="N6" s="118">
        <v>5</v>
      </c>
      <c r="O6" s="118">
        <v>0</v>
      </c>
      <c r="P6" s="119" t="s">
        <v>429</v>
      </c>
      <c r="Q6" s="119" t="s">
        <v>430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  <c r="N7" s="118">
        <v>4</v>
      </c>
      <c r="O7" s="118" t="s">
        <v>128</v>
      </c>
      <c r="P7" s="119" t="s">
        <v>234</v>
      </c>
      <c r="Q7" s="119" t="s">
        <v>431</v>
      </c>
      <c r="R7">
        <f>AC</f>
        <v>1</v>
      </c>
      <c r="S7">
        <f t="shared" si="0"/>
        <v>16</v>
      </c>
      <c r="U7">
        <f t="shared" si="1"/>
        <v>16</v>
      </c>
    </row>
    <row r="8" spans="1:22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  <c r="N8" s="118">
        <v>3</v>
      </c>
      <c r="O8" s="118">
        <v>0</v>
      </c>
      <c r="P8" s="119" t="s">
        <v>429</v>
      </c>
      <c r="Q8" s="119" t="s">
        <v>430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18">
        <v>2</v>
      </c>
      <c r="O9" s="118" t="s">
        <v>232</v>
      </c>
      <c r="P9" s="119" t="s">
        <v>432</v>
      </c>
      <c r="Q9" s="119" t="s">
        <v>433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18">
        <v>1</v>
      </c>
      <c r="O10" s="118">
        <v>1</v>
      </c>
      <c r="P10" s="119" t="s">
        <v>429</v>
      </c>
      <c r="Q10" s="119" t="s">
        <v>434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18">
        <v>0</v>
      </c>
      <c r="O11" s="118" t="s">
        <v>236</v>
      </c>
      <c r="P11" s="119" t="s">
        <v>435</v>
      </c>
      <c r="Q11" s="119" t="s">
        <v>436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69</vt:i4>
      </vt:variant>
    </vt:vector>
  </HeadingPairs>
  <TitlesOfParts>
    <vt:vector size="73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2026-02-17T00:16:48Z</dcterms:modified>
</cp:coreProperties>
</file>