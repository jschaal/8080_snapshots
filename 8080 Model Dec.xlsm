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9850" documentId="8_{5CDD6584-D218-4300-9EC8-76FBF9991BF3}" xr6:coauthVersionLast="47" xr6:coauthVersionMax="47" xr10:uidLastSave="{B0359487-658C-4840-A7FD-CB892D7B9773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37" i="5" a="1"/>
  <c r="J46" i="5" a="1"/>
  <c r="J269" i="5" a="1"/>
  <c r="J330" i="5" a="1"/>
  <c r="J191" i="5" a="1"/>
  <c r="J263" i="5" a="1"/>
  <c r="J179" i="5" a="1"/>
  <c r="J295" i="5" a="1"/>
  <c r="J312" i="5" a="1"/>
  <c r="J130" i="5" a="1"/>
  <c r="J212" i="5" a="1"/>
  <c r="J285" i="5" a="1"/>
  <c r="J313" i="5" a="1"/>
  <c r="J315" i="5" a="1"/>
  <c r="J333" i="5" a="1"/>
  <c r="J278" i="5" a="1"/>
  <c r="J267" i="5" a="1"/>
  <c r="J195" i="5" a="1"/>
  <c r="J156" i="5" a="1"/>
  <c r="J189" i="5" a="1"/>
  <c r="J237" i="5" a="1"/>
  <c r="J128" i="5" a="1"/>
  <c r="J129" i="5" a="1"/>
  <c r="J331" i="5" a="1"/>
  <c r="J226" i="5" a="1"/>
  <c r="J324" i="5" a="1"/>
  <c r="J293" i="5" a="1"/>
  <c r="J284" i="5" a="1"/>
  <c r="J143" i="5" a="1"/>
  <c r="J287" i="5" a="1"/>
  <c r="J168" i="5" a="1"/>
  <c r="J206" i="5" a="1"/>
  <c r="J141" i="5" a="1"/>
  <c r="J181" i="5" a="1"/>
  <c r="J286" i="5" a="1"/>
  <c r="J218" i="5" a="1"/>
  <c r="J276" i="5" a="1"/>
  <c r="J242" i="5" a="1"/>
  <c r="J185" i="5" a="1"/>
  <c r="J311" i="5" a="1"/>
  <c r="J283" i="5" a="1"/>
  <c r="J196" i="5" a="1"/>
  <c r="J198" i="5" a="1"/>
  <c r="J155" i="5" a="1"/>
  <c r="J241" i="5" a="1"/>
  <c r="J175" i="5" a="1"/>
  <c r="J271" i="5" a="1"/>
  <c r="J151" i="5" a="1"/>
  <c r="J249" i="5" a="1"/>
  <c r="J297" i="5" a="1"/>
  <c r="J300" i="5" a="1"/>
  <c r="J318" i="5" a="1"/>
  <c r="J306" i="5" a="1"/>
  <c r="J321" i="5" a="1"/>
  <c r="J227" i="5" a="1"/>
  <c r="J177" i="5" a="1"/>
  <c r="J145" i="5" a="1"/>
  <c r="J274" i="5" a="1"/>
  <c r="J262" i="5" a="1"/>
  <c r="J166" i="5" a="1"/>
  <c r="J171" i="5" a="1"/>
  <c r="J268" i="5" a="1"/>
  <c r="J200" i="5" a="1"/>
  <c r="J279" i="5" a="1"/>
  <c r="J296" i="5" a="1"/>
  <c r="J215" i="5" a="1"/>
  <c r="J153" i="5" a="1"/>
  <c r="J138" i="5" a="1"/>
  <c r="J132" i="5" a="1"/>
  <c r="J261" i="5" a="1"/>
  <c r="J282" i="5" a="1"/>
  <c r="J288" i="5" a="1"/>
  <c r="J167" i="5" a="1"/>
  <c r="J178" i="5" a="1"/>
  <c r="J329" i="5" a="1"/>
  <c r="J144" i="5" a="1"/>
  <c r="J176" i="5" a="1"/>
  <c r="J247" i="5" a="1"/>
  <c r="J158" i="5" a="1"/>
  <c r="J142" i="5" a="1"/>
  <c r="J152" i="5" a="1"/>
  <c r="J234" i="5" a="1"/>
  <c r="J255" i="5" a="1"/>
  <c r="J170" i="5" a="1"/>
  <c r="J320" i="5" a="1"/>
  <c r="J266" i="5" a="1"/>
  <c r="J236" i="5" a="1"/>
  <c r="J235" i="5" a="1"/>
  <c r="J126" i="5" a="1"/>
  <c r="J246" i="5" a="1"/>
  <c r="J243" i="5" a="1"/>
  <c r="J131" i="5" a="1"/>
  <c r="J270" i="5" a="1"/>
  <c r="J294" i="5" a="1"/>
  <c r="J188" i="5" a="1"/>
  <c r="J302" i="5" a="1"/>
  <c r="J256" i="5" a="1"/>
  <c r="J314" i="5" a="1"/>
  <c r="J305" i="5" a="1"/>
  <c r="J201" i="5" a="1"/>
  <c r="J165" i="5" a="1"/>
  <c r="J291" i="5" a="1"/>
  <c r="J187" i="5" a="1"/>
  <c r="J310" i="5" a="1"/>
  <c r="J322" i="5" a="1"/>
  <c r="J309" i="5" a="1"/>
  <c r="J275" i="5" a="1"/>
  <c r="J150" i="5" a="1"/>
  <c r="J245" i="5" a="1"/>
  <c r="J260" i="5" a="1"/>
  <c r="J127" i="5" a="1"/>
  <c r="J186" i="5" a="1"/>
  <c r="J277" i="5" a="1"/>
  <c r="J197" i="5" a="1"/>
  <c r="J248" i="5" a="1"/>
  <c r="J304" i="5" a="1"/>
  <c r="J323" i="5" a="1"/>
  <c r="J219" i="5" a="1"/>
  <c r="J327" i="5" a="1"/>
  <c r="J136" i="5" a="1"/>
  <c r="J303" i="5" a="1"/>
  <c r="J332" i="5" a="1"/>
  <c r="J228" i="5" a="1"/>
  <c r="J44" i="5" a="1"/>
  <c r="J199" i="5" a="1"/>
  <c r="J292" i="5" a="1"/>
  <c r="J225" i="5" a="1"/>
  <c r="J133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110" i="5" a="1"/>
  <c r="J91" i="5" a="1"/>
  <c r="J90" i="5" a="1"/>
  <c r="J87" i="5" a="1"/>
  <c r="J84" i="5" a="1"/>
  <c r="J107" i="5" a="1"/>
  <c r="J85" i="5" a="1"/>
  <c r="J102" i="5" a="1"/>
  <c r="J80" i="5" a="1"/>
  <c r="J108" i="5" a="1"/>
  <c r="J89" i="5" a="1"/>
  <c r="J101" i="5" a="1"/>
  <c r="J100" i="5" a="1"/>
  <c r="J109" i="5" a="1"/>
  <c r="J88" i="5" a="1"/>
  <c r="J99" i="5" a="1"/>
  <c r="J86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26" i="5" a="1"/>
  <c r="J69" i="5" a="1"/>
  <c r="J63" i="5" a="1"/>
  <c r="J60" i="5" a="1"/>
  <c r="J19" i="5" a="1"/>
  <c r="J78" i="5" a="1"/>
  <c r="J61" i="5" a="1"/>
  <c r="J52" i="5" a="1"/>
  <c r="J59" i="5" a="1"/>
  <c r="J70" i="5" a="1"/>
  <c r="J51" i="5" a="1"/>
  <c r="J77" i="5" a="1"/>
  <c r="J22" i="5" a="1"/>
  <c r="J79" i="5" a="1"/>
  <c r="J33" i="5" a="1"/>
  <c r="J72" i="5" a="1"/>
  <c r="J40" i="5" a="1"/>
  <c r="J35" i="5" a="1"/>
  <c r="J71" i="5" a="1"/>
  <c r="J31" i="5" a="1"/>
  <c r="J42" i="5" a="1"/>
  <c r="J12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6" i="5" a="1"/>
  <c r="J7" i="5" a="1"/>
  <c r="J5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<sst xmlns="http://schemas.openxmlformats.org/spreadsheetml/2006/main" count="1478" uniqueCount="429">
  <si>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</si>
  <si>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</si>
  <si>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</si>
  <si>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</si>
  <si>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</si>
  <si>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</si>
  <si>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</si>
  <si>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</si>
  <si>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</si>
  <si>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</si>
  <si>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</si>
  <si>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</si>
  <si>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</si>
  <si>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</si>
  <si>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</si>
  <si>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</si>
  <si>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</si>
  <si>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</si>
  <si>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</si>
  <si>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</si>
  <si>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</si>
  <si>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</si>
  <si>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</si>
  <si>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</si>
  <si>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</si>
  <si>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</si>
  <si>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</si>
  <si>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</si>
  <si>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</si>
  <si>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</si>
  <si>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</si>
  <si>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</si>
  <si>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</si>
  <si>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</si>
  <si>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</si>
  <si>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</si>
  <si>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</si>
  <si>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</si>
  <si>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</si>
  <si>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</si>
  <si>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</si>
  <si>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</si>
  <si>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</si>
  <si>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</si>
  <si>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</si>
  <si>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</si>
  <si>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</si>
  <si>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</si>
  <si>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</si>
  <si>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</si>
  <si>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</si>
  <si>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</si>
  <si>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</si>
  <si>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</si>
  <si>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</si>
  <si>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</si>
  <si>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</si>
  <si>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</si>
  <si>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</si>
  <si>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</si>
  <si>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</si>
  <si>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</si>
  <si>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</si>
  <si>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</si>
  <si>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</si>
  <si>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</si>
  <si>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</si>
  <si>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</si>
  <si>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</si>
  <si>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</si>
  <si>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</si>
  <si>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</si>
  <si>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</si>
  <si>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</si>
  <si>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</si>
  <si>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</si>
  <si>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</si>
  <si>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</si>
  <si>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</si>
  <si>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</si>
  <si>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</si>
  <si>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</si>
  <si>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</si>
  <si>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</si>
  <si>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</si>
  <si>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</si>
  <si>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</si>
  <si>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</si>
  <si>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</si>
  <si>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</si>
  <si>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</si>
  <si>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</si>
  <si>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</si>
  <si>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</si>
  <si>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</si>
  <si>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</si>
  <si>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</si>
  <si>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</si>
  <si>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</si>
  <si>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</si>
  <si>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</si>
  <si>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</si>
  <si>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</si>
  <si>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</si>
  <si>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</si>
  <si>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</si>
  <si>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</si>
  <si>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</si>
  <si>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</si>
  <si>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</si>
  <si>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</si>
  <si>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</si>
  <si>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</si>
  <si>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</si>
  <si>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</si>
  <si>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</si>
  <si>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</si>
  <si>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</si>
  <si>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</si>
  <si>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</si>
  <si>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</si>
  <si>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</si>
  <si>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</si>
  <si>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</si>
  <si>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</si>
  <si>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</si>
  <si>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</si>
  <si>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</si>
  <si>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</si>
  <si>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</si>
  <si>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</si>
  <si>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</si>
  <si>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</si>
  <si>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</si>
  <si>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</si>
  <si>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</si>
  <si>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</si>
  <si>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</si>
  <si>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</si>
  <si>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</si>
  <si>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</si>
  <si>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</si>
  <si>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</si>
  <si>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</si>
  <si>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</si>
  <si>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</si>
  <si>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</si>
  <si>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</si>
  <si>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</si>
  <si>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</si>
  <si>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</si>
  <si>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</si>
  <si>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</si>
  <si>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</si>
  <si>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</si>
  <si>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</si>
  <si>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</si>
  <si>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</si>
  <si>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</si>
  <si>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</si>
  <si>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</si>
  <si>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</si>
  <si>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</si>
  <si>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</si>
  <si>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</si>
  <si>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</si>
  <si>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</si>
  <si>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</si>
  <si>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</si>
  <si>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</si>
  <si>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</si>
  <si>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</si>
  <si>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</si>
  <si>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</si>
  <si>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</si>
  <si>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</si>
  <si>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</si>
  <si>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</si>
  <si>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</si>
  <si>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</si>
  <si>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</si>
  <si>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</si>
  <si>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</si>
  <si>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</si>
  <si>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</si>
  <si>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</si>
  <si>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</si>
  <si>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</si>
  <si>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</si>
  <si>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</si>
  <si>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</si>
  <si>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</si>
  <si>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</si>
  <si>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</si>
  <si>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</si>
  <si>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</si>
  <si>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</si>
  <si>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</si>
  <si>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</si>
  <si>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</si>
  <si>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</si>
  <si>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</si>
  <si>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</si>
  <si>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</si>
  <si>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</si>
  <si>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</si>
  <si>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</si>
  <si>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</si>
  <si>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</si>
  <si>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</si>
  <si>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</si>
  <si>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</si>
  <si>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</si>
  <si>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</si>
  <si>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</si>
  <si>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</si>
  <si>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</si>
  <si>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</si>
  <si>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</si>
  <si>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</si>
  <si>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</si>
  <si>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</si>
  <si>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</si>
  <si>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</si>
  <si>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</si>
  <si>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</si>
  <si>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</si>
  <si>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</si>
  <si>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</si>
  <si>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</si>
  <si>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</si>
  <si>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</si>
  <si>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</si>
  <si>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</si>
  <si>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</si>
  <si>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</si>
  <si>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</si>
  <si>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</si>
  <si>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</si>
  <si>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</si>
  <si>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</si>
  <si>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</si>
  <si>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</si>
  <si>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</si>
  <si>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</si>
  <si>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</si>
  <si>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</si>
  <si>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</si>
  <si>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</si>
  <si>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</si>
  <si>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</si>
  <si>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</si>
  <si>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</si>
  <si>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</si>
  <si>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</si>
  <si>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</si>
  <si>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</si>
  <si>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</si>
  <si>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</si>
  <si>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</si>
  <si>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</si>
  <si>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</si>
  <si>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</si>
  <si>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</si>
  <si>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</si>
  <si>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</si>
  <si>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</si>
  <si>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</si>
  <si>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</si>
  <si>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</si>
  <si>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</si>
  <si>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</si>
  <si>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</si>
  <si>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</si>
  <si>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</si>
  <si>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</si>
  <si>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</si>
  <si>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</si>
  <si>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</si>
  <si>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</si>
  <si>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</si>
  <si>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</si>
  <si>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</si>
  <si>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</si>
  <si>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</si>
  <si>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</si>
  <si>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</si>
  <si>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</si>
  <si>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</si>
  <si>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</si>
  <si>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</si>
  <si>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</si>
  <si>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</si>
  <si>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</si>
  <si>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</si>
  <si>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</si>
  <si>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</si>
  <si>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</si>
  <si>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</si>
  <si>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</si>
  <si>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</si>
  <si>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</si>
  <si>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</si>
  <si>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</si>
  <si>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</si>
  <si>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</si>
  <si>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</si>
  <si>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</si>
  <si>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</si>
  <si>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</si>
  <si>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</si>
  <si>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</si>
  <si>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</si>
  <si>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</si>
  <si>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</si>
  <si>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</si>
  <si>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</si>
  <si>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</si>
  <si>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</si>
  <si>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</si>
  <si>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</si>
  <si>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</si>
  <si>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</si>
  <si>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</si>
  <si>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</si>
  <si>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</si>
  <si>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</si>
  <si>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</si>
  <si>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</si>
  <si>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</si>
  <si>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</si>
  <si>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</si>
  <si>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</si>
  <si>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</si>
  <si>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</si>
  <si>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</si>
  <si>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</si>
  <si>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</si>
  <si>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</si>
  <si>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</si>
  <si>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</si>
  <si>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</si>
  <si>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</si>
  <si>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</si>
  <si>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PASS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</si>
  <si>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</si>
  <si>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</si>
  <si>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</si>
  <si>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</si>
  <si>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</si>
  <si>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</si>
  <si>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</si>
  <si>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</si>
  <si>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</si>
  <si>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</si>
  <si>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</si>
  <si>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</si>
  <si>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</si>
  <si>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</si>
  <si>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</si>
  <si>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</si>
  <si>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</si>
  <si>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</si>
  <si>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</si>
  <si>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</si>
  <si>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</si>
  <si>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</si>
  <si>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</si>
  <si>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</si>
  <si>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</si>
  <si>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</si>
  <si>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</si>
  <si>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</si>
  <si>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</si>
  <si>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</si>
  <si>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</si>
  <si>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</si>
  <si>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</si>
  <si>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</si>
  <si>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</si>
  <si>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</si>
  <si>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</si>
  <si>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</si>
  <si>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</si>
  <si>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</si>
  <si>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</si>
  <si>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</si>
  <si>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</si>
  <si>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</si>
  <si>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</si>
  <si>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</si>
  <si>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</si>
  <si>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</si>
  <si>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SKIPPED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</si>
  <si>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</si>
  <si>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</si>
  <si>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</si>
  <si>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</si>
  <si>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</si>
  <si>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</si>
  <si>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</si>
  <si>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</si>
  <si>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</si>
  <si>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</si>
  <si>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</si>
  <si>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</si>
  <si>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</si>
  <si>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</si>
  <si>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</si>
  <si>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</si>
  <si>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</si>
  <si>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</si>
  <si>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</si>
  <si>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</si>
  <si>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</si>
  <si>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</si>
  <si>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</si>
  <si>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</si>
  <si>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</si>
  <si>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</si>
  <si>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</si>
  <si>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</si>
  <si>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</si>
  <si>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</si>
  <si>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</si>
  <si>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</si>
  <si>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09</t>
  </si>
  <si>
    <t>0108</t>
  </si>
  <si>
    <t xml:space="preserve">&gt;Unit_T013:Hello WORLD!!!_x000D_
Goodbye USER_x000D_
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</si>
</sst>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5" borderId="49" xfId="0" applyFill="1" applyBorder="1" applyAlignment="1">
      <alignment horizontal="center"/>
    </xf>
    <xf numFmtId="0" fontId="0" fillId="14" borderId="50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51" xfId="0" applyFill="1" applyBorder="1"/>
    <xf numFmtId="0" fontId="0" fillId="0" borderId="0" xfId="0" quotePrefix="1"/>
    <xf numFmtId="0" fontId="0" fillId="14" borderId="1" xfId="0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</cellXfs>
  <cellStyles count="1">
    <cellStyle name="Normal" xfId="0" builtinId="0"/>
  </cellStyles>
  <dxfs count="20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19" t="s">
        <v>375</v>
      </c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1"/>
      <c r="AN1" s="67" t="s">
        <v>425</v>
      </c>
      <c r="AO1" s="67" t="s">
        <v>421</v>
      </c>
      <c r="AP1" s="6"/>
    </row>
    <row r="2" spans="1:42">
      <c r="A2" s="14" t="s">
        <v>135</v>
      </c>
      <c r="B2" s="15">
        <v>1</v>
      </c>
      <c r="AN2" s="118">
        <v>0</v>
      </c>
      <c r="AO2" s="118" t="s">
        <v>422</v>
      </c>
      <c r="AP2" s="6"/>
    </row>
    <row r="3" spans="1:42" ht="15.75" thickBot="1">
      <c r="A3" s="8" t="s">
        <v>134</v>
      </c>
      <c r="B3" s="13">
        <f>Line0</f>
        <v>256</v>
      </c>
      <c r="AN3" s="118">
        <v>0</v>
      </c>
      <c r="AO3" s="118" t="s">
        <v>423</v>
      </c>
      <c r="AP3" s="6"/>
    </row>
    <row r="4" spans="1:42" ht="15.75" thickBot="1">
      <c r="AA4" s="7" t="s">
        <v>413</v>
      </c>
      <c r="AB4" s="110">
        <f>HEX2DEC(AB5)</f>
        <v>63</v>
      </c>
      <c r="AC4" s="112">
        <f t="shared" ref="AC4:AJ4" si="0">AB4-AC5*AC6</f>
        <v>63</v>
      </c>
      <c r="AD4" s="113">
        <f t="shared" si="0"/>
        <v>63</v>
      </c>
      <c r="AE4" s="113">
        <f t="shared" si="0"/>
        <v>31</v>
      </c>
      <c r="AF4" s="113">
        <f t="shared" si="0"/>
        <v>15</v>
      </c>
      <c r="AG4" s="113">
        <f t="shared" si="0"/>
        <v>7</v>
      </c>
      <c r="AH4" s="113">
        <f t="shared" si="0"/>
        <v>3</v>
      </c>
      <c r="AI4" s="113">
        <f t="shared" si="0"/>
        <v>1</v>
      </c>
      <c r="AJ4" s="114">
        <f t="shared" si="0"/>
        <v>1</v>
      </c>
      <c r="AK4" t="s">
        <v>414</v>
      </c>
      <c r="AL4" t="s">
        <v>415</v>
      </c>
      <c r="AN4" s="118">
        <v>1</v>
      </c>
      <c r="AO4" s="118" t="s">
        <v>424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11" t="s">
        <v>412</v>
      </c>
      <c r="AC5" s="115">
        <f t="shared" ref="AC5:AJ5" si="1">IF(AB4&gt;AC6,1,0)</f>
        <v>0</v>
      </c>
      <c r="AD5" s="115">
        <f t="shared" si="1"/>
        <v>0</v>
      </c>
      <c r="AE5" s="115">
        <f t="shared" si="1"/>
        <v>1</v>
      </c>
      <c r="AF5" s="115">
        <f t="shared" si="1"/>
        <v>1</v>
      </c>
      <c r="AG5" s="115">
        <f t="shared" si="1"/>
        <v>1</v>
      </c>
      <c r="AH5" s="115">
        <f t="shared" si="1"/>
        <v>1</v>
      </c>
      <c r="AI5" s="115">
        <f t="shared" si="1"/>
        <v>1</v>
      </c>
      <c r="AJ5" s="115">
        <f t="shared" si="1"/>
        <v>1</v>
      </c>
      <c r="AK5" s="116">
        <f>SUM(AC5:AJ5)</f>
        <v>6</v>
      </c>
      <c r="AL5" s="116">
        <f>IF(AK5/2=INT(AK5/2),1,0)</f>
        <v>1</v>
      </c>
    </row>
    <row r="6" spans="1:42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15">
        <v>128</v>
      </c>
      <c r="AD6" s="115">
        <v>64</v>
      </c>
      <c r="AE6" s="115">
        <v>32</v>
      </c>
      <c r="AF6" s="115">
        <v>16</v>
      </c>
      <c r="AG6" s="115">
        <v>8</v>
      </c>
      <c r="AH6" s="115">
        <v>4</v>
      </c>
      <c r="AI6" s="115">
        <v>2</v>
      </c>
      <c r="AJ6" s="115">
        <v>0</v>
      </c>
    </row>
    <row r="7" spans="1:42" ht="15.75" thickBot="1">
      <c r="A7" s="27">
        <v>1</v>
      </c>
      <c r="B7" s="24" t="s">
        <v>122</v>
      </c>
      <c r="C7" s="45">
        <v>0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0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5"/>
      <c r="AD7" s="115"/>
      <c r="AE7" s="115"/>
      <c r="AF7" s="115"/>
      <c r="AG7" s="115"/>
      <c r="AH7" s="115"/>
      <c r="AI7" s="115"/>
      <c r="AJ7" s="115"/>
    </row>
    <row r="8" spans="1:42">
      <c r="A8" s="27">
        <v>2</v>
      </c>
      <c r="B8" s="24" t="s">
        <v>123</v>
      </c>
      <c r="C8" s="45">
        <v>0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301</v>
      </c>
      <c r="Q8" s="103" t="s">
        <v>315</v>
      </c>
      <c r="R8" s="104" t="s">
        <v>302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>
        <v>0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198</v>
      </c>
      <c r="Q9" s="103" t="s">
        <v>249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>
        <v>0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198</v>
      </c>
      <c r="Q10" s="103" t="s">
        <v>253</v>
      </c>
      <c r="R10" s="104" t="s">
        <v>312</v>
      </c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307</v>
      </c>
      <c r="D11" s="34" t="str">
        <f t="shared" si="2"/>
        <v>.</v>
      </c>
      <c r="E11" s="35">
        <f t="shared" si="3"/>
        <v>1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198</v>
      </c>
      <c r="Q11" s="103" t="s">
        <v>248</v>
      </c>
      <c r="R11" s="104" t="s">
        <v>313</v>
      </c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426</v>
      </c>
      <c r="D12" s="34" t="str">
        <f t="shared" si="2"/>
        <v>.</v>
      </c>
      <c r="E12" s="35">
        <f t="shared" si="3"/>
        <v>9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 t="s">
        <v>301</v>
      </c>
      <c r="Q12" s="103" t="s">
        <v>315</v>
      </c>
      <c r="R12" s="104" t="s">
        <v>305</v>
      </c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427</v>
      </c>
      <c r="D13" s="34" t="str">
        <f t="shared" si="2"/>
        <v>.</v>
      </c>
      <c r="E13" s="35">
        <f t="shared" si="3"/>
        <v>264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 t="s">
        <v>198</v>
      </c>
      <c r="Q13" s="103" t="s">
        <v>249</v>
      </c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300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 t="s">
        <v>198</v>
      </c>
      <c r="Q14" s="103" t="s">
        <v>252</v>
      </c>
      <c r="R14" s="104" t="s">
        <v>314</v>
      </c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 t="s">
        <v>192</v>
      </c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>D</v>
      </c>
      <c r="M16" s="38" t="str">
        <f t="shared" si="4"/>
        <v>0108</v>
      </c>
      <c r="N16" s="66">
        <f t="shared" si="6"/>
        <v>264</v>
      </c>
      <c r="O16" s="101" t="s">
        <v>302</v>
      </c>
      <c r="P16" s="102" t="s">
        <v>304</v>
      </c>
      <c r="Q16" s="103" t="s">
        <v>303</v>
      </c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>D</v>
      </c>
      <c r="M17" s="38" t="str">
        <f t="shared" si="4"/>
        <v>0109</v>
      </c>
      <c r="N17" s="66">
        <f t="shared" si="6"/>
        <v>265</v>
      </c>
      <c r="O17" s="101" t="s">
        <v>305</v>
      </c>
      <c r="P17" s="102" t="s">
        <v>304</v>
      </c>
      <c r="Q17" s="103" t="s">
        <v>306</v>
      </c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308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309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310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311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4" priority="24" operator="equal">
      <formula>0</formula>
    </cfRule>
    <cfRule type="cellIs" dxfId="203" priority="25" operator="greaterThan">
      <formula>0</formula>
    </cfRule>
  </conditionalFormatting>
  <conditionalFormatting sqref="F1:V1">
    <cfRule type="containsText" dxfId="202" priority="15" operator="containsText" text="Halted">
      <formula>NOT(ISERROR(SEARCH("Halted",F1)))</formula>
    </cfRule>
    <cfRule type="containsText" dxfId="201" priority="22" operator="containsText" text="Execution Complete">
      <formula>NOT(ISERROR(SEARCH("Execution Complete",F1)))</formula>
    </cfRule>
    <cfRule type="containsText" dxfId="200" priority="23" operator="containsText" text="Error">
      <formula>NOT(ISERROR(SEARCH("Error",F1)))</formula>
    </cfRule>
  </conditionalFormatting>
  <conditionalFormatting sqref="P22:R1070">
    <cfRule type="expression" dxfId="199" priority="47">
      <formula>$N22=$E$13</formula>
    </cfRule>
  </conditionalFormatting>
  <conditionalFormatting sqref="M7:S7 M22:S1070 M8:N21 S8:S21">
    <cfRule type="containsText" dxfId="198" priority="3" operator="containsText" text=" ">
      <formula>NOT(ISERROR(SEARCH(" ",M7)))</formula>
    </cfRule>
  </conditionalFormatting>
  <conditionalFormatting sqref="AC5:AL5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ySplit="2" topLeftCell="A6" activePane="bottomLeft" state="frozen"/>
      <selection pane="bottomLeft" activeCell="R6" sqref="R6:R3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0108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318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09" t="s">
        <v>393</v>
      </c>
      <c r="L4" s="70" t="s">
        <v>267</v>
      </c>
      <c r="M4" s="20">
        <f>IFERROR(VLOOKUP(A4,$P$6:$R$1048576,3,0),0)</f>
        <v>0</v>
      </c>
      <c r="U4" s="131" t="s">
        <v>342</v>
      </c>
      <c r="V4" s="132"/>
      <c r="W4" s="132"/>
      <c r="X4" s="132"/>
      <c r="Y4" s="132"/>
      <c r="Z4" s="132"/>
      <c r="AA4" s="132"/>
      <c r="AB4" s="133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395</v>
      </c>
      <c r="R5" s="93" t="s">
        <v>243</v>
      </c>
      <c r="U5" s="122" t="s">
        <v>428</v>
      </c>
      <c r="V5" s="123"/>
      <c r="W5" s="123"/>
      <c r="X5" s="123"/>
      <c r="Y5" s="123"/>
      <c r="Z5" s="123"/>
      <c r="AA5" s="123"/>
      <c r="AB5" s="124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318</v>
      </c>
      <c r="Q6" s="40" t="str">
        <f t="shared" ref="Q6:Q30" si="1">IFERROR(VLOOKUP(P6,$A$4:$L$1048576,12,0),"")</f>
        <v xml:space="preserve">MVI and MOV </v>
      </c>
      <c r="R6" s="40">
        <v>0</v>
      </c>
      <c r="U6" s="125"/>
      <c r="V6" s="126"/>
      <c r="W6" s="126"/>
      <c r="X6" s="126"/>
      <c r="Y6" s="126"/>
      <c r="Z6" s="126"/>
      <c r="AA6" s="126"/>
      <c r="AB6" s="127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319</v>
      </c>
      <c r="Q7" s="40" t="str">
        <f t="shared" si="1"/>
        <v>PUSH PSW</v>
      </c>
      <c r="R7" s="40">
        <v>0</v>
      </c>
      <c r="U7" s="125"/>
      <c r="V7" s="126"/>
      <c r="W7" s="126"/>
      <c r="X7" s="126"/>
      <c r="Y7" s="126"/>
      <c r="Z7" s="126"/>
      <c r="AA7" s="126"/>
      <c r="AB7" s="127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320</v>
      </c>
      <c r="Q8" s="40" t="str">
        <f t="shared" si="1"/>
        <v>CALL &amp; RET</v>
      </c>
      <c r="R8" s="40">
        <v>0</v>
      </c>
      <c r="U8" s="125"/>
      <c r="V8" s="126"/>
      <c r="W8" s="126"/>
      <c r="X8" s="126"/>
      <c r="Y8" s="126"/>
      <c r="Z8" s="126"/>
      <c r="AA8" s="126"/>
      <c r="AB8" s="127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322</v>
      </c>
      <c r="Q9" s="40" t="str">
        <f t="shared" si="1"/>
        <v>INR</v>
      </c>
      <c r="R9" s="40">
        <v>0</v>
      </c>
      <c r="U9" s="125"/>
      <c r="V9" s="126"/>
      <c r="W9" s="126"/>
      <c r="X9" s="126"/>
      <c r="Y9" s="126"/>
      <c r="Z9" s="126"/>
      <c r="AA9" s="126"/>
      <c r="AB9" s="127"/>
    </row>
    <row r="10" spans="1:28" ht="15.75" thickBot="1">
      <c r="H10" s="52"/>
      <c r="I10" s="52"/>
      <c r="J10" s="52"/>
      <c r="K10" s="52"/>
      <c r="P10" s="6" t="s">
        <v>321</v>
      </c>
      <c r="Q10" s="40" t="str">
        <f t="shared" si="1"/>
        <v>DCR</v>
      </c>
      <c r="R10" s="40">
        <v>0</v>
      </c>
      <c r="U10" s="125"/>
      <c r="V10" s="126"/>
      <c r="W10" s="126"/>
      <c r="X10" s="126"/>
      <c r="Y10" s="126"/>
      <c r="Z10" s="126"/>
      <c r="AA10" s="126"/>
      <c r="AB10" s="127"/>
    </row>
    <row r="11" spans="1:28" ht="15.75" thickBot="1">
      <c r="A11" s="20" t="s">
        <v>319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09" t="s">
        <v>393</v>
      </c>
      <c r="L11" s="70" t="s">
        <v>269</v>
      </c>
      <c r="M11" s="20">
        <f>IFERROR(VLOOKUP(A11,$P$6:$R$1048576,3,0),0)</f>
        <v>0</v>
      </c>
      <c r="P11" s="6" t="s">
        <v>323</v>
      </c>
      <c r="Q11" s="40" t="str">
        <f t="shared" si="1"/>
        <v>Zero Flag Test - Positive</v>
      </c>
      <c r="R11" s="40">
        <v>0</v>
      </c>
      <c r="U11" s="125"/>
      <c r="V11" s="126"/>
      <c r="W11" s="126"/>
      <c r="X11" s="126"/>
      <c r="Y11" s="126"/>
      <c r="Z11" s="126"/>
      <c r="AA11" s="126"/>
      <c r="AB11" s="127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324</v>
      </c>
      <c r="Q12" s="40" t="str">
        <f t="shared" si="1"/>
        <v>Zero Flag Test - Negative</v>
      </c>
      <c r="R12" s="40">
        <v>0</v>
      </c>
      <c r="U12" s="125"/>
      <c r="V12" s="126"/>
      <c r="W12" s="126"/>
      <c r="X12" s="126"/>
      <c r="Y12" s="126"/>
      <c r="Z12" s="126"/>
      <c r="AA12" s="126"/>
      <c r="AB12" s="127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325</v>
      </c>
      <c r="Q13" s="40" t="str">
        <f t="shared" si="1"/>
        <v>ORA Test One</v>
      </c>
      <c r="R13" s="40">
        <v>0</v>
      </c>
      <c r="U13" s="125"/>
      <c r="V13" s="126"/>
      <c r="W13" s="126"/>
      <c r="X13" s="126"/>
      <c r="Y13" s="126"/>
      <c r="Z13" s="126"/>
      <c r="AA13" s="126"/>
      <c r="AB13" s="127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326</v>
      </c>
      <c r="Q14" s="40" t="str">
        <f t="shared" si="1"/>
        <v>ORA Test Two</v>
      </c>
      <c r="R14" s="40">
        <v>0</v>
      </c>
      <c r="U14" s="125"/>
      <c r="V14" s="126"/>
      <c r="W14" s="126"/>
      <c r="X14" s="126"/>
      <c r="Y14" s="126"/>
      <c r="Z14" s="126"/>
      <c r="AA14" s="126"/>
      <c r="AB14" s="127"/>
    </row>
    <row r="15" spans="1:28" ht="15.75" thickBot="1">
      <c r="H15" s="52"/>
      <c r="I15" s="52"/>
      <c r="J15" s="52"/>
      <c r="K15" s="52"/>
      <c r="P15" s="6" t="s">
        <v>327</v>
      </c>
      <c r="Q15" s="40" t="str">
        <f t="shared" si="1"/>
        <v>AC Parity and Sign</v>
      </c>
      <c r="R15" s="40">
        <v>0</v>
      </c>
      <c r="U15" s="125"/>
      <c r="V15" s="126"/>
      <c r="W15" s="126"/>
      <c r="X15" s="126"/>
      <c r="Y15" s="126"/>
      <c r="Z15" s="126"/>
      <c r="AA15" s="126"/>
      <c r="AB15" s="127"/>
    </row>
    <row r="16" spans="1:28" ht="15.75" thickBot="1">
      <c r="A16" s="20" t="s">
        <v>320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09" t="s">
        <v>393</v>
      </c>
      <c r="L16" s="70" t="s">
        <v>270</v>
      </c>
      <c r="M16" s="20">
        <f>IFERROR(VLOOKUP(A16,$P$6:$R$1048576,3,0),0)</f>
        <v>0</v>
      </c>
      <c r="P16" s="6" t="s">
        <v>328</v>
      </c>
      <c r="Q16" s="40" t="str">
        <f t="shared" si="1"/>
        <v>Unit_DCR_AC_SET_00</v>
      </c>
      <c r="R16" s="40">
        <v>0</v>
      </c>
      <c r="U16" s="125"/>
      <c r="V16" s="126"/>
      <c r="W16" s="126"/>
      <c r="X16" s="126"/>
      <c r="Y16" s="126"/>
      <c r="Z16" s="126"/>
      <c r="AA16" s="126"/>
      <c r="AB16" s="127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329</v>
      </c>
      <c r="Q17" s="40" t="str">
        <f t="shared" si="1"/>
        <v>Unit_DCR_AC_SET_10</v>
      </c>
      <c r="R17" s="40">
        <v>0</v>
      </c>
      <c r="U17" s="125"/>
      <c r="V17" s="126"/>
      <c r="W17" s="126"/>
      <c r="X17" s="126"/>
      <c r="Y17" s="126"/>
      <c r="Z17" s="126"/>
      <c r="AA17" s="126"/>
      <c r="AB17" s="127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330</v>
      </c>
      <c r="Q18" s="40" t="str">
        <f t="shared" si="1"/>
        <v>Console Print</v>
      </c>
      <c r="R18" s="40">
        <v>0</v>
      </c>
      <c r="U18" s="125"/>
      <c r="V18" s="126"/>
      <c r="W18" s="126"/>
      <c r="X18" s="126"/>
      <c r="Y18" s="126"/>
      <c r="Z18" s="126"/>
      <c r="AA18" s="126"/>
      <c r="AB18" s="127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331</v>
      </c>
      <c r="Q19" s="40" t="str">
        <f t="shared" si="1"/>
        <v xml:space="preserve"> MOV matrix (no flags)</v>
      </c>
      <c r="R19" s="40">
        <v>0</v>
      </c>
      <c r="U19" s="125"/>
      <c r="V19" s="126"/>
      <c r="W19" s="126"/>
      <c r="X19" s="126"/>
      <c r="Y19" s="126"/>
      <c r="Z19" s="126"/>
      <c r="AA19" s="126"/>
      <c r="AB19" s="127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332</v>
      </c>
      <c r="Q20" s="40" t="str">
        <f t="shared" si="1"/>
        <v>ORA sets S/Z/P and clears CY/AC</v>
      </c>
      <c r="R20" s="40">
        <v>0</v>
      </c>
      <c r="U20" s="125"/>
      <c r="V20" s="126"/>
      <c r="W20" s="126"/>
      <c r="X20" s="126"/>
      <c r="Y20" s="126"/>
      <c r="Z20" s="126"/>
      <c r="AA20" s="126"/>
      <c r="AB20" s="127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333</v>
      </c>
      <c r="Q21" s="40" t="str">
        <f t="shared" si="1"/>
        <v>INR edge cases (AC and Zero transitions)</v>
      </c>
      <c r="R21" s="40">
        <v>0</v>
      </c>
      <c r="U21" s="125"/>
      <c r="V21" s="126"/>
      <c r="W21" s="126"/>
      <c r="X21" s="126"/>
      <c r="Y21" s="126"/>
      <c r="Z21" s="126"/>
      <c r="AA21" s="126"/>
      <c r="AB21" s="127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334</v>
      </c>
      <c r="Q22" s="40" t="str">
        <f t="shared" si="1"/>
        <v>DCR edge cases (AC/Parity/Sign)</v>
      </c>
      <c r="R22" s="40">
        <v>0</v>
      </c>
      <c r="U22" s="125"/>
      <c r="V22" s="126"/>
      <c r="W22" s="126"/>
      <c r="X22" s="126"/>
      <c r="Y22" s="126"/>
      <c r="Z22" s="126"/>
      <c r="AA22" s="126"/>
      <c r="AB22" s="127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335</v>
      </c>
      <c r="Q23" s="40" t="str">
        <f t="shared" si="1"/>
        <v>LXI into B/D/H and SP</v>
      </c>
      <c r="R23" s="40">
        <v>0</v>
      </c>
      <c r="U23" s="125"/>
      <c r="V23" s="126"/>
      <c r="W23" s="126"/>
      <c r="X23" s="126"/>
      <c r="Y23" s="126"/>
      <c r="Z23" s="126"/>
      <c r="AA23" s="126"/>
      <c r="AB23" s="127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336</v>
      </c>
      <c r="Q24" s="40" t="str">
        <f t="shared" si="1"/>
        <v>PUSH/POP pairs (B&amp;H)</v>
      </c>
      <c r="R24" s="40">
        <v>0</v>
      </c>
      <c r="U24" s="128"/>
      <c r="V24" s="129"/>
      <c r="W24" s="129"/>
      <c r="X24" s="129"/>
      <c r="Y24" s="129"/>
      <c r="Z24" s="129"/>
      <c r="AA24" s="129"/>
      <c r="AB24" s="130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355</v>
      </c>
      <c r="Q25" s="40" t="str">
        <f t="shared" si="1"/>
        <v>PUSH/POP PSW round‑trip (flags + A)</v>
      </c>
      <c r="R25" s="40">
        <v>0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357</v>
      </c>
      <c r="Q26" s="40" t="str">
        <f t="shared" si="1"/>
        <v>JMP direct</v>
      </c>
      <c r="R26" s="40">
        <v>0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358</v>
      </c>
      <c r="Q27" s="40" t="str">
        <f t="shared" si="1"/>
        <v>JZ/JNZ (taken/not taken)</v>
      </c>
      <c r="R27" s="40">
        <v>0</v>
      </c>
    </row>
    <row r="28" spans="1:28" ht="15.75" thickBot="1">
      <c r="H28" s="52"/>
      <c r="I28" s="52"/>
      <c r="J28" s="52"/>
      <c r="K28" s="52"/>
      <c r="P28" s="6" t="s">
        <v>361</v>
      </c>
      <c r="Q28" s="40" t="str">
        <f t="shared" si="1"/>
        <v>JP/JM (Sign)</v>
      </c>
      <c r="R28" s="40">
        <v>0</v>
      </c>
    </row>
    <row r="29" spans="1:28" ht="15.75" thickBot="1">
      <c r="A29" s="20" t="s">
        <v>322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09" t="s">
        <v>393</v>
      </c>
      <c r="L29" s="70" t="s">
        <v>216</v>
      </c>
      <c r="M29" s="20">
        <f>IFERROR(VLOOKUP(A29,$P$6:$R$1048576,3,0),0)</f>
        <v>0</v>
      </c>
      <c r="P29" s="6" t="s">
        <v>362</v>
      </c>
      <c r="Q29" s="40" t="str">
        <f t="shared" si="1"/>
        <v>JPE/JPO (Parity)</v>
      </c>
      <c r="R29" s="40">
        <v>0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363</v>
      </c>
      <c r="Q30" s="40" t="str">
        <f t="shared" si="1"/>
        <v>EQU + LXI (symbol resolution)</v>
      </c>
      <c r="R30" s="40">
        <v>0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1</v>
      </c>
      <c r="K31" s="56"/>
      <c r="L31" s="6"/>
      <c r="P31" s="6" t="s">
        <v>388</v>
      </c>
      <c r="Q31" s="40" t="str">
        <f t="shared" ref="Q31:Q33" si="7">IFERROR(VLOOKUP(P31,$A$4:$L$1048576,12,0),"")</f>
        <v>ORI Label Test</v>
      </c>
      <c r="R31" s="40">
        <v>0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390</v>
      </c>
      <c r="Q32" s="40" t="str">
        <f t="shared" si="7"/>
        <v>ORI Immediate</v>
      </c>
      <c r="R32" s="40">
        <v>0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391</v>
      </c>
      <c r="Q33" s="40" t="str">
        <f t="shared" si="7"/>
        <v>ORI Zero Result</v>
      </c>
      <c r="R33" s="40">
        <v>0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397</v>
      </c>
      <c r="Q34" s="40" t="str">
        <f t="shared" ref="Q34:Q43" si="10">IFERROR(VLOOKUP(P34,$A$4:$L$1048576,12,0),"")</f>
        <v>ADD (register) with Aux Carry</v>
      </c>
      <c r="R34" s="40">
        <v>0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398</v>
      </c>
      <c r="Q35" s="40" t="str">
        <f t="shared" si="10"/>
        <v>ADD (register) with full Carry and Zero</v>
      </c>
      <c r="R35" s="40">
        <v>0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399</v>
      </c>
      <c r="Q36" s="40" t="str">
        <f t="shared" si="10"/>
        <v>ADI (immediate)</v>
      </c>
      <c r="R36" s="40">
        <v>0</v>
      </c>
    </row>
    <row r="37" spans="1:18" ht="15.75" thickBot="1">
      <c r="H37" s="52"/>
      <c r="I37" s="52"/>
      <c r="J37" s="52"/>
      <c r="K37" s="52"/>
      <c r="P37" s="6" t="s">
        <v>400</v>
      </c>
      <c r="Q37" s="40" t="str">
        <f t="shared" si="10"/>
        <v>ANA (register)</v>
      </c>
      <c r="R37" s="40">
        <v>0</v>
      </c>
    </row>
    <row r="38" spans="1:18" ht="15.75" thickBot="1">
      <c r="A38" s="20" t="s">
        <v>321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09" t="s">
        <v>393</v>
      </c>
      <c r="L38" s="70" t="s">
        <v>240</v>
      </c>
      <c r="M38" s="20">
        <f>IFERROR(VLOOKUP(A38,$P$6:$R$1048576,3,0),0)</f>
        <v>0</v>
      </c>
      <c r="P38" s="6" t="s">
        <v>401</v>
      </c>
      <c r="Q38" s="40" t="str">
        <f t="shared" si="10"/>
        <v>ANI (immediate) → Zero case</v>
      </c>
      <c r="R38" s="40">
        <v>0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402</v>
      </c>
      <c r="Q39" s="40" t="str">
        <f t="shared" si="10"/>
        <v>CPI (immediate) → Borrow (A &lt; data)</v>
      </c>
      <c r="R39" s="40">
        <v>0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1</v>
      </c>
      <c r="K40" s="55"/>
      <c r="L40" s="40"/>
      <c r="P40" s="6" t="s">
        <v>403</v>
      </c>
      <c r="Q40" s="40" t="str">
        <f t="shared" si="10"/>
        <v/>
      </c>
      <c r="R40" s="40"/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404</v>
      </c>
      <c r="Q41" s="40" t="str">
        <f t="shared" si="10"/>
        <v/>
      </c>
      <c r="R41" s="40"/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405</v>
      </c>
      <c r="Q42" s="40" t="str">
        <f t="shared" si="10"/>
        <v/>
      </c>
      <c r="R42" s="40"/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406</v>
      </c>
      <c r="Q43" s="40" t="str">
        <f t="shared" si="10"/>
        <v/>
      </c>
      <c r="R43" s="40"/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323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09" t="s">
        <v>393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1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324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09" t="s">
        <v>393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325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09" t="s">
        <v>393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326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09" t="s">
        <v>393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0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1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327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09" t="s">
        <v>393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1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328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09" t="s">
        <v>393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0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329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09" t="s">
        <v>393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0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330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0</v>
      </c>
      <c r="K113" s="108" t="s">
        <v>344</v>
      </c>
      <c r="L113" s="70" t="s">
        <v>316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301</v>
      </c>
      <c r="F114" s="103" t="s">
        <v>315</v>
      </c>
      <c r="G114" s="104" t="s">
        <v>302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312</v>
      </c>
      <c r="H116" s="55" t="s">
        <v>317</v>
      </c>
      <c r="I116" s="86" t="s">
        <v>343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313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301</v>
      </c>
      <c r="F118" s="103" t="s">
        <v>315</v>
      </c>
      <c r="G118" s="104" t="s">
        <v>305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314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302</v>
      </c>
      <c r="E122" s="102" t="s">
        <v>304</v>
      </c>
      <c r="F122" s="103" t="s">
        <v>303</v>
      </c>
      <c r="G122" s="104"/>
      <c r="H122" s="55" t="s">
        <v>317</v>
      </c>
      <c r="I122" s="86" t="s">
        <v>303</v>
      </c>
      <c r="J122" s="100" t="b">
        <f>NOT(ISERROR(FIND(I122,consoleText)))</f>
        <v>1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305</v>
      </c>
      <c r="E123" s="102" t="s">
        <v>304</v>
      </c>
      <c r="F123" s="103" t="s">
        <v>306</v>
      </c>
      <c r="G123" s="104"/>
      <c r="H123" s="55" t="s">
        <v>317</v>
      </c>
      <c r="I123" s="86" t="s">
        <v>306</v>
      </c>
      <c r="J123" s="100" t="b">
        <f>NOT(ISERROR(FIND(I123,consoleText)))</f>
        <v>1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331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09" t="s">
        <v>393</v>
      </c>
      <c r="L125" s="70" t="s">
        <v>340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337</v>
      </c>
      <c r="H126" s="55" t="s">
        <v>154</v>
      </c>
      <c r="I126" s="86" t="s">
        <v>337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338</v>
      </c>
      <c r="H128" s="55" t="s">
        <v>190</v>
      </c>
      <c r="I128" s="86" t="s">
        <v>338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338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315</v>
      </c>
      <c r="G131" s="104" t="s">
        <v>154</v>
      </c>
      <c r="H131" s="55" t="s">
        <v>315</v>
      </c>
      <c r="I131" s="86" t="s">
        <v>337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339</v>
      </c>
      <c r="G132" s="104" t="s">
        <v>315</v>
      </c>
      <c r="H132" s="55" t="s">
        <v>339</v>
      </c>
      <c r="I132" s="86" t="s">
        <v>337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332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09" t="s">
        <v>393</v>
      </c>
      <c r="L135" s="70" t="s">
        <v>341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307</v>
      </c>
      <c r="H138" s="55" t="s">
        <v>190</v>
      </c>
      <c r="I138" s="86" t="s">
        <v>307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0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333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09" t="s">
        <v>393</v>
      </c>
      <c r="L148" s="70" t="s">
        <v>345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1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346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1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334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09" t="s">
        <v>393</v>
      </c>
      <c r="L163" s="70" t="s">
        <v>352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0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335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09" t="s">
        <v>393</v>
      </c>
      <c r="L174" s="70" t="s">
        <v>353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301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301</v>
      </c>
      <c r="F177" s="103" t="s">
        <v>191</v>
      </c>
      <c r="G177" s="104" t="s">
        <v>347</v>
      </c>
      <c r="H177" s="86" t="s">
        <v>191</v>
      </c>
      <c r="I177" s="86" t="s">
        <v>348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349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301</v>
      </c>
      <c r="F179" s="103" t="s">
        <v>315</v>
      </c>
      <c r="G179" s="104" t="s">
        <v>350</v>
      </c>
      <c r="H179" s="86" t="s">
        <v>315</v>
      </c>
      <c r="I179" s="86" t="s">
        <v>223</v>
      </c>
      <c r="J179" s="94" t="b" cm="1">
        <f t="array" aca="1" ref="J179" ca="1">RIGHT("00"&amp;INDIRECT("R_"&amp;H179),2)=RIGHT("00"&amp;I179,2)</f>
        <v>0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339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301</v>
      </c>
      <c r="F181" s="103" t="s">
        <v>114</v>
      </c>
      <c r="G181" s="104" t="s">
        <v>351</v>
      </c>
      <c r="H181" s="86" t="s">
        <v>114</v>
      </c>
      <c r="I181" s="86" t="s">
        <v>351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336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09" t="s">
        <v>393</v>
      </c>
      <c r="L184" s="70" t="s">
        <v>354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301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301</v>
      </c>
      <c r="F187" s="103" t="s">
        <v>191</v>
      </c>
      <c r="G187" s="104" t="s">
        <v>347</v>
      </c>
      <c r="H187" s="86" t="s">
        <v>191</v>
      </c>
      <c r="I187" s="86" t="s">
        <v>348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349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301</v>
      </c>
      <c r="F189" s="103" t="s">
        <v>315</v>
      </c>
      <c r="G189" s="104" t="s">
        <v>350</v>
      </c>
      <c r="H189" s="86" t="s">
        <v>315</v>
      </c>
      <c r="I189" s="86" t="s">
        <v>223</v>
      </c>
      <c r="J189" s="94" t="b" cm="1">
        <f t="array" aca="1" ref="J189" ca="1">RIGHT("00"&amp;INDIRECT("R_"&amp;H189),2)=RIGHT("00"&amp;I189,2)</f>
        <v>0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339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301</v>
      </c>
      <c r="F191" s="103" t="s">
        <v>114</v>
      </c>
      <c r="G191" s="104" t="s">
        <v>351</v>
      </c>
      <c r="H191" s="86" t="s">
        <v>114</v>
      </c>
      <c r="I191" s="86" t="s">
        <v>351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355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09" t="s">
        <v>393</v>
      </c>
      <c r="L194" s="70" t="s">
        <v>356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1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357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09" t="s">
        <v>393</v>
      </c>
      <c r="L204" s="70" t="s">
        <v>359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360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358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09" t="s">
        <v>393</v>
      </c>
      <c r="L211" s="70" t="s">
        <v>367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307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1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364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364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365</v>
      </c>
      <c r="F219" s="103" t="s">
        <v>366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366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361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09" t="s">
        <v>393</v>
      </c>
      <c r="L224" s="70" t="s">
        <v>368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307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371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369</v>
      </c>
      <c r="F227" s="103" t="s">
        <v>370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370</v>
      </c>
      <c r="E229" s="102" t="s">
        <v>149</v>
      </c>
      <c r="F229" s="103" t="s">
        <v>191</v>
      </c>
      <c r="G229" s="104" t="s">
        <v>371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307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372</v>
      </c>
      <c r="F232" s="103" t="s">
        <v>373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373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374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1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362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09" t="s">
        <v>393</v>
      </c>
      <c r="L240" s="70" t="s">
        <v>376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378</v>
      </c>
      <c r="H241" s="55" t="s">
        <v>154</v>
      </c>
      <c r="I241" s="86" t="s">
        <v>307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379</v>
      </c>
      <c r="F243" s="103" t="s">
        <v>380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380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1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307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381</v>
      </c>
      <c r="F248" s="103" t="s">
        <v>382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382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363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09" t="s">
        <v>393</v>
      </c>
      <c r="L253" s="70" t="s">
        <v>377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383</v>
      </c>
      <c r="E254" s="102" t="s">
        <v>166</v>
      </c>
      <c r="F254" s="103" t="s">
        <v>384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301</v>
      </c>
      <c r="F255" s="103" t="s">
        <v>315</v>
      </c>
      <c r="G255" s="104" t="s">
        <v>383</v>
      </c>
      <c r="H255" s="55" t="s">
        <v>315</v>
      </c>
      <c r="I255" s="86" t="s">
        <v>307</v>
      </c>
      <c r="J255" s="94" t="b" cm="1">
        <f t="array" aca="1" ref="J255" ca="1">RIGHT("00"&amp;INDIRECT("R_"&amp;H255),2)=RIGHT("00"&amp;I255,2)</f>
        <v>1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339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388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09" t="s">
        <v>393</v>
      </c>
      <c r="L259" s="70" t="s">
        <v>389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385</v>
      </c>
      <c r="E260" s="102" t="s">
        <v>166</v>
      </c>
      <c r="F260" s="103" t="s">
        <v>386</v>
      </c>
      <c r="G260" s="104"/>
      <c r="H260" s="55" t="s">
        <v>154</v>
      </c>
      <c r="I260" s="86" t="s">
        <v>387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385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390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09" t="s">
        <v>393</v>
      </c>
      <c r="L265" s="70" t="s">
        <v>392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0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391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09" t="s">
        <v>393</v>
      </c>
      <c r="L273" s="70" t="s">
        <v>394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1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0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397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09" t="s">
        <v>393</v>
      </c>
      <c r="L281" s="70" t="s">
        <v>396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307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407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1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398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09" t="s">
        <v>393</v>
      </c>
      <c r="L290" s="70" t="s">
        <v>408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1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307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407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0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399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09" t="s">
        <v>393</v>
      </c>
      <c r="L299" s="70" t="s">
        <v>416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409</v>
      </c>
      <c r="H300" s="55" t="s">
        <v>154</v>
      </c>
      <c r="I300" s="86" t="s">
        <v>412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410</v>
      </c>
      <c r="F301" s="103" t="s">
        <v>411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0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400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09" t="s">
        <v>393</v>
      </c>
      <c r="L308" s="70" t="s">
        <v>418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348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417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0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401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09" t="s">
        <v>393</v>
      </c>
      <c r="L317" s="70" t="s">
        <v>419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1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0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7"/>
      <c r="R325" s="117"/>
    </row>
    <row r="326" spans="1:18" ht="15.75" thickBot="1">
      <c r="A326" s="20" t="s">
        <v>402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09" t="s">
        <v>393</v>
      </c>
      <c r="L326" s="70" t="s">
        <v>420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0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5:AB24"/>
    <mergeCell ref="U4:AB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64</vt:i4>
      </vt:variant>
    </vt:vector>
  </HeadingPairs>
  <TitlesOfParts>
    <vt:vector size="68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2026-02-15T12:11:19Z</dcterms:modified>
</cp:coreProperties>
</file>