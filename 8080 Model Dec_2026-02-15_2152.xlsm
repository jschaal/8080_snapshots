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34BDDE32-82CA-4AC3-9CA2-5D7EB8D9F41F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CPU!$R$3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Dec">CPU!$O$3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58" i="5" a="1"/>
  <c r="J145" i="5" a="1"/>
  <c r="J294" i="5" a="1"/>
  <c r="J327" i="5" a="1"/>
  <c r="J313" i="5" a="1"/>
  <c r="J278" i="5" a="1"/>
  <c r="J268" i="5" a="1"/>
  <c r="J269" i="5" a="1"/>
  <c r="J144" i="5" a="1"/>
  <c r="J296" i="5" a="1"/>
  <c r="J131" i="5" a="1"/>
  <c r="J243" i="5" a="1"/>
  <c r="J132" i="5" a="1"/>
  <c r="J309" i="5" a="1"/>
  <c r="J285" i="5" a="1"/>
  <c r="J226" i="5" a="1"/>
  <c r="J318" i="5" a="1"/>
  <c r="J333" i="5" a="1"/>
  <c r="J186" i="5" a="1"/>
  <c r="J219" i="5" a="1"/>
  <c r="J152" i="5" a="1"/>
  <c r="J331" i="5" a="1"/>
  <c r="J235" i="5" a="1"/>
  <c r="J293" i="5" a="1"/>
  <c r="J215" i="5" a="1"/>
  <c r="J270" i="5" a="1"/>
  <c r="J218" i="5" a="1"/>
  <c r="J249" i="5" a="1"/>
  <c r="J260" i="5" a="1"/>
  <c r="J291" i="5" a="1"/>
  <c r="J225" i="5" a="1"/>
  <c r="J322" i="5" a="1"/>
  <c r="J129" i="5" a="1"/>
  <c r="J151" i="5" a="1"/>
  <c r="J171" i="5" a="1"/>
  <c r="J197" i="5" a="1"/>
  <c r="J311" i="5" a="1"/>
  <c r="J300" i="5" a="1"/>
  <c r="J206" i="5" a="1"/>
  <c r="J277" i="5" a="1"/>
  <c r="J155" i="5" a="1"/>
  <c r="J271" i="5" a="1"/>
  <c r="J320" i="5" a="1"/>
  <c r="J201" i="5" a="1"/>
  <c r="J330" i="5" a="1"/>
  <c r="J302" i="5" a="1"/>
  <c r="J247" i="5" a="1"/>
  <c r="J267" i="5" a="1"/>
  <c r="J237" i="5" a="1"/>
  <c r="J255" i="5" a="1"/>
  <c r="J324" i="5" a="1"/>
  <c r="J127" i="5" a="1"/>
  <c r="J227" i="5" a="1"/>
  <c r="J188" i="5" a="1"/>
  <c r="J138" i="5" a="1"/>
  <c r="J283" i="5" a="1"/>
  <c r="J295" i="5" a="1"/>
  <c r="J323" i="5" a="1"/>
  <c r="J286" i="5" a="1"/>
  <c r="J166" i="5" a="1"/>
  <c r="J167" i="5" a="1"/>
  <c r="J177" i="5" a="1"/>
  <c r="J279" i="5" a="1"/>
  <c r="J200" i="5" a="1"/>
  <c r="J142" i="5" a="1"/>
  <c r="J199" i="5" a="1"/>
  <c r="J179" i="5" a="1"/>
  <c r="J128" i="5" a="1"/>
  <c r="J288" i="5" a="1"/>
  <c r="J310" i="5" a="1"/>
  <c r="J329" i="5" a="1"/>
  <c r="J263" i="5" a="1"/>
  <c r="J245" i="5" a="1"/>
  <c r="J305" i="5" a="1"/>
  <c r="J198" i="5" a="1"/>
  <c r="J274" i="5" a="1"/>
  <c r="J303" i="5" a="1"/>
  <c r="J292" i="5" a="1"/>
  <c r="J143" i="5" a="1"/>
  <c r="J321" i="5" a="1"/>
  <c r="J141" i="5" a="1"/>
  <c r="J136" i="5" a="1"/>
  <c r="J314" i="5" a="1"/>
  <c r="J228" i="5" a="1"/>
  <c r="J246" i="5" a="1"/>
  <c r="J156" i="5" a="1"/>
  <c r="J304" i="5" a="1"/>
  <c r="J181" i="5" a="1"/>
  <c r="J262" i="5" a="1"/>
  <c r="J170" i="5" a="1"/>
  <c r="J256" i="5" a="1"/>
  <c r="J46" i="5" a="1"/>
  <c r="J44" i="5" a="1"/>
  <c r="J236" i="5" a="1"/>
  <c r="J191" i="5" a="1"/>
  <c r="J195" i="5" a="1"/>
  <c r="J168" i="5" a="1"/>
  <c r="J312" i="5" a="1"/>
  <c r="J175" i="5" a="1"/>
  <c r="J282" i="5" a="1"/>
  <c r="J315" i="5" a="1"/>
  <c r="J287" i="5" a="1"/>
  <c r="J150" i="5" a="1"/>
  <c r="J261" i="5" a="1"/>
  <c r="J242" i="5" a="1"/>
  <c r="J153" i="5" a="1"/>
  <c r="J241" i="5" a="1"/>
  <c r="J234" i="5" a="1"/>
  <c r="J275" i="5" a="1"/>
  <c r="J137" i="5" a="1"/>
  <c r="J332" i="5" a="1"/>
  <c r="J297" i="5" a="1"/>
  <c r="J133" i="5" a="1"/>
  <c r="J284" i="5" a="1"/>
  <c r="J306" i="5" a="1"/>
  <c r="J189" i="5" a="1"/>
  <c r="J178" i="5" a="1"/>
  <c r="J176" i="5" a="1"/>
  <c r="J187" i="5" a="1"/>
  <c r="J130" i="5" a="1"/>
  <c r="J276" i="5" a="1"/>
  <c r="J266" i="5" a="1"/>
  <c r="J126" i="5" a="1"/>
  <c r="J248" i="5" a="1"/>
  <c r="J212" i="5" a="1"/>
  <c r="J196" i="5" a="1"/>
  <c r="J185" i="5" a="1"/>
  <c r="J165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5" i="5" a="1"/>
  <c r="J108" i="5" a="1"/>
  <c r="J80" i="5" a="1"/>
  <c r="J101" i="5" a="1"/>
  <c r="J84" i="5" a="1"/>
  <c r="J88" i="5" a="1"/>
  <c r="J100" i="5" a="1"/>
  <c r="J86" i="5" a="1"/>
  <c r="J99" i="5" a="1"/>
  <c r="J87" i="5" a="1"/>
  <c r="J110" i="5" a="1"/>
  <c r="J107" i="5" a="1"/>
  <c r="J109" i="5" a="1"/>
  <c r="J102" i="5" a="1"/>
  <c r="J90" i="5" a="1"/>
  <c r="J91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35" i="5" a="1"/>
  <c r="J31" i="5" a="1"/>
  <c r="J59" i="5" a="1"/>
  <c r="J12" i="5" a="1"/>
  <c r="J77" i="5" a="1"/>
  <c r="J33" i="5" a="1"/>
  <c r="J60" i="5" a="1"/>
  <c r="J52" i="5" a="1"/>
  <c r="J70" i="5" a="1"/>
  <c r="J42" i="5" a="1"/>
  <c r="J72" i="5" a="1"/>
  <c r="J78" i="5" a="1"/>
  <c r="J51" i="5" a="1"/>
  <c r="J69" i="5" a="1"/>
  <c r="J61" i="5" a="1"/>
  <c r="J63" i="5" a="1"/>
  <c r="J26" i="5" a="1"/>
  <c r="J19" i="5" a="1"/>
  <c r="J22" i="5" a="1"/>
  <c r="J40" i="5" a="1"/>
  <c r="J79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<sst xmlns="http://schemas.openxmlformats.org/spreadsheetml/2006/main" count="1473" uniqueCount="429">
  <si>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</si>
  <si>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</si>
  <si>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</si>
  <si>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</si>
  <si>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</si>
  <si>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</si>
  <si>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</si>
  <si>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</si>
  <si>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</si>
  <si>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</si>
  <si>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</si>
  <si>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</si>
  <si>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</si>
  <si>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</si>
  <si>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</si>
  <si>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</si>
  <si>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</si>
  <si>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</si>
  <si>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</si>
  <si>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</si>
  <si>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</si>
  <si>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</si>
  <si>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</si>
  <si>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</si>
  <si>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</si>
  <si>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</si>
  <si>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</si>
  <si>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</si>
  <si>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</si>
  <si>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</si>
  <si>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</si>
  <si>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</si>
  <si>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</si>
  <si>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</si>
  <si>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</si>
  <si>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</si>
  <si>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</si>
  <si>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</si>
  <si>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</si>
  <si>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</si>
  <si>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</si>
  <si>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</si>
  <si>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</si>
  <si>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</si>
  <si>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</si>
  <si>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</si>
  <si>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</si>
  <si>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</si>
  <si>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</si>
  <si>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</si>
  <si>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</si>
  <si>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</si>
  <si>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</si>
  <si>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</si>
  <si>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</si>
  <si>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</si>
  <si>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</si>
  <si>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</si>
  <si>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</si>
  <si>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</si>
  <si>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</si>
  <si>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</si>
  <si>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</si>
  <si>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</si>
  <si>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</si>
  <si>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</si>
  <si>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</si>
  <si>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</si>
  <si>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</si>
  <si>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</si>
  <si>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</si>
  <si>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</si>
  <si>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</si>
  <si>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</si>
  <si>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</si>
  <si>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</si>
  <si>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</si>
  <si>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</si>
  <si>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</si>
  <si>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</si>
  <si>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</si>
  <si>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</si>
  <si>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</si>
  <si>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</si>
  <si>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</si>
  <si>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</si>
  <si>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</si>
  <si>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</si>
  <si>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</si>
  <si>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</si>
  <si>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</si>
  <si>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</si>
  <si>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</si>
  <si>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</si>
  <si>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</si>
  <si>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</si>
  <si>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</si>
  <si>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</si>
  <si>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</si>
  <si>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</si>
  <si>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</si>
  <si>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</si>
  <si>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</si>
  <si>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</si>
  <si>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</si>
  <si>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</si>
  <si>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</si>
  <si>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</si>
  <si>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</si>
  <si>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</si>
  <si>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</si>
  <si>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</si>
  <si>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</si>
  <si>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</si>
  <si>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</si>
  <si>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</si>
  <si>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</si>
  <si>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</si>
  <si>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</si>
  <si>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</si>
  <si>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</si>
  <si>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</si>
  <si>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</si>
  <si>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</si>
  <si>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</si>
  <si>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</si>
  <si>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</si>
  <si>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</si>
  <si>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</si>
  <si>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</si>
  <si>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</si>
  <si>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</si>
  <si>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</si>
  <si>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</si>
  <si>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</si>
  <si>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</si>
  <si>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</si>
  <si>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</si>
  <si>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</si>
  <si>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</si>
  <si>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</si>
  <si>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</si>
  <si>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</si>
  <si>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</si>
  <si>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</si>
  <si>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</si>
  <si>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</si>
  <si>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</si>
  <si>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</si>
  <si>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</si>
  <si>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</si>
  <si>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</si>
  <si>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</si>
  <si>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</si>
  <si>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</si>
  <si>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</si>
  <si>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</si>
  <si>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</si>
  <si>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</si>
  <si>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</si>
  <si>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</si>
  <si>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</si>
  <si>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</si>
  <si>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</si>
  <si>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</si>
  <si>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</si>
  <si>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</si>
  <si>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</si>
  <si>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</si>
  <si>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</si>
  <si>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</si>
  <si>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</si>
  <si>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</si>
  <si>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</si>
  <si>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</si>
  <si>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</si>
  <si>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</si>
  <si>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</si>
  <si>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</si>
  <si>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</si>
  <si>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</si>
  <si>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</si>
  <si>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</si>
  <si>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</si>
  <si>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</si>
  <si>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</si>
  <si>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</si>
  <si>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</si>
  <si>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</si>
  <si>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</si>
  <si>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</si>
  <si>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</si>
  <si>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</si>
  <si>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</si>
  <si>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</si>
  <si>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</si>
  <si>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</si>
  <si>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</si>
  <si>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</si>
  <si>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</si>
  <si>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</si>
  <si>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</si>
  <si>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</si>
  <si>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</si>
  <si>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</si>
  <si>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</si>
  <si>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</si>
  <si>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</si>
  <si>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</si>
  <si>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</si>
  <si>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</si>
  <si>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</si>
  <si>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</si>
  <si>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</si>
  <si>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</si>
  <si>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</si>
  <si>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</si>
  <si>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</si>
  <si>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</si>
  <si>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</si>
  <si>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</si>
  <si>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</si>
  <si>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</si>
  <si>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</si>
  <si>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</si>
  <si>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</si>
  <si>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</si>
  <si>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</si>
  <si>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</si>
  <si>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</si>
  <si>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</si>
  <si>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</si>
  <si>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</si>
  <si>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</si>
  <si>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</si>
  <si>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</si>
  <si>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</si>
  <si>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</si>
  <si>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</si>
  <si>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</si>
  <si>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</si>
  <si>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</si>
  <si>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</si>
  <si>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</si>
  <si>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</si>
  <si>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</si>
  <si>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</si>
  <si>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</si>
  <si>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</si>
  <si>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</si>
  <si>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</si>
  <si>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</si>
  <si>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</si>
  <si>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</si>
  <si>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</si>
  <si>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</si>
  <si>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</si>
  <si>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</si>
  <si>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</si>
  <si>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</si>
  <si>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</si>
  <si>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</si>
  <si>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</si>
  <si>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</si>
  <si>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</si>
  <si>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</si>
  <si>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</si>
  <si>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</si>
  <si>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</si>
  <si>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</si>
  <si>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</si>
  <si>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</si>
  <si>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</si>
  <si>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</si>
  <si>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</si>
  <si>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</si>
  <si>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</si>
  <si>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</si>
  <si>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</si>
  <si>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</si>
  <si>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</si>
  <si>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</si>
  <si>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</si>
  <si>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</si>
  <si>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</si>
  <si>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</si>
  <si>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</si>
  <si>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</si>
  <si>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</si>
  <si>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</si>
  <si>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</si>
  <si>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</si>
  <si>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</si>
  <si>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</si>
  <si>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</si>
  <si>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</si>
  <si>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</si>
  <si>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</si>
  <si>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</si>
  <si>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</si>
  <si>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</si>
  <si>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</si>
  <si>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</si>
  <si>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</si>
  <si>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</si>
  <si>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</si>
  <si>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</si>
  <si>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</si>
  <si>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</si>
  <si>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</si>
  <si>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</si>
  <si>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</si>
  <si>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</si>
  <si>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</si>
  <si>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</si>
  <si>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</si>
  <si>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</si>
  <si>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</si>
  <si>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</si>
  <si>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</si>
  <si>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</si>
  <si>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</si>
  <si>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</si>
  <si>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</si>
  <si>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</si>
  <si>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</si>
  <si>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</si>
  <si>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</si>
  <si>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</si>
  <si>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</si>
  <si>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</si>
  <si>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</si>
  <si>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</si>
  <si>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</si>
  <si>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</si>
  <si>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</si>
  <si>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</si>
  <si>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</si>
  <si>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</si>
  <si>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</si>
  <si>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</si>
  <si>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</si>
  <si>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</si>
  <si>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</si>
  <si>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</si>
  <si>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</si>
  <si>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</si>
  <si>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</si>
  <si>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</si>
  <si>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</si>
  <si>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</si>
  <si>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</si>
  <si>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</si>
  <si>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</si>
  <si>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</si>
  <si>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</si>
  <si>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</si>
  <si>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</si>
  <si>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</si>
  <si>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</si>
  <si>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</si>
  <si>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</si>
  <si>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</si>
  <si>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</si>
  <si>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</si>
  <si>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</si>
  <si>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</si>
  <si>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</si>
  <si>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</si>
  <si>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</si>
  <si>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</si>
  <si>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</si>
  <si>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</si>
  <si>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</si>
  <si>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</si>
  <si>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</si>
  <si>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</si>
  <si>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</si>
  <si>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</si>
  <si>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</si>
  <si>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</si>
  <si>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</si>
  <si>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</si>
  <si>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</si>
  <si>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</si>
  <si>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</si>
  <si>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</si>
  <si>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</si>
  <si>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</si>
  <si>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</si>
  <si>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</si>
  <si>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</si>
  <si>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</si>
  <si>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</si>
  <si>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</si>
  <si>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</si>
  <si>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</si>
  <si>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</si>
  <si>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</si>
  <si>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</si>
  <si>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</si>
  <si>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</si>
  <si>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</si>
  <si>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</si>
  <si>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</si>
  <si>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</si>
  <si>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</si>
  <si>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</si>
  <si>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</si>
  <si>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</si>
  <si>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</si>
  <si>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</si>
  <si>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</si>
  <si>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</si>
  <si>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</si>
  <si>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</si>
  <si>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</si>
  <si>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</si>
  <si>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</si>
  <si>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</si>
  <si>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</si>
  <si>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</si>
  <si>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</si>
  <si>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</si>
  <si>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SKIPPED</t>
  </si>
  <si>
    <t>0108</t>
  </si>
  <si>
    <t>0140</t>
  </si>
  <si>
    <t>Debug</t>
  </si>
  <si>
    <t>Use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</si>
</sst>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12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2" borderId="1" xfId="0" applyFill="1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0" borderId="15" xfId="0" applyBorder="1"/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1</xdr:row>
          <xdr:rowOff>57150</xdr:rowOff>
        </xdr:from>
        <xdr:to>
          <xdr:col>20</xdr:col>
          <xdr:colOff>428625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E852D3C1-CCC8-01BC-9B64-D6529613D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Dec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R4" sqref="R4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8" t="s">
        <v>373</v>
      </c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  <c r="AN1" s="67" t="s">
        <v>422</v>
      </c>
      <c r="AO1" s="67" t="s">
        <v>418</v>
      </c>
      <c r="AP1" s="6"/>
    </row>
    <row r="2" spans="1:42" ht="15.75" thickBot="1">
      <c r="A2" s="14" t="s">
        <v>135</v>
      </c>
      <c r="B2" s="15">
        <v>1</v>
      </c>
      <c r="AN2" s="116">
        <v>0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N3" s="91" t="s">
        <v>428</v>
      </c>
      <c r="O3" s="134">
        <v>1</v>
      </c>
      <c r="Q3" s="69" t="s">
        <v>427</v>
      </c>
      <c r="R3" s="60">
        <v>1</v>
      </c>
      <c r="AN3" s="116">
        <v>0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1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224</v>
      </c>
      <c r="D6" s="34" t="str">
        <f>IF(AND(E6&gt;=32,E6&lt;=126),CHAR(E6),".")</f>
        <v>.</v>
      </c>
      <c r="E6" s="35">
        <f>HEX2DEC(C6)</f>
        <v>128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>
        <v>80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1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152</v>
      </c>
      <c r="R9" s="104" t="s">
        <v>223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271</v>
      </c>
      <c r="Q10" s="103" t="s">
        <v>152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151</v>
      </c>
      <c r="Q11" s="103" t="s">
        <v>167</v>
      </c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149</v>
      </c>
      <c r="Q12" s="103" t="s">
        <v>154</v>
      </c>
      <c r="R12" s="104" t="s">
        <v>223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284</v>
      </c>
      <c r="Q13" s="103" t="s">
        <v>167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308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decExecute">
                <anchor moveWithCells="1" sizeWithCells="1">
                  <from>
                    <xdr:col>19</xdr:col>
                    <xdr:colOff>219075</xdr:colOff>
                    <xdr:row>1</xdr:row>
                    <xdr:rowOff>57150</xdr:rowOff>
                  </from>
                  <to>
                    <xdr:col>20</xdr:col>
                    <xdr:colOff>428625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173" activePane="bottomLeft" state="frozen"/>
      <selection pane="bottomLeft" activeCell="G197" sqref="G19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80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0108</v>
      </c>
      <c r="J2" s="56" t="str">
        <f>SP</f>
        <v>0140</v>
      </c>
      <c r="K2" s="56">
        <f>Carry</f>
        <v>0</v>
      </c>
      <c r="L2" s="56">
        <f>Parity</f>
        <v>1</v>
      </c>
      <c r="M2" s="56">
        <f>AC</f>
        <v>0</v>
      </c>
      <c r="N2" s="56">
        <f>Zero</f>
        <v>1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33" t="s">
        <v>424</v>
      </c>
      <c r="L4" s="70" t="s">
        <v>267</v>
      </c>
      <c r="M4" s="20">
        <f>IFERROR(VLOOKUP(A4,$P$6:$R$1048576,3,0),0)</f>
        <v>0</v>
      </c>
      <c r="U4" s="130" t="s">
        <v>341</v>
      </c>
      <c r="V4" s="131"/>
      <c r="W4" s="131"/>
      <c r="X4" s="131"/>
      <c r="Y4" s="131"/>
      <c r="Z4" s="131"/>
      <c r="AA4" s="131"/>
      <c r="AB4" s="132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1"/>
      <c r="V5" s="122"/>
      <c r="W5" s="122"/>
      <c r="X5" s="122"/>
      <c r="Y5" s="122"/>
      <c r="Z5" s="122"/>
      <c r="AA5" s="122"/>
      <c r="AB5" s="123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4"/>
      <c r="V6" s="125"/>
      <c r="W6" s="125"/>
      <c r="X6" s="125"/>
      <c r="Y6" s="125"/>
      <c r="Z6" s="125"/>
      <c r="AA6" s="125"/>
      <c r="AB6" s="126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4"/>
      <c r="V7" s="125"/>
      <c r="W7" s="125"/>
      <c r="X7" s="125"/>
      <c r="Y7" s="125"/>
      <c r="Z7" s="125"/>
      <c r="AA7" s="125"/>
      <c r="AB7" s="126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4"/>
      <c r="V8" s="125"/>
      <c r="W8" s="125"/>
      <c r="X8" s="125"/>
      <c r="Y8" s="125"/>
      <c r="Z8" s="125"/>
      <c r="AA8" s="125"/>
      <c r="AB8" s="126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4"/>
      <c r="V9" s="125"/>
      <c r="W9" s="125"/>
      <c r="X9" s="125"/>
      <c r="Y9" s="125"/>
      <c r="Z9" s="125"/>
      <c r="AA9" s="125"/>
      <c r="AB9" s="126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4"/>
      <c r="V10" s="125"/>
      <c r="W10" s="125"/>
      <c r="X10" s="125"/>
      <c r="Y10" s="125"/>
      <c r="Z10" s="125"/>
      <c r="AA10" s="125"/>
      <c r="AB10" s="126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33" t="s">
        <v>424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4"/>
      <c r="V11" s="125"/>
      <c r="W11" s="125"/>
      <c r="X11" s="125"/>
      <c r="Y11" s="125"/>
      <c r="Z11" s="125"/>
      <c r="AA11" s="125"/>
      <c r="AB11" s="126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4"/>
      <c r="V12" s="125"/>
      <c r="W12" s="125"/>
      <c r="X12" s="125"/>
      <c r="Y12" s="125"/>
      <c r="Z12" s="125"/>
      <c r="AA12" s="125"/>
      <c r="AB12" s="126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4"/>
      <c r="V13" s="125"/>
      <c r="W13" s="125"/>
      <c r="X13" s="125"/>
      <c r="Y13" s="125"/>
      <c r="Z13" s="125"/>
      <c r="AA13" s="125"/>
      <c r="AB13" s="126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4"/>
      <c r="V14" s="125"/>
      <c r="W14" s="125"/>
      <c r="X14" s="125"/>
      <c r="Y14" s="125"/>
      <c r="Z14" s="125"/>
      <c r="AA14" s="125"/>
      <c r="AB14" s="126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4"/>
      <c r="V15" s="125"/>
      <c r="W15" s="125"/>
      <c r="X15" s="125"/>
      <c r="Y15" s="125"/>
      <c r="Z15" s="125"/>
      <c r="AA15" s="125"/>
      <c r="AB15" s="126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33" t="s">
        <v>424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4"/>
      <c r="V16" s="125"/>
      <c r="W16" s="125"/>
      <c r="X16" s="125"/>
      <c r="Y16" s="125"/>
      <c r="Z16" s="125"/>
      <c r="AA16" s="125"/>
      <c r="AB16" s="126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4"/>
      <c r="V17" s="125"/>
      <c r="W17" s="125"/>
      <c r="X17" s="125"/>
      <c r="Y17" s="125"/>
      <c r="Z17" s="125"/>
      <c r="AA17" s="125"/>
      <c r="AB17" s="126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4"/>
      <c r="V18" s="125"/>
      <c r="W18" s="125"/>
      <c r="X18" s="125"/>
      <c r="Y18" s="125"/>
      <c r="Z18" s="125"/>
      <c r="AA18" s="125"/>
      <c r="AB18" s="126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4"/>
      <c r="V19" s="125"/>
      <c r="W19" s="125"/>
      <c r="X19" s="125"/>
      <c r="Y19" s="125"/>
      <c r="Z19" s="125"/>
      <c r="AA19" s="125"/>
      <c r="AB19" s="126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4"/>
      <c r="V20" s="125"/>
      <c r="W20" s="125"/>
      <c r="X20" s="125"/>
      <c r="Y20" s="125"/>
      <c r="Z20" s="125"/>
      <c r="AA20" s="125"/>
      <c r="AB20" s="126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4"/>
      <c r="V21" s="125"/>
      <c r="W21" s="125"/>
      <c r="X21" s="125"/>
      <c r="Y21" s="125"/>
      <c r="Z21" s="125"/>
      <c r="AA21" s="125"/>
      <c r="AB21" s="126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4"/>
      <c r="V22" s="125"/>
      <c r="W22" s="125"/>
      <c r="X22" s="125"/>
      <c r="Y22" s="125"/>
      <c r="Z22" s="125"/>
      <c r="AA22" s="125"/>
      <c r="AB22" s="126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4"/>
      <c r="V23" s="125"/>
      <c r="W23" s="125"/>
      <c r="X23" s="125"/>
      <c r="Y23" s="125"/>
      <c r="Z23" s="125"/>
      <c r="AA23" s="125"/>
      <c r="AB23" s="126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7"/>
      <c r="V24" s="128"/>
      <c r="W24" s="128"/>
      <c r="X24" s="128"/>
      <c r="Y24" s="128"/>
      <c r="Z24" s="128"/>
      <c r="AA24" s="128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1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33" t="s">
        <v>424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33" t="s">
        <v>424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33" t="s">
        <v>424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1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33" t="s">
        <v>424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0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33" t="s">
        <v>424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0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33" t="s">
        <v>424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1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33" t="s">
        <v>424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0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33" t="s">
        <v>424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33" t="s">
        <v>424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33" t="s">
        <v>424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0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33" t="s">
        <v>424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33" t="s">
        <v>424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0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33" t="s">
        <v>424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0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33" t="s">
        <v>424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0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33" t="s">
        <v>424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33" t="s">
        <v>424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17" t="s">
        <v>423</v>
      </c>
      <c r="L194" s="70" t="s">
        <v>354</v>
      </c>
      <c r="M194" s="20">
        <f>IFERROR(VLOOKUP(A194,$P$6:$R$1048576,3,0),0)</f>
        <v>1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1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0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33" t="s">
        <v>424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33" t="s">
        <v>424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1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33" t="s">
        <v>424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0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33" t="s">
        <v>424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0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33" t="s">
        <v>424</v>
      </c>
      <c r="L253" s="70" t="s">
        <v>375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33" t="s">
        <v>424</v>
      </c>
      <c r="L259" s="70" t="s">
        <v>387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0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33" t="s">
        <v>424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0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33" t="s">
        <v>424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1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33" t="s">
        <v>424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0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33" t="s">
        <v>424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1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33" t="s">
        <v>424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0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33" t="s">
        <v>424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0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33" t="s">
        <v>424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1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33" t="s">
        <v>424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0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67</vt:i4>
      </vt:variant>
    </vt:vector>
  </HeadingPairs>
  <TitlesOfParts>
    <vt:vector size="71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Use_Dec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2026-02-16T02:52:35Z</dcterms:modified>
</cp:coreProperties>
</file>