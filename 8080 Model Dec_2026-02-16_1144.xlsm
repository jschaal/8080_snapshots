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2380E4EC-0DBD-4336-952F-3192E5AEA935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0" i="4" l="1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81" i="5" a="1"/>
  <c r="J188" i="5" a="1"/>
  <c r="J266" i="5" a="1"/>
  <c r="J324" i="5" a="1"/>
  <c r="J270" i="5" a="1"/>
  <c r="J212" i="5" a="1"/>
  <c r="J287" i="5" a="1"/>
  <c r="J275" i="5" a="1"/>
  <c r="J256" i="5" a="1"/>
  <c r="J327" i="5" a="1"/>
  <c r="J226" i="5" a="1"/>
  <c r="J279" i="5" a="1"/>
  <c r="J315" i="5" a="1"/>
  <c r="J330" i="5" a="1"/>
  <c r="J218" i="5" a="1"/>
  <c r="J248" i="5" a="1"/>
  <c r="J155" i="5" a="1"/>
  <c r="J227" i="5" a="1"/>
  <c r="J142" i="5" a="1"/>
  <c r="J303" i="5" a="1"/>
  <c r="J332" i="5" a="1"/>
  <c r="J168" i="5" a="1"/>
  <c r="J206" i="5" a="1"/>
  <c r="J131" i="5" a="1"/>
  <c r="J156" i="5" a="1"/>
  <c r="J243" i="5" a="1"/>
  <c r="J199" i="5" a="1"/>
  <c r="J292" i="5" a="1"/>
  <c r="J170" i="5" a="1"/>
  <c r="J300" i="5" a="1"/>
  <c r="J44" i="5" a="1"/>
  <c r="J305" i="5" a="1"/>
  <c r="J255" i="5" a="1"/>
  <c r="J293" i="5" a="1"/>
  <c r="J274" i="5" a="1"/>
  <c r="J196" i="5" a="1"/>
  <c r="J143" i="5" a="1"/>
  <c r="J322" i="5" a="1"/>
  <c r="J187" i="5" a="1"/>
  <c r="J176" i="5" a="1"/>
  <c r="J197" i="5" a="1"/>
  <c r="J235" i="5" a="1"/>
  <c r="J283" i="5" a="1"/>
  <c r="J128" i="5" a="1"/>
  <c r="J321" i="5" a="1"/>
  <c r="J46" i="5" a="1"/>
  <c r="J141" i="5" a="1"/>
  <c r="J241" i="5" a="1"/>
  <c r="J138" i="5" a="1"/>
  <c r="J129" i="5" a="1"/>
  <c r="J278" i="5" a="1"/>
  <c r="J312" i="5" a="1"/>
  <c r="J263" i="5" a="1"/>
  <c r="J195" i="5" a="1"/>
  <c r="J314" i="5" a="1"/>
  <c r="J137" i="5" a="1"/>
  <c r="J167" i="5" a="1"/>
  <c r="J234" i="5" a="1"/>
  <c r="J127" i="5" a="1"/>
  <c r="J178" i="5" a="1"/>
  <c r="J236" i="5" a="1"/>
  <c r="J150" i="5" a="1"/>
  <c r="J179" i="5" a="1"/>
  <c r="J132" i="5" a="1"/>
  <c r="J267" i="5" a="1"/>
  <c r="J144" i="5" a="1"/>
  <c r="J296" i="5" a="1"/>
  <c r="J331" i="5" a="1"/>
  <c r="J151" i="5" a="1"/>
  <c r="J261" i="5" a="1"/>
  <c r="J186" i="5" a="1"/>
  <c r="J153" i="5" a="1"/>
  <c r="J333" i="5" a="1"/>
  <c r="J295" i="5" a="1"/>
  <c r="J126" i="5" a="1"/>
  <c r="J191" i="5" a="1"/>
  <c r="J320" i="5" a="1"/>
  <c r="J311" i="5" a="1"/>
  <c r="J237" i="5" a="1"/>
  <c r="J323" i="5" a="1"/>
  <c r="J219" i="5" a="1"/>
  <c r="J177" i="5" a="1"/>
  <c r="J185" i="5" a="1"/>
  <c r="J133" i="5" a="1"/>
  <c r="J304" i="5" a="1"/>
  <c r="J215" i="5" a="1"/>
  <c r="J171" i="5" a="1"/>
  <c r="J247" i="5" a="1"/>
  <c r="J286" i="5" a="1"/>
  <c r="J329" i="5" a="1"/>
  <c r="J302" i="5" a="1"/>
  <c r="J242" i="5" a="1"/>
  <c r="J225" i="5" a="1"/>
  <c r="J158" i="5" a="1"/>
  <c r="J288" i="5" a="1"/>
  <c r="J166" i="5" a="1"/>
  <c r="J228" i="5" a="1"/>
  <c r="J189" i="5" a="1"/>
  <c r="J291" i="5" a="1"/>
  <c r="J245" i="5" a="1"/>
  <c r="J165" i="5" a="1"/>
  <c r="J313" i="5" a="1"/>
  <c r="J297" i="5" a="1"/>
  <c r="J268" i="5" a="1"/>
  <c r="J318" i="5" a="1"/>
  <c r="J271" i="5" a="1"/>
  <c r="J260" i="5" a="1"/>
  <c r="J249" i="5" a="1"/>
  <c r="J282" i="5" a="1"/>
  <c r="J145" i="5" a="1"/>
  <c r="J309" i="5" a="1"/>
  <c r="J246" i="5" a="1"/>
  <c r="J200" i="5" a="1"/>
  <c r="J310" i="5" a="1"/>
  <c r="J152" i="5" a="1"/>
  <c r="J285" i="5" a="1"/>
  <c r="J198" i="5" a="1"/>
  <c r="J130" i="5" a="1"/>
  <c r="J136" i="5" a="1"/>
  <c r="J262" i="5" a="1"/>
  <c r="J175" i="5" a="1"/>
  <c r="J269" i="5" a="1"/>
  <c r="J277" i="5" a="1"/>
  <c r="J284" i="5" a="1"/>
  <c r="J276" i="5" a="1"/>
  <c r="J201" i="5" a="1"/>
  <c r="J306" i="5" a="1"/>
  <c r="J294" i="5" a="1"/>
  <c r="S3" i="4" l="1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91" i="5" a="1"/>
  <c r="J99" i="5" a="1"/>
  <c r="J108" i="5" a="1"/>
  <c r="J90" i="5" a="1"/>
  <c r="J110" i="5" a="1"/>
  <c r="J89" i="5" a="1"/>
  <c r="J100" i="5" a="1"/>
  <c r="J88" i="5" a="1"/>
  <c r="J107" i="5" a="1"/>
  <c r="J84" i="5" a="1"/>
  <c r="J80" i="5" a="1"/>
  <c r="J85" i="5" a="1"/>
  <c r="J86" i="5" a="1"/>
  <c r="J101" i="5" a="1"/>
  <c r="J102" i="5" a="1"/>
  <c r="J87" i="5" a="1"/>
  <c r="J109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3" i="5" a="1"/>
  <c r="J78" i="5" a="1"/>
  <c r="J26" i="5" a="1"/>
  <c r="J72" i="5" a="1"/>
  <c r="J35" i="5" a="1"/>
  <c r="J42" i="5" a="1"/>
  <c r="J79" i="5" a="1"/>
  <c r="J12" i="5" a="1"/>
  <c r="J31" i="5" a="1"/>
  <c r="J69" i="5" a="1"/>
  <c r="J51" i="5" a="1"/>
  <c r="J22" i="5" a="1"/>
  <c r="J77" i="5" a="1"/>
  <c r="J52" i="5" a="1"/>
  <c r="J70" i="5" a="1"/>
  <c r="J40" i="5" a="1"/>
  <c r="J33" i="5" a="1"/>
  <c r="J71" i="5" a="1"/>
  <c r="J59" i="5" a="1"/>
  <c r="J61" i="5" a="1"/>
  <c r="J19" i="5" a="1"/>
  <c r="J60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8" i="5" a="1"/>
  <c r="J6" i="5" a="1"/>
  <c r="J7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<sst xmlns="http://schemas.openxmlformats.org/spreadsheetml/2006/main" count="1491" uniqueCount="444">
  <si>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</si>
  <si>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</si>
  <si>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</si>
  <si>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</si>
  <si>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</si>
  <si>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</si>
  <si>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</si>
  <si>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</si>
  <si>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</si>
  <si>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</si>
  <si>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</si>
  <si>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</si>
  <si>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</si>
  <si>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</si>
  <si>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</si>
  <si>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</si>
  <si>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</si>
  <si>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</si>
  <si>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</si>
  <si>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</si>
  <si>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</si>
  <si>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</si>
  <si>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</si>
  <si>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</si>
  <si>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</si>
  <si>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</si>
  <si>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</si>
  <si>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</si>
  <si>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</si>
  <si>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</si>
  <si>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</si>
  <si>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</si>
  <si>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</si>
  <si>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</si>
  <si>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</si>
  <si>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</si>
  <si>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</si>
  <si>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</si>
  <si>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</si>
  <si>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</si>
  <si>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</si>
  <si>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</si>
  <si>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</si>
  <si>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</si>
  <si>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</si>
  <si>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</si>
  <si>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</si>
  <si>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</si>
  <si>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</si>
  <si>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</si>
  <si>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</si>
  <si>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</si>
  <si>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</si>
  <si>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</si>
  <si>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</si>
  <si>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</si>
  <si>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</si>
  <si>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</si>
  <si>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</si>
  <si>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</si>
  <si>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</si>
  <si>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</si>
  <si>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</si>
  <si>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</si>
  <si>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</si>
  <si>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</si>
  <si>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</si>
  <si>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</si>
  <si>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</si>
  <si>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</si>
  <si>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</si>
  <si>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</si>
  <si>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</si>
  <si>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</si>
  <si>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</si>
  <si>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</si>
  <si>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</si>
  <si>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</si>
  <si>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</si>
  <si>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</si>
  <si>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</si>
  <si>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</si>
  <si>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</si>
  <si>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</si>
  <si>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</si>
  <si>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</si>
  <si>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</si>
  <si>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</si>
  <si>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</si>
  <si>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</si>
  <si>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</si>
  <si>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</si>
  <si>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</si>
  <si>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</si>
  <si>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</si>
  <si>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</si>
  <si>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</si>
  <si>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</si>
  <si>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</si>
  <si>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</si>
  <si>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</si>
  <si>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</si>
  <si>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</si>
  <si>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</si>
  <si>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</si>
  <si>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</si>
  <si>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</si>
  <si>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</si>
  <si>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</si>
  <si>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</si>
  <si>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</si>
  <si>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</si>
  <si>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</si>
  <si>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</si>
  <si>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</si>
  <si>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</si>
  <si>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</si>
  <si>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</si>
  <si>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</si>
  <si>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</si>
  <si>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</si>
  <si>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</si>
  <si>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</si>
  <si>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</si>
  <si>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</si>
  <si>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</si>
  <si>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</si>
  <si>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</si>
  <si>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</si>
  <si>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</si>
  <si>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</si>
  <si>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</si>
  <si>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</si>
  <si>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</si>
  <si>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</si>
  <si>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</si>
  <si>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</si>
  <si>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</si>
  <si>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</si>
  <si>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</si>
  <si>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</si>
  <si>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</si>
  <si>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</si>
  <si>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</si>
  <si>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</si>
  <si>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</si>
  <si>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</si>
  <si>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</si>
  <si>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</si>
  <si>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</si>
  <si>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</si>
  <si>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</si>
  <si>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</si>
  <si>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</si>
  <si>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</si>
  <si>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</si>
  <si>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</si>
  <si>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</si>
  <si>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</si>
  <si>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</si>
  <si>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</si>
  <si>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</si>
  <si>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</si>
  <si>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</si>
  <si>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</si>
  <si>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</si>
  <si>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</si>
  <si>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</si>
  <si>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</si>
  <si>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</si>
  <si>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</si>
  <si>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</si>
  <si>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</si>
  <si>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</si>
  <si>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</si>
  <si>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</si>
  <si>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</si>
  <si>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</si>
  <si>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</si>
  <si>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</si>
  <si>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</si>
  <si>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</si>
  <si>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</si>
  <si>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</si>
  <si>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</si>
  <si>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</si>
  <si>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</si>
  <si>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</si>
  <si>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</si>
  <si>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</si>
  <si>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</si>
  <si>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</si>
  <si>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</si>
  <si>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</si>
  <si>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</si>
  <si>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</si>
  <si>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</si>
  <si>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</si>
  <si>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</si>
  <si>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</si>
  <si>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</si>
  <si>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</si>
  <si>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</si>
  <si>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</si>
  <si>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</si>
  <si>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</si>
  <si>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</si>
  <si>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</si>
  <si>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</si>
  <si>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</si>
  <si>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</si>
  <si>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</si>
  <si>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</si>
  <si>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</si>
  <si>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</si>
  <si>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</si>
  <si>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</si>
  <si>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</si>
  <si>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</si>
  <si>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</si>
  <si>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</si>
  <si>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</si>
  <si>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</si>
  <si>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</si>
  <si>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</si>
  <si>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</si>
  <si>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</si>
  <si>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</si>
  <si>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</si>
  <si>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</si>
  <si>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</si>
  <si>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</si>
  <si>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</si>
  <si>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</si>
  <si>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</si>
  <si>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</si>
  <si>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</si>
  <si>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</si>
  <si>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</si>
  <si>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</si>
  <si>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</si>
  <si>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</si>
  <si>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</si>
  <si>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</si>
  <si>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</si>
  <si>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</si>
  <si>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</si>
  <si>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</si>
  <si>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</si>
  <si>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</si>
  <si>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</si>
  <si>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</si>
  <si>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</si>
  <si>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</si>
  <si>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</si>
  <si>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</si>
  <si>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</si>
  <si>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</si>
  <si>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</si>
  <si>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</si>
  <si>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</si>
  <si>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</si>
  <si>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</si>
  <si>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</si>
  <si>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</si>
  <si>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</si>
  <si>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</si>
  <si>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</si>
  <si>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</si>
  <si>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</si>
  <si>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</si>
  <si>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</si>
  <si>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</si>
  <si>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</si>
  <si>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</si>
  <si>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</si>
  <si>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</si>
  <si>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</si>
  <si>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</si>
  <si>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</si>
  <si>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</si>
  <si>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</si>
  <si>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</si>
  <si>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</si>
  <si>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</si>
  <si>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</si>
  <si>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</si>
  <si>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</si>
  <si>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</si>
  <si>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</si>
  <si>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</si>
  <si>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</si>
  <si>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</si>
  <si>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</si>
  <si>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</si>
  <si>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</si>
  <si>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</si>
  <si>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</si>
  <si>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</si>
  <si>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</si>
  <si>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</si>
  <si>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</si>
  <si>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</si>
  <si>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</si>
  <si>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</si>
  <si>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</si>
  <si>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</si>
  <si>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</si>
  <si>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</si>
  <si>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</si>
  <si>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</si>
  <si>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</si>
  <si>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</si>
  <si>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</si>
  <si>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</si>
  <si>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</si>
  <si>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</si>
  <si>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</si>
  <si>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</si>
  <si>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</si>
  <si>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</si>
  <si>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</si>
  <si>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</si>
  <si>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</si>
  <si>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</si>
  <si>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</si>
  <si>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</si>
  <si>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</si>
  <si>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</si>
  <si>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</si>
  <si>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</si>
  <si>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</si>
  <si>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</si>
  <si>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</si>
  <si>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</si>
  <si>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</si>
  <si>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</si>
  <si>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</si>
  <si>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</si>
  <si>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</si>
  <si>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</si>
  <si>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</si>
  <si>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</si>
  <si>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</si>
  <si>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</si>
  <si>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</si>
  <si>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</si>
  <si>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</si>
  <si>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</si>
  <si>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</si>
  <si>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</si>
  <si>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</si>
  <si>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</si>
  <si>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</si>
  <si>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</si>
  <si>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</si>
  <si>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</si>
  <si>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</si>
  <si>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</si>
  <si>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</si>
  <si>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</si>
  <si>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</si>
  <si>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</si>
  <si>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</si>
  <si>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</si>
  <si>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</si>
  <si>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</si>
  <si>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</si>
  <si>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</si>
  <si>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</si>
  <si>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</si>
  <si>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</si>
  <si>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</si>
  <si>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</si>
  <si>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</si>
  <si>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</si>
  <si>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</si>
  <si>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</si>
  <si>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</si>
  <si>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</si>
  <si>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</si>
  <si>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</si>
  <si>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</si>
  <si>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</si>
  <si>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</si>
  <si>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</si>
  <si>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</si>
  <si>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</si>
  <si>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</si>
  <si>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</si>
  <si>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</si>
  <si>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</si>
  <si>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</si>
  <si>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</si>
  <si>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</si>
  <si>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</si>
  <si>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</si>
  <si>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</si>
  <si>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</si>
  <si>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</si>
  <si>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</si>
  <si>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</si>
  <si>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</si>
  <si>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</si>
  <si>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</si>
  <si>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</si>
  <si>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</si>
  <si>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</si>
  <si>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</si>
  <si>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</si>
  <si>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</si>
  <si>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</si>
  <si>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</si>
  <si>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</si>
  <si>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</si>
  <si>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</si>
  <si>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</si>
  <si>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</si>
  <si>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</si>
  <si>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</si>
  <si>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</si>
  <si>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</si>
  <si>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</si>
  <si>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FAIL</t>
  </si>
  <si>
    <t>Debug</t>
  </si>
  <si>
    <t>Use Alt</t>
  </si>
  <si>
    <t>0104</t>
  </si>
  <si>
    <t>0140</t>
  </si>
  <si>
    <t>SKIPPED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</si>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</sst>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2" borderId="43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14" borderId="16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15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0" borderId="0" xfId="0" applyAlignment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</cellXfs>
  <cellStyles count="1">
    <cellStyle name="Normal" xfId="0" builtinId="0"/>
  </cellStyles>
  <dxfs count="20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</xdr:row>
          <xdr:rowOff>66675</xdr:rowOff>
        </xdr:from>
        <xdr:to>
          <xdr:col>12</xdr:col>
          <xdr:colOff>19050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C17" sqref="AC17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22" t="s">
        <v>373</v>
      </c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4"/>
      <c r="AN1" s="67" t="s">
        <v>422</v>
      </c>
      <c r="AO1" s="67" t="s">
        <v>418</v>
      </c>
      <c r="AP1" s="6"/>
    </row>
    <row r="2" spans="1:42">
      <c r="A2" s="14" t="s">
        <v>135</v>
      </c>
      <c r="B2" s="15">
        <v>1</v>
      </c>
      <c r="AN2" s="116">
        <v>1</v>
      </c>
      <c r="AO2" s="116" t="s">
        <v>419</v>
      </c>
      <c r="AP2" s="6"/>
    </row>
    <row r="3" spans="1:42" ht="15.75" thickBot="1">
      <c r="A3" s="8" t="s">
        <v>134</v>
      </c>
      <c r="B3" s="13">
        <f>Line0</f>
        <v>256</v>
      </c>
      <c r="AN3" s="116">
        <v>1</v>
      </c>
      <c r="AO3" s="116" t="s">
        <v>420</v>
      </c>
      <c r="AP3" s="6"/>
    </row>
    <row r="4" spans="1:42" ht="15.75" thickBot="1">
      <c r="AA4" s="7" t="s">
        <v>410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411</v>
      </c>
      <c r="AL4" t="s">
        <v>412</v>
      </c>
      <c r="AN4" s="116">
        <v>0</v>
      </c>
      <c r="AO4" s="116" t="s">
        <v>421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409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223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 t="s">
        <v>223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0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 t="s">
        <v>223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>E</v>
      </c>
      <c r="M8" s="39" t="str">
        <f t="shared" ref="M8:M27" si="4">IFERROR(RIGHT("0000"&amp;DEC2HEX(N8),4),"")</f>
        <v>0100</v>
      </c>
      <c r="N8" s="71">
        <f>I14</f>
        <v>256</v>
      </c>
      <c r="O8" s="101" t="s">
        <v>381</v>
      </c>
      <c r="P8" s="102" t="s">
        <v>166</v>
      </c>
      <c r="Q8" s="103" t="s">
        <v>382</v>
      </c>
      <c r="R8" s="104"/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223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300</v>
      </c>
      <c r="Q9" s="103" t="s">
        <v>314</v>
      </c>
      <c r="R9" s="104" t="s">
        <v>381</v>
      </c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/>
      <c r="Q10" s="103"/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306</v>
      </c>
      <c r="D11" s="34" t="str">
        <f t="shared" si="2"/>
        <v>.</v>
      </c>
      <c r="E11" s="35">
        <f t="shared" si="3"/>
        <v>1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192</v>
      </c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443</v>
      </c>
      <c r="D12" s="34" t="str">
        <f t="shared" si="2"/>
        <v>#</v>
      </c>
      <c r="E12" s="35">
        <f t="shared" si="3"/>
        <v>35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426</v>
      </c>
      <c r="D13" s="34" t="str">
        <f t="shared" si="2"/>
        <v>.</v>
      </c>
      <c r="E13" s="35">
        <f t="shared" si="3"/>
        <v>260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/>
      <c r="Q13" s="103"/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427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 ht="15.75" thickBot="1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 ht="15.75" thickBot="1">
      <c r="A19" s="6" t="s">
        <v>248</v>
      </c>
      <c r="B19" s="6" t="s">
        <v>307</v>
      </c>
      <c r="G19" s="119" t="s">
        <v>425</v>
      </c>
      <c r="H19" s="118">
        <v>1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20" t="s">
        <v>424</v>
      </c>
      <c r="H20" s="60">
        <v>0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6" priority="26" operator="equal">
      <formula>0</formula>
    </cfRule>
    <cfRule type="cellIs" dxfId="205" priority="27" operator="greaterThan">
      <formula>0</formula>
    </cfRule>
  </conditionalFormatting>
  <conditionalFormatting sqref="F1:V1">
    <cfRule type="containsText" dxfId="204" priority="17" operator="containsText" text="Halted">
      <formula>NOT(ISERROR(SEARCH("Halted",F1)))</formula>
    </cfRule>
    <cfRule type="containsText" dxfId="203" priority="24" operator="containsText" text="Execution Complete">
      <formula>NOT(ISERROR(SEARCH("Execution Complete",F1)))</formula>
    </cfRule>
    <cfRule type="containsText" dxfId="202" priority="25" operator="containsText" text="Error">
      <formula>NOT(ISERROR(SEARCH("Error",F1)))</formula>
    </cfRule>
  </conditionalFormatting>
  <conditionalFormatting sqref="P22:R1070">
    <cfRule type="expression" dxfId="201" priority="49">
      <formula>$N22=$E$13</formula>
    </cfRule>
  </conditionalFormatting>
  <conditionalFormatting sqref="M7:S7 M22:S1070 M8:N21 S8:S21">
    <cfRule type="containsText" dxfId="200" priority="5" operator="containsText" text=" ">
      <formula>NOT(ISERROR(SEARCH(" ",M7)))</formula>
    </cfRule>
  </conditionalFormatting>
  <conditionalFormatting sqref="AC5:AL5">
    <cfRule type="cellIs" dxfId="199" priority="3" operator="equal">
      <formula>0</formula>
    </cfRule>
    <cfRule type="cellIs" dxfId="198" priority="4" operator="equal">
      <formula>1</formula>
    </cfRule>
  </conditionalFormatting>
  <conditionalFormatting sqref="H19:H20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Engine">
                <anchor moveWithCells="1" sizeWithCells="1">
                  <from>
                    <xdr:col>7</xdr:col>
                    <xdr:colOff>257175</xdr:colOff>
                    <xdr:row>1</xdr:row>
                    <xdr:rowOff>66675</xdr:rowOff>
                  </from>
                  <to>
                    <xdr:col>12</xdr:col>
                    <xdr:colOff>19050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xSplit="1" ySplit="4" topLeftCell="B236" activePane="bottomRight" state="frozen"/>
      <selection pane="topRight" activeCell="B1" sqref="B1"/>
      <selection pane="bottomLeft" activeCell="A5" sqref="A5"/>
      <selection pane="bottomRight" activeCell="D254" sqref="D254:G257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00</v>
      </c>
      <c r="C2" s="56" t="str">
        <f>CPU!C7</f>
        <v>00</v>
      </c>
      <c r="D2" s="56" t="str">
        <f>CPU!C8</f>
        <v>00</v>
      </c>
      <c r="E2" s="56" t="str">
        <f>CPU!C9</f>
        <v>00</v>
      </c>
      <c r="F2" s="56" t="str">
        <f>CPU!C10</f>
        <v>00</v>
      </c>
      <c r="G2" s="56" t="str">
        <f>CPU!C11</f>
        <v>01</v>
      </c>
      <c r="H2" s="56" t="str">
        <f>CPU!C12</f>
        <v>23</v>
      </c>
      <c r="I2" s="56" t="str">
        <f>PC</f>
        <v>0104</v>
      </c>
      <c r="J2" s="56" t="str">
        <f>SP</f>
        <v>0140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21" t="s">
        <v>428</v>
      </c>
      <c r="L4" s="70" t="s">
        <v>267</v>
      </c>
      <c r="M4" s="20">
        <f>IFERROR(VLOOKUP(A4,$P$6:$R$1048576,3,0),0)</f>
        <v>0</v>
      </c>
      <c r="U4" s="125" t="s">
        <v>341</v>
      </c>
      <c r="V4" s="126"/>
      <c r="W4" s="126"/>
      <c r="X4" s="126"/>
      <c r="Y4" s="126"/>
      <c r="Z4" s="126"/>
      <c r="AA4" s="126"/>
      <c r="AB4" s="127"/>
    </row>
    <row r="5" spans="1:28" ht="15.75" customHeight="1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392</v>
      </c>
      <c r="R5" s="93" t="s">
        <v>243</v>
      </c>
      <c r="U5" s="128"/>
      <c r="V5" s="128"/>
      <c r="W5" s="128"/>
      <c r="X5" s="128"/>
      <c r="Y5" s="128"/>
      <c r="Z5" s="128"/>
      <c r="AA5" s="128"/>
      <c r="AB5" s="128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9"/>
      <c r="V6" s="129"/>
      <c r="W6" s="129"/>
      <c r="X6" s="129"/>
      <c r="Y6" s="129"/>
      <c r="Z6" s="129"/>
      <c r="AA6" s="129"/>
      <c r="AB6" s="129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9"/>
      <c r="V7" s="129"/>
      <c r="W7" s="129"/>
      <c r="X7" s="129"/>
      <c r="Y7" s="129"/>
      <c r="Z7" s="129"/>
      <c r="AA7" s="129"/>
      <c r="AB7" s="129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29"/>
      <c r="V8" s="129"/>
      <c r="W8" s="129"/>
      <c r="X8" s="129"/>
      <c r="Y8" s="129"/>
      <c r="Z8" s="129"/>
      <c r="AA8" s="129"/>
      <c r="AB8" s="129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29"/>
      <c r="V9" s="129"/>
      <c r="W9" s="129"/>
      <c r="X9" s="129"/>
      <c r="Y9" s="129"/>
      <c r="Z9" s="129"/>
      <c r="AA9" s="129"/>
      <c r="AB9" s="129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29"/>
      <c r="V10" s="129"/>
      <c r="W10" s="129"/>
      <c r="X10" s="129"/>
      <c r="Y10" s="129"/>
      <c r="Z10" s="129"/>
      <c r="AA10" s="129"/>
      <c r="AB10" s="129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21" t="s">
        <v>428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29"/>
      <c r="V11" s="129"/>
      <c r="W11" s="129"/>
      <c r="X11" s="129"/>
      <c r="Y11" s="129"/>
      <c r="Z11" s="129"/>
      <c r="AA11" s="129"/>
      <c r="AB11" s="129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29"/>
      <c r="V12" s="129"/>
      <c r="W12" s="129"/>
      <c r="X12" s="129"/>
      <c r="Y12" s="129"/>
      <c r="Z12" s="129"/>
      <c r="AA12" s="129"/>
      <c r="AB12" s="129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29"/>
      <c r="V13" s="129"/>
      <c r="W13" s="129"/>
      <c r="X13" s="129"/>
      <c r="Y13" s="129"/>
      <c r="Z13" s="129"/>
      <c r="AA13" s="129"/>
      <c r="AB13" s="129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29"/>
      <c r="V14" s="129"/>
      <c r="W14" s="129"/>
      <c r="X14" s="129"/>
      <c r="Y14" s="129"/>
      <c r="Z14" s="129"/>
      <c r="AA14" s="129"/>
      <c r="AB14" s="129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29"/>
      <c r="V15" s="129"/>
      <c r="W15" s="129"/>
      <c r="X15" s="129"/>
      <c r="Y15" s="129"/>
      <c r="Z15" s="129"/>
      <c r="AA15" s="129"/>
      <c r="AB15" s="129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21" t="s">
        <v>428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29"/>
      <c r="V16" s="129"/>
      <c r="W16" s="129"/>
      <c r="X16" s="129"/>
      <c r="Y16" s="129"/>
      <c r="Z16" s="129"/>
      <c r="AA16" s="129"/>
      <c r="AB16" s="129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29"/>
      <c r="V17" s="129"/>
      <c r="W17" s="129"/>
      <c r="X17" s="129"/>
      <c r="Y17" s="129"/>
      <c r="Z17" s="129"/>
      <c r="AA17" s="129"/>
      <c r="AB17" s="129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0</v>
      </c>
      <c r="U18" s="129"/>
      <c r="V18" s="129"/>
      <c r="W18" s="129"/>
      <c r="X18" s="129"/>
      <c r="Y18" s="129"/>
      <c r="Z18" s="129"/>
      <c r="AA18" s="129"/>
      <c r="AB18" s="129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29"/>
      <c r="V19" s="129"/>
      <c r="W19" s="129"/>
      <c r="X19" s="129"/>
      <c r="Y19" s="129"/>
      <c r="Z19" s="129"/>
      <c r="AA19" s="129"/>
      <c r="AB19" s="129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29"/>
      <c r="V20" s="129"/>
      <c r="W20" s="129"/>
      <c r="X20" s="129"/>
      <c r="Y20" s="129"/>
      <c r="Z20" s="129"/>
      <c r="AA20" s="129"/>
      <c r="AB20" s="129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29"/>
      <c r="V21" s="129"/>
      <c r="W21" s="129"/>
      <c r="X21" s="129"/>
      <c r="Y21" s="129"/>
      <c r="Z21" s="129"/>
      <c r="AA21" s="129"/>
      <c r="AB21" s="129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29"/>
      <c r="V22" s="129"/>
      <c r="W22" s="129"/>
      <c r="X22" s="129"/>
      <c r="Y22" s="129"/>
      <c r="Z22" s="129"/>
      <c r="AA22" s="129"/>
      <c r="AB22" s="129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29"/>
      <c r="V23" s="129"/>
      <c r="W23" s="129"/>
      <c r="X23" s="129"/>
      <c r="Y23" s="129"/>
      <c r="Z23" s="129"/>
      <c r="AA23" s="129"/>
      <c r="AB23" s="129"/>
    </row>
    <row r="24" spans="1:28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29"/>
      <c r="V24" s="129"/>
      <c r="W24" s="129"/>
      <c r="X24" s="129"/>
      <c r="Y24" s="129"/>
      <c r="Z24" s="129"/>
      <c r="AA24" s="129"/>
      <c r="AB24" s="129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0</v>
      </c>
      <c r="U25" s="129"/>
      <c r="V25" s="129"/>
      <c r="W25" s="129"/>
      <c r="X25" s="129"/>
      <c r="Y25" s="129"/>
      <c r="Z25" s="129"/>
      <c r="AA25" s="129"/>
      <c r="AB25" s="129"/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  <c r="U26" s="129"/>
      <c r="V26" s="129"/>
      <c r="W26" s="129"/>
      <c r="X26" s="129"/>
      <c r="Y26" s="129"/>
      <c r="Z26" s="129"/>
      <c r="AA26" s="129"/>
      <c r="AB26" s="129"/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  <c r="U27" s="129"/>
      <c r="V27" s="129"/>
      <c r="W27" s="129"/>
      <c r="X27" s="129"/>
      <c r="Y27" s="129"/>
      <c r="Z27" s="129"/>
      <c r="AA27" s="129"/>
      <c r="AB27" s="129"/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  <c r="U28" s="129"/>
      <c r="V28" s="129"/>
      <c r="W28" s="129"/>
      <c r="X28" s="129"/>
      <c r="Y28" s="129"/>
      <c r="Z28" s="129"/>
      <c r="AA28" s="129"/>
      <c r="AB28" s="129"/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21" t="s">
        <v>428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  <c r="U29" s="129"/>
      <c r="V29" s="129"/>
      <c r="W29" s="129"/>
      <c r="X29" s="129"/>
      <c r="Y29" s="129"/>
      <c r="Z29" s="129"/>
      <c r="AA29" s="129"/>
      <c r="AB29" s="129"/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1</v>
      </c>
      <c r="U30" s="129"/>
      <c r="V30" s="129"/>
      <c r="W30" s="129"/>
      <c r="X30" s="129"/>
      <c r="Y30" s="129"/>
      <c r="Z30" s="129"/>
      <c r="AA30" s="129"/>
      <c r="AB30" s="129"/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1</v>
      </c>
      <c r="K31" s="56"/>
      <c r="L31" s="6"/>
      <c r="P31" s="6" t="s">
        <v>386</v>
      </c>
      <c r="Q31" s="40" t="str">
        <f t="shared" ref="Q31:Q33" si="7">IFERROR(VLOOKUP(P31,$A$4:$L$1048576,12,0),"")</f>
        <v>ORI Label Test</v>
      </c>
      <c r="R31" s="40">
        <v>1</v>
      </c>
      <c r="U31" s="129"/>
      <c r="V31" s="129"/>
      <c r="W31" s="129"/>
      <c r="X31" s="129"/>
      <c r="Y31" s="129"/>
      <c r="Z31" s="129"/>
      <c r="AA31" s="129"/>
      <c r="AB31" s="129"/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388</v>
      </c>
      <c r="Q32" s="40" t="str">
        <f t="shared" si="7"/>
        <v>ORI Immediate</v>
      </c>
      <c r="R32" s="40">
        <v>0</v>
      </c>
      <c r="U32" s="129"/>
      <c r="V32" s="129"/>
      <c r="W32" s="129"/>
      <c r="X32" s="129"/>
      <c r="Y32" s="129"/>
      <c r="Z32" s="129"/>
      <c r="AA32" s="129"/>
      <c r="AB32" s="129"/>
    </row>
    <row r="33" spans="1:2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389</v>
      </c>
      <c r="Q33" s="40" t="str">
        <f t="shared" si="7"/>
        <v>ORI Zero Result</v>
      </c>
      <c r="R33" s="40">
        <v>0</v>
      </c>
      <c r="U33" s="129"/>
      <c r="V33" s="129"/>
      <c r="W33" s="129"/>
      <c r="X33" s="129"/>
      <c r="Y33" s="129"/>
      <c r="Z33" s="129"/>
      <c r="AA33" s="129"/>
      <c r="AB33" s="129"/>
    </row>
    <row r="34" spans="1:2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394</v>
      </c>
      <c r="Q34" s="40" t="str">
        <f t="shared" ref="Q34:Q39" si="10">IFERROR(VLOOKUP(P34,$A$4:$L$1048576,12,0),"")</f>
        <v>ADD (register) with Aux Carry</v>
      </c>
      <c r="R34" s="40">
        <v>0</v>
      </c>
      <c r="U34" s="129"/>
      <c r="V34" s="129"/>
      <c r="W34" s="129"/>
      <c r="X34" s="129"/>
      <c r="Y34" s="129"/>
      <c r="Z34" s="129"/>
      <c r="AA34" s="129"/>
      <c r="AB34" s="129"/>
    </row>
    <row r="35" spans="1:2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395</v>
      </c>
      <c r="Q35" s="40" t="str">
        <f t="shared" si="10"/>
        <v>ADD (register) with full Carry and Zero</v>
      </c>
      <c r="R35" s="40">
        <v>0</v>
      </c>
    </row>
    <row r="36" spans="1:2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396</v>
      </c>
      <c r="Q36" s="40" t="str">
        <f t="shared" si="10"/>
        <v>ADI (immediate)</v>
      </c>
      <c r="R36" s="40">
        <v>0</v>
      </c>
    </row>
    <row r="37" spans="1:28" ht="15.75" thickBot="1">
      <c r="H37" s="52"/>
      <c r="I37" s="52"/>
      <c r="J37" s="52"/>
      <c r="K37" s="52"/>
      <c r="P37" s="6" t="s">
        <v>397</v>
      </c>
      <c r="Q37" s="40" t="str">
        <f t="shared" si="10"/>
        <v>ANA (register)</v>
      </c>
      <c r="R37" s="40">
        <v>1</v>
      </c>
    </row>
    <row r="38" spans="1:2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21" t="s">
        <v>428</v>
      </c>
      <c r="L38" s="70" t="s">
        <v>240</v>
      </c>
      <c r="M38" s="20">
        <f>IFERROR(VLOOKUP(A38,$P$6:$R$1048576,3,0),0)</f>
        <v>0</v>
      </c>
      <c r="P38" s="6" t="s">
        <v>398</v>
      </c>
      <c r="Q38" s="40" t="str">
        <f t="shared" si="10"/>
        <v>ANI (immediate) → Zero case</v>
      </c>
      <c r="R38" s="40">
        <v>0</v>
      </c>
    </row>
    <row r="39" spans="1:2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399</v>
      </c>
      <c r="Q39" s="40" t="str">
        <f t="shared" si="10"/>
        <v>CPI (immediate) → Borrow (A &lt; data)</v>
      </c>
      <c r="R39" s="40">
        <v>0</v>
      </c>
    </row>
    <row r="40" spans="1:2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1</v>
      </c>
      <c r="K40" s="55"/>
      <c r="L40" s="40"/>
      <c r="P40" s="6" t="s">
        <v>400</v>
      </c>
      <c r="Q40" s="40"/>
      <c r="R40" s="40"/>
    </row>
    <row r="41" spans="1:2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401</v>
      </c>
      <c r="Q41" s="40"/>
      <c r="R41" s="40"/>
    </row>
    <row r="42" spans="1:2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402</v>
      </c>
      <c r="Q42" s="40"/>
      <c r="R42" s="40"/>
    </row>
    <row r="43" spans="1:2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403</v>
      </c>
      <c r="Q43" s="40"/>
      <c r="R43" s="40"/>
    </row>
    <row r="44" spans="1:2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2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2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2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28" ht="15.75" thickBot="1">
      <c r="H48" s="52"/>
      <c r="I48" s="52"/>
      <c r="J48" s="52"/>
      <c r="K48" s="52"/>
    </row>
    <row r="49" spans="1:13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21" t="s">
        <v>428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1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21" t="s">
        <v>428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21" t="s">
        <v>428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21" t="s">
        <v>428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0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1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21" t="s">
        <v>428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1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21" t="s">
        <v>428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0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21" t="s">
        <v>428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0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21" t="s">
        <v>428</v>
      </c>
      <c r="L113" s="70" t="s">
        <v>315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0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21" t="s">
        <v>428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21" t="s">
        <v>428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0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21" t="s">
        <v>428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1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1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21" t="s">
        <v>428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0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21" t="s">
        <v>428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0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21" t="s">
        <v>428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0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21" t="s">
        <v>428</v>
      </c>
      <c r="L194" s="70" t="s">
        <v>354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1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21" t="s">
        <v>428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21" t="s">
        <v>428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1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21" t="s">
        <v>428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1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21" t="s">
        <v>428</v>
      </c>
      <c r="L240" s="70" t="s">
        <v>374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376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377</v>
      </c>
      <c r="F243" s="103" t="s">
        <v>378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378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1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379</v>
      </c>
      <c r="F248" s="103" t="s">
        <v>380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380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0</v>
      </c>
      <c r="K253" s="117" t="s">
        <v>423</v>
      </c>
      <c r="L253" s="70" t="s">
        <v>375</v>
      </c>
      <c r="M253" s="20">
        <f>IFERROR(VLOOKUP(A253,$P$6:$R$1048576,3,0),0)</f>
        <v>1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381</v>
      </c>
      <c r="E254" s="102" t="s">
        <v>166</v>
      </c>
      <c r="F254" s="103" t="s">
        <v>382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381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1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1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386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17" t="s">
        <v>423</v>
      </c>
      <c r="L259" s="70" t="s">
        <v>387</v>
      </c>
      <c r="M259" s="20">
        <f>IFERROR(VLOOKUP(A259,$P$6:$R$1048576,3,0),0)</f>
        <v>1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383</v>
      </c>
      <c r="E260" s="102" t="s">
        <v>166</v>
      </c>
      <c r="F260" s="103" t="s">
        <v>384</v>
      </c>
      <c r="G260" s="104"/>
      <c r="H260" s="55" t="s">
        <v>154</v>
      </c>
      <c r="I260" s="86" t="s">
        <v>385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383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388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21" t="s">
        <v>428</v>
      </c>
      <c r="L265" s="70" t="s">
        <v>390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0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389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21" t="s">
        <v>428</v>
      </c>
      <c r="L273" s="70" t="s">
        <v>391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1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0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394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21" t="s">
        <v>428</v>
      </c>
      <c r="L281" s="70" t="s">
        <v>393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404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1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395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21" t="s">
        <v>428</v>
      </c>
      <c r="L290" s="70" t="s">
        <v>405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1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404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0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396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21" t="s">
        <v>428</v>
      </c>
      <c r="L299" s="70" t="s">
        <v>413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406</v>
      </c>
      <c r="H300" s="55" t="s">
        <v>154</v>
      </c>
      <c r="I300" s="86" t="s">
        <v>409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407</v>
      </c>
      <c r="F301" s="103" t="s">
        <v>408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0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397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17" t="s">
        <v>423</v>
      </c>
      <c r="L308" s="70" t="s">
        <v>415</v>
      </c>
      <c r="M308" s="20">
        <f>IFERROR(VLOOKUP(A308,$P$6:$R$1048576,3,0),0)</f>
        <v>1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414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0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398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21" t="s">
        <v>428</v>
      </c>
      <c r="L317" s="70" t="s">
        <v>416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1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0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399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21" t="s">
        <v>428</v>
      </c>
      <c r="L326" s="70" t="s">
        <v>417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0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4:AB4"/>
    <mergeCell ref="U5:AB3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style="130" bestFit="1" customWidth="1"/>
    <col min="15" max="15" width="8.28515625" style="130" bestFit="1" customWidth="1"/>
    <col min="16" max="16" width="10.85546875" style="130" bestFit="1" customWidth="1"/>
    <col min="17" max="17" width="36.85546875" style="130" bestFit="1" customWidth="1"/>
  </cols>
  <sheetData>
    <row r="1" spans="1:22" ht="17.25">
      <c r="A1" s="63" t="s">
        <v>168</v>
      </c>
    </row>
    <row r="2" spans="1:22" ht="15.75" thickBot="1">
      <c r="N2" s="130" t="s">
        <v>442</v>
      </c>
    </row>
    <row r="3" spans="1:22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  <c r="N3" s="131" t="s">
        <v>118</v>
      </c>
      <c r="O3" s="131" t="s">
        <v>429</v>
      </c>
      <c r="P3" s="131" t="s">
        <v>225</v>
      </c>
      <c r="Q3" s="131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  <c r="N4" s="131">
        <v>7</v>
      </c>
      <c r="O4" s="131" t="s">
        <v>230</v>
      </c>
      <c r="P4" s="132" t="s">
        <v>430</v>
      </c>
      <c r="Q4" s="132" t="s">
        <v>431</v>
      </c>
      <c r="R4">
        <f>Sign</f>
        <v>0</v>
      </c>
      <c r="S4">
        <f>2^N4</f>
        <v>128</v>
      </c>
      <c r="U4">
        <f>S4*R4</f>
        <v>0</v>
      </c>
    </row>
    <row r="5" spans="1:22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  <c r="N5" s="131">
        <v>6</v>
      </c>
      <c r="O5" s="131" t="s">
        <v>227</v>
      </c>
      <c r="P5" s="132" t="s">
        <v>432</v>
      </c>
      <c r="Q5" s="132" t="s">
        <v>433</v>
      </c>
      <c r="R5">
        <f>Zero</f>
        <v>0</v>
      </c>
      <c r="S5">
        <f>2^N5</f>
        <v>64</v>
      </c>
      <c r="U5">
        <f>S5*R5</f>
        <v>0</v>
      </c>
    </row>
    <row r="6" spans="1:22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  <c r="N6" s="131">
        <v>5</v>
      </c>
      <c r="O6" s="131">
        <v>0</v>
      </c>
      <c r="P6" s="132" t="s">
        <v>434</v>
      </c>
      <c r="Q6" s="132" t="s">
        <v>435</v>
      </c>
      <c r="R6">
        <v>0</v>
      </c>
      <c r="S6">
        <f>2^N6</f>
        <v>32</v>
      </c>
      <c r="U6">
        <f>S6*R6</f>
        <v>0</v>
      </c>
    </row>
    <row r="7" spans="1:22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  <c r="N7" s="131">
        <v>4</v>
      </c>
      <c r="O7" s="131" t="s">
        <v>128</v>
      </c>
      <c r="P7" s="132" t="s">
        <v>234</v>
      </c>
      <c r="Q7" s="132" t="s">
        <v>436</v>
      </c>
      <c r="R7">
        <f>AC</f>
        <v>0</v>
      </c>
      <c r="S7">
        <f>2^N7</f>
        <v>16</v>
      </c>
      <c r="U7">
        <f>S7*R7</f>
        <v>0</v>
      </c>
    </row>
    <row r="8" spans="1:22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  <c r="N8" s="131">
        <v>3</v>
      </c>
      <c r="O8" s="131">
        <v>0</v>
      </c>
      <c r="P8" s="132" t="s">
        <v>434</v>
      </c>
      <c r="Q8" s="132" t="s">
        <v>435</v>
      </c>
      <c r="R8">
        <v>0</v>
      </c>
      <c r="S8">
        <f>2^N8</f>
        <v>8</v>
      </c>
      <c r="U8">
        <f>S8*R8</f>
        <v>0</v>
      </c>
    </row>
    <row r="9" spans="1:22" ht="15.75" thickBot="1">
      <c r="N9" s="131">
        <v>2</v>
      </c>
      <c r="O9" s="131" t="s">
        <v>232</v>
      </c>
      <c r="P9" s="132" t="s">
        <v>437</v>
      </c>
      <c r="Q9" s="132" t="s">
        <v>438</v>
      </c>
      <c r="R9">
        <f>Parity</f>
        <v>0</v>
      </c>
      <c r="S9">
        <f>2^N9</f>
        <v>4</v>
      </c>
      <c r="U9">
        <f>S9*R9</f>
        <v>0</v>
      </c>
    </row>
    <row r="10" spans="1:22" ht="15.75" thickBot="1">
      <c r="N10" s="131">
        <v>1</v>
      </c>
      <c r="O10" s="131">
        <v>1</v>
      </c>
      <c r="P10" s="132" t="s">
        <v>434</v>
      </c>
      <c r="Q10" s="132" t="s">
        <v>439</v>
      </c>
      <c r="R10">
        <v>1</v>
      </c>
      <c r="S10">
        <f>2^N10</f>
        <v>2</v>
      </c>
      <c r="U10">
        <f>S10*R10</f>
        <v>2</v>
      </c>
    </row>
    <row r="11" spans="1:22" ht="15.75" thickBot="1">
      <c r="N11" s="131">
        <v>0</v>
      </c>
      <c r="O11" s="131" t="s">
        <v>236</v>
      </c>
      <c r="P11" s="132" t="s">
        <v>440</v>
      </c>
      <c r="Q11" s="132" t="s">
        <v>441</v>
      </c>
      <c r="R11">
        <f>Carry</f>
        <v>0</v>
      </c>
      <c r="S11">
        <f>2^N11</f>
        <v>1</v>
      </c>
      <c r="U11">
        <f>S11*R11</f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68</vt:i4>
      </vt:variant>
    </vt:vector>
  </HeadingPairs>
  <TitlesOfParts>
    <vt:vector size="72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2026-02-16T16:44:12Z</dcterms:modified>
</cp:coreProperties>
</file>