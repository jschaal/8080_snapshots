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19736" documentId="8_{5CDD6584-D218-4300-9EC8-76FBF9991BF3}" xr6:coauthVersionLast="47" xr6:coauthVersionMax="47" xr10:uidLastSave="{CCD0CC6B-00BB-4DDD-AEF9-E8EFEA8817C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79" i="5" a="1"/>
  <c r="J156" i="5" a="1"/>
  <c r="J168" i="5" a="1"/>
  <c r="J198" i="5" a="1"/>
  <c r="J227" i="5" a="1"/>
  <c r="J153" i="5" a="1"/>
  <c r="J158" i="5" a="1"/>
  <c r="J243" i="5" a="1"/>
  <c r="J187" i="5" a="1"/>
  <c r="J248" i="5" a="1"/>
  <c r="J225" i="5" a="1"/>
  <c r="J295" i="5" a="1"/>
  <c r="J155" i="5" a="1"/>
  <c r="J304" i="5" a="1"/>
  <c r="J312" i="5" a="1"/>
  <c r="J237" i="5" a="1"/>
  <c r="J141" i="5" a="1"/>
  <c r="J241" i="5" a="1"/>
  <c r="J145" i="5" a="1"/>
  <c r="J132" i="5" a="1"/>
  <c r="J152" i="5" a="1"/>
  <c r="J270" i="5" a="1"/>
  <c r="J322" i="5" a="1"/>
  <c r="J323" i="5" a="1"/>
  <c r="J128" i="5" a="1"/>
  <c r="J181" i="5" a="1"/>
  <c r="J175" i="5" a="1"/>
  <c r="J274" i="5" a="1"/>
  <c r="J261" i="5" a="1"/>
  <c r="J234" i="5" a="1"/>
  <c r="J294" i="5" a="1"/>
  <c r="J309" i="5" a="1"/>
  <c r="J130" i="5" a="1"/>
  <c r="J212" i="5" a="1"/>
  <c r="J129" i="5" a="1"/>
  <c r="J286" i="5" a="1"/>
  <c r="J271" i="5" a="1"/>
  <c r="J262" i="5" a="1"/>
  <c r="J282" i="5" a="1"/>
  <c r="J255" i="5" a="1"/>
  <c r="J188" i="5" a="1"/>
  <c r="J275" i="5" a="1"/>
  <c r="J327" i="5" a="1"/>
  <c r="J285" i="5" a="1"/>
  <c r="J331" i="5" a="1"/>
  <c r="J218" i="5" a="1"/>
  <c r="J151" i="5" a="1"/>
  <c r="J166" i="5" a="1"/>
  <c r="J288" i="5" a="1"/>
  <c r="J170" i="5" a="1"/>
  <c r="J302" i="5" a="1"/>
  <c r="J150" i="5" a="1"/>
  <c r="J136" i="5" a="1"/>
  <c r="J137" i="5" a="1"/>
  <c r="J313" i="5" a="1"/>
  <c r="J226" i="5" a="1"/>
  <c r="J276" i="5" a="1"/>
  <c r="J249" i="5" a="1"/>
  <c r="J171" i="5" a="1"/>
  <c r="J167" i="5" a="1"/>
  <c r="J320" i="5" a="1"/>
  <c r="J256" i="5" a="1"/>
  <c r="J245" i="5" a="1"/>
  <c r="J303" i="5" a="1"/>
  <c r="J314" i="5" a="1"/>
  <c r="J332" i="5" a="1"/>
  <c r="J278" i="5" a="1"/>
  <c r="J318" i="5" a="1"/>
  <c r="J235" i="5" a="1"/>
  <c r="J196" i="5" a="1"/>
  <c r="J197" i="5" a="1"/>
  <c r="J177" i="5" a="1"/>
  <c r="J310" i="5" a="1"/>
  <c r="J46" i="5" a="1"/>
  <c r="J315" i="5" a="1"/>
  <c r="J324" i="5" a="1"/>
  <c r="J242" i="5" a="1"/>
  <c r="J297" i="5" a="1"/>
  <c r="J268" i="5" a="1"/>
  <c r="J178" i="5" a="1"/>
  <c r="J266" i="5" a="1"/>
  <c r="J260" i="5" a="1"/>
  <c r="J311" i="5" a="1"/>
  <c r="J279" i="5" a="1"/>
  <c r="J201" i="5" a="1"/>
  <c r="J44" i="5" a="1"/>
  <c r="J247" i="5" a="1"/>
  <c r="J292" i="5" a="1"/>
  <c r="J138" i="5" a="1"/>
  <c r="J133" i="5" a="1"/>
  <c r="J269" i="5" a="1"/>
  <c r="J333" i="5" a="1"/>
  <c r="J293" i="5" a="1"/>
  <c r="J185" i="5" a="1"/>
  <c r="J300" i="5" a="1"/>
  <c r="J200" i="5" a="1"/>
  <c r="J329" i="5" a="1"/>
  <c r="J236" i="5" a="1"/>
  <c r="J305" i="5" a="1"/>
  <c r="J127" i="5" a="1"/>
  <c r="J228" i="5" a="1"/>
  <c r="J284" i="5" a="1"/>
  <c r="J144" i="5" a="1"/>
  <c r="J186" i="5" a="1"/>
  <c r="J215" i="5" a="1"/>
  <c r="J291" i="5" a="1"/>
  <c r="J206" i="5" a="1"/>
  <c r="J142" i="5" a="1"/>
  <c r="J330" i="5" a="1"/>
  <c r="J191" i="5" a="1"/>
  <c r="J267" i="5" a="1"/>
  <c r="J143" i="5" a="1"/>
  <c r="J283" i="5" a="1"/>
  <c r="J306" i="5" a="1"/>
  <c r="J296" i="5" a="1"/>
  <c r="J176" i="5" a="1"/>
  <c r="J126" i="5" a="1"/>
  <c r="J165" i="5" a="1"/>
  <c r="J277" i="5" a="1"/>
  <c r="J199" i="5" a="1"/>
  <c r="J263" i="5" a="1"/>
  <c r="J195" i="5" a="1"/>
  <c r="J287" i="5" a="1"/>
  <c r="J321" i="5" a="1"/>
  <c r="J246" i="5" a="1"/>
  <c r="J189" i="5" a="1"/>
  <c r="J131" i="5" a="1"/>
  <c r="J219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4" i="5" a="1"/>
  <c r="J86" i="5" a="1"/>
  <c r="J87" i="5" a="1"/>
  <c r="J107" i="5" a="1"/>
  <c r="J102" i="5" a="1"/>
  <c r="J89" i="5" a="1"/>
  <c r="J88" i="5" a="1"/>
  <c r="J85" i="5" a="1"/>
  <c r="J108" i="5" a="1"/>
  <c r="J80" i="5" a="1"/>
  <c r="J101" i="5" a="1"/>
  <c r="J100" i="5" a="1"/>
  <c r="J91" i="5" a="1"/>
  <c r="J99" i="5" a="1"/>
  <c r="J110" i="5" a="1"/>
  <c r="J109" i="5" a="1"/>
  <c r="J9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12" i="5" a="1"/>
  <c r="J51" i="5" a="1"/>
  <c r="J77" i="5" a="1"/>
  <c r="J60" i="5" a="1"/>
  <c r="J61" i="5" a="1"/>
  <c r="J26" i="5" a="1"/>
  <c r="J22" i="5" a="1"/>
  <c r="J79" i="5" a="1"/>
  <c r="J71" i="5" a="1"/>
  <c r="J52" i="5" a="1"/>
  <c r="J31" i="5" a="1"/>
  <c r="J59" i="5" a="1"/>
  <c r="J42" i="5" a="1"/>
  <c r="J69" i="5" a="1"/>
  <c r="J33" i="5" a="1"/>
  <c r="J72" i="5" a="1"/>
  <c r="J63" i="5" a="1"/>
  <c r="J19" i="5" a="1"/>
  <c r="J40" i="5" a="1"/>
  <c r="J78" i="5" a="1"/>
  <c r="J35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<sst xmlns="http://schemas.openxmlformats.org/spreadsheetml/2006/main" count="1454" uniqueCount="427">
  <si>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</si>
  <si>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</si>
  <si>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</si>
  <si>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</si>
  <si>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</si>
  <si>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</si>
  <si>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</si>
  <si>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</si>
  <si>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</si>
  <si>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</si>
  <si>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</si>
  <si>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</si>
  <si>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</si>
  <si>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</si>
  <si>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</si>
  <si>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</si>
  <si>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</si>
  <si>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</si>
  <si>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</si>
  <si>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</si>
  <si>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</si>
  <si>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</si>
  <si>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</si>
  <si>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</si>
  <si>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</si>
  <si>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</si>
  <si>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</si>
  <si>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</si>
  <si>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</si>
  <si>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</si>
  <si>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</si>
  <si>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</si>
  <si>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</si>
  <si>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</si>
  <si>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</si>
  <si>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</si>
  <si>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</si>
  <si>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</si>
  <si>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</si>
  <si>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</si>
  <si>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</si>
  <si>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</si>
  <si>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</si>
  <si>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</si>
  <si>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</si>
  <si>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</si>
  <si>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</si>
  <si>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</si>
  <si>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</si>
  <si>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</si>
  <si>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</si>
  <si>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</si>
  <si>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</si>
  <si>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</si>
  <si>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</si>
  <si>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</si>
  <si>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</si>
  <si>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</si>
  <si>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</si>
  <si>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</si>
  <si>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</si>
  <si>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</si>
  <si>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</si>
  <si>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</si>
  <si>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</si>
  <si>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</si>
  <si>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</si>
  <si>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</si>
  <si>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</si>
  <si>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</si>
  <si>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</si>
  <si>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</si>
  <si>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</si>
  <si>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</si>
  <si>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</si>
  <si>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</si>
  <si>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</si>
  <si>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</si>
  <si>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</si>
  <si>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</si>
  <si>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</si>
  <si>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</si>
  <si>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</si>
  <si>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</si>
  <si>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</si>
  <si>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</si>
  <si>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</si>
  <si>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</si>
  <si>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</si>
  <si>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</si>
  <si>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</si>
  <si>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</si>
  <si>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</si>
  <si>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</si>
  <si>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</si>
  <si>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</si>
  <si>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</si>
  <si>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</si>
  <si>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</si>
  <si>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</si>
  <si>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</si>
  <si>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</si>
  <si>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</si>
  <si>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</si>
  <si>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</si>
  <si>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</si>
  <si>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</si>
  <si>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</si>
  <si>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</si>
  <si>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</si>
  <si>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</si>
  <si>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</si>
  <si>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</si>
  <si>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</si>
  <si>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</si>
  <si>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</si>
  <si>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</si>
  <si>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</si>
  <si>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</si>
  <si>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</si>
  <si>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</si>
  <si>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</si>
  <si>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</si>
  <si>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</si>
  <si>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</si>
  <si>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</si>
  <si>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</si>
  <si>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</si>
  <si>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</si>
  <si>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</si>
  <si>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</si>
  <si>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</si>
  <si>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</si>
  <si>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</si>
  <si>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</si>
  <si>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</si>
  <si>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</si>
  <si>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</si>
  <si>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</si>
  <si>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</si>
  <si>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</si>
  <si>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</si>
  <si>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</si>
  <si>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</si>
  <si>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</si>
  <si>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</si>
  <si>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</si>
  <si>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</si>
  <si>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</si>
  <si>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</si>
  <si>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</si>
  <si>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</si>
  <si>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</si>
  <si>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</si>
  <si>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</si>
  <si>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</si>
  <si>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</si>
  <si>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</si>
  <si>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</si>
  <si>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</si>
  <si>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</si>
  <si>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</si>
  <si>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</si>
  <si>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</si>
  <si>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</si>
  <si>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</si>
  <si>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</si>
  <si>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</si>
  <si>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</si>
  <si>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</si>
  <si>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</si>
  <si>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</si>
  <si>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</si>
  <si>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</si>
  <si>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</si>
  <si>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</si>
  <si>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</si>
  <si>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</si>
  <si>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</si>
  <si>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</si>
  <si>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</si>
  <si>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</si>
  <si>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</si>
  <si>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</si>
  <si>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</si>
  <si>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</si>
  <si>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</si>
  <si>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</si>
  <si>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</si>
  <si>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</si>
  <si>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</si>
  <si>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</si>
  <si>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</si>
  <si>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</si>
  <si>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</si>
  <si>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</si>
  <si>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</si>
  <si>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</si>
  <si>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</si>
  <si>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</si>
  <si>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</si>
  <si>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</si>
  <si>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</si>
  <si>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</si>
  <si>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</si>
  <si>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</si>
  <si>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</si>
  <si>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</si>
  <si>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</si>
  <si>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</si>
  <si>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</si>
  <si>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</si>
  <si>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</si>
  <si>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</si>
  <si>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</si>
  <si>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</si>
  <si>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</si>
  <si>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</si>
  <si>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</si>
  <si>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</si>
  <si>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</si>
  <si>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</si>
  <si>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</si>
  <si>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</si>
  <si>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</si>
  <si>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</si>
  <si>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</si>
  <si>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</si>
  <si>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</si>
  <si>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</si>
  <si>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</si>
  <si>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</si>
  <si>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</si>
  <si>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</si>
  <si>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</si>
  <si>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</si>
  <si>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</si>
  <si>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</si>
  <si>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</si>
  <si>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</si>
  <si>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</si>
  <si>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</si>
  <si>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</si>
  <si>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</si>
  <si>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</si>
  <si>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</si>
  <si>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</si>
  <si>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</si>
  <si>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</si>
  <si>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</si>
  <si>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</si>
  <si>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</si>
  <si>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</si>
  <si>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</si>
  <si>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</si>
  <si>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</si>
  <si>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</si>
  <si>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</si>
  <si>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</si>
  <si>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</si>
  <si>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</si>
  <si>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</si>
  <si>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</si>
  <si>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</si>
  <si>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</si>
  <si>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</si>
  <si>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</si>
  <si>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</si>
  <si>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</si>
  <si>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</si>
  <si>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</si>
  <si>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</si>
  <si>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</si>
  <si>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</si>
  <si>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</si>
  <si>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</si>
  <si>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</si>
  <si>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</si>
  <si>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</si>
  <si>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</si>
  <si>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</si>
  <si>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</si>
  <si>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</si>
  <si>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</si>
  <si>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</si>
  <si>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</si>
  <si>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</si>
  <si>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</si>
  <si>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</si>
  <si>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</si>
  <si>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</si>
  <si>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</si>
  <si>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</si>
  <si>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</si>
  <si>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</si>
  <si>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</si>
  <si>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</si>
  <si>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</si>
  <si>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</si>
  <si>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</si>
  <si>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</si>
  <si>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</si>
  <si>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</si>
  <si>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</si>
  <si>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</si>
  <si>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</si>
  <si>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</si>
  <si>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</si>
  <si>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</si>
  <si>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</si>
  <si>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</si>
  <si>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</si>
  <si>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</si>
  <si>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</si>
  <si>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</si>
  <si>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</si>
  <si>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</si>
  <si>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</si>
  <si>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</si>
  <si>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</si>
  <si>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</si>
  <si>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</si>
  <si>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</si>
  <si>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</si>
  <si>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</si>
  <si>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</si>
  <si>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</si>
  <si>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</si>
  <si>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</si>
  <si>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</si>
  <si>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</si>
  <si>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</si>
  <si>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</si>
  <si>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</si>
  <si>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</si>
  <si>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</si>
  <si>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</si>
  <si>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</si>
  <si>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</si>
  <si>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</si>
  <si>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</si>
  <si>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</si>
  <si>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</si>
  <si>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</si>
  <si>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</si>
  <si>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</si>
  <si>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</si>
  <si>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</si>
  <si>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</si>
  <si>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</si>
  <si>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</si>
  <si>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</si>
  <si>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</si>
  <si>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</si>
  <si>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</si>
  <si>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</si>
  <si>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</si>
  <si>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</si>
  <si>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</si>
  <si>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</si>
  <si>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</si>
  <si>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</si>
  <si>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</si>
  <si>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</si>
  <si>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</si>
  <si>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</si>
  <si>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</si>
  <si>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</si>
  <si>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</si>
  <si>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</si>
  <si>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</si>
  <si>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</si>
  <si>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</si>
  <si>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</si>
  <si>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</si>
  <si>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</si>
  <si>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</si>
  <si>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</si>
  <si>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</si>
  <si>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</si>
  <si>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</si>
  <si>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</si>
  <si>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</si>
  <si>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</si>
  <si>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</si>
  <si>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</si>
  <si>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</si>
  <si>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</si>
  <si>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</si>
  <si>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</si>
  <si>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</si>
  <si>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</si>
  <si>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</si>
  <si>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</si>
  <si>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</si>
  <si>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</si>
  <si>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</si>
  <si>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</si>
  <si>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</si>
  <si>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</si>
  <si>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</si>
  <si>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</si>
  <si>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</si>
  <si>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</si>
  <si>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</si>
  <si>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</si>
  <si>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</si>
  <si>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</si>
  <si>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</si>
  <si>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</si>
  <si>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</si>
  <si>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</si>
  <si>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</si>
  <si>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</si>
  <si>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</si>
  <si>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</si>
  <si>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</si>
  <si>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</si>
  <si>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</si>
  <si>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</si>
  <si>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</si>
  <si>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</si>
  <si>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</si>
  <si>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</si>
  <si>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0100</t>
  </si>
  <si>
    <t>FAIL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</si>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</sst>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4" borderId="49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3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8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423</v>
      </c>
      <c r="AO1" s="67" t="s">
        <v>419</v>
      </c>
      <c r="AP1" s="6"/>
    </row>
    <row r="2" spans="1:42">
      <c r="A2" s="14" t="s">
        <v>135</v>
      </c>
      <c r="B2" s="15">
        <v>1</v>
      </c>
      <c r="AN2" s="117">
        <v>0</v>
      </c>
      <c r="AO2" s="117" t="s">
        <v>420</v>
      </c>
      <c r="AP2" s="6"/>
    </row>
    <row r="3" spans="1:42" ht="15.75" thickBot="1">
      <c r="A3" s="8" t="s">
        <v>134</v>
      </c>
      <c r="B3" s="13">
        <f>Line0</f>
        <v>256</v>
      </c>
      <c r="AN3" s="117">
        <v>0</v>
      </c>
      <c r="AO3" s="117" t="s">
        <v>421</v>
      </c>
      <c r="AP3" s="6"/>
    </row>
    <row r="4" spans="1:42" ht="15.75" thickBot="1">
      <c r="AA4" s="7" t="s">
        <v>411</v>
      </c>
      <c r="AB4" s="109">
        <f>HEX2DEC(AB5)</f>
        <v>63</v>
      </c>
      <c r="AC4" s="111">
        <f t="shared" ref="AC4:AJ4" si="0">AB4-AC5*AC6</f>
        <v>63</v>
      </c>
      <c r="AD4" s="112">
        <f t="shared" si="0"/>
        <v>63</v>
      </c>
      <c r="AE4" s="112">
        <f t="shared" si="0"/>
        <v>31</v>
      </c>
      <c r="AF4" s="112">
        <f t="shared" si="0"/>
        <v>15</v>
      </c>
      <c r="AG4" s="112">
        <f t="shared" si="0"/>
        <v>7</v>
      </c>
      <c r="AH4" s="112">
        <f t="shared" si="0"/>
        <v>3</v>
      </c>
      <c r="AI4" s="112">
        <f t="shared" si="0"/>
        <v>1</v>
      </c>
      <c r="AJ4" s="113">
        <f t="shared" si="0"/>
        <v>1</v>
      </c>
      <c r="AK4" t="s">
        <v>412</v>
      </c>
      <c r="AL4" t="s">
        <v>413</v>
      </c>
      <c r="AN4" s="117">
        <v>1</v>
      </c>
      <c r="AO4" s="117" t="s">
        <v>422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0" t="s">
        <v>410</v>
      </c>
      <c r="AC5" s="114">
        <f t="shared" ref="AC5:AJ5" si="1">IF(AB4&gt;AC6,1,0)</f>
        <v>0</v>
      </c>
      <c r="AD5" s="114">
        <f t="shared" si="1"/>
        <v>0</v>
      </c>
      <c r="AE5" s="114">
        <f t="shared" si="1"/>
        <v>1</v>
      </c>
      <c r="AF5" s="114">
        <f t="shared" si="1"/>
        <v>1</v>
      </c>
      <c r="AG5" s="114">
        <f t="shared" si="1"/>
        <v>1</v>
      </c>
      <c r="AH5" s="114">
        <f t="shared" si="1"/>
        <v>1</v>
      </c>
      <c r="AI5" s="114">
        <f t="shared" si="1"/>
        <v>1</v>
      </c>
      <c r="AJ5" s="114">
        <f t="shared" si="1"/>
        <v>1</v>
      </c>
      <c r="AK5" s="115">
        <f>SUM(AC5:AJ5)</f>
        <v>6</v>
      </c>
      <c r="AL5" s="115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4">
        <v>128</v>
      </c>
      <c r="AD6" s="114">
        <v>64</v>
      </c>
      <c r="AE6" s="114">
        <v>32</v>
      </c>
      <c r="AF6" s="114">
        <v>16</v>
      </c>
      <c r="AG6" s="114">
        <v>8</v>
      </c>
      <c r="AH6" s="114">
        <v>4</v>
      </c>
      <c r="AI6" s="114">
        <v>2</v>
      </c>
      <c r="AJ6" s="114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4"/>
      <c r="AD7" s="114"/>
      <c r="AE7" s="114"/>
      <c r="AF7" s="114"/>
      <c r="AG7" s="114"/>
      <c r="AH7" s="114"/>
      <c r="AI7" s="114"/>
      <c r="AJ7" s="114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424</v>
      </c>
      <c r="D13" s="34" t="str">
        <f t="shared" si="2"/>
        <v>.</v>
      </c>
      <c r="E13" s="35">
        <f t="shared" si="3"/>
        <v>256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6" activePane="bottomLeft" state="frozen"/>
      <selection pane="bottomLeft" activeCell="R6" sqref="R6:R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0100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344</v>
      </c>
      <c r="L4" s="70" t="s">
        <v>267</v>
      </c>
      <c r="M4" s="20">
        <f>IFERROR(VLOOKUP(A4,$P$6:$R$1048576,3,0),0)</f>
        <v>0</v>
      </c>
      <c r="U4" s="130" t="s">
        <v>342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393</v>
      </c>
      <c r="R5" s="93" t="s">
        <v>243</v>
      </c>
      <c r="U5" s="121" t="s">
        <v>426</v>
      </c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344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344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1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344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387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389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390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395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396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397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398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344</v>
      </c>
      <c r="L38" s="70" t="s">
        <v>240</v>
      </c>
      <c r="M38" s="20">
        <f>IFERROR(VLOOKUP(A38,$P$6:$R$1048576,3,0),0)</f>
        <v>0</v>
      </c>
      <c r="P38" s="6" t="s">
        <v>399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400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401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402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403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404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33" t="s">
        <v>425</v>
      </c>
      <c r="L113" s="70" t="s">
        <v>316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344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344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344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344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344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344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344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344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344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344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344</v>
      </c>
      <c r="L240" s="70" t="s">
        <v>375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377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378</v>
      </c>
      <c r="F243" s="103" t="s">
        <v>379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379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380</v>
      </c>
      <c r="F248" s="103" t="s">
        <v>381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381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344</v>
      </c>
      <c r="L253" s="70" t="s">
        <v>376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382</v>
      </c>
      <c r="E254" s="102" t="s">
        <v>166</v>
      </c>
      <c r="F254" s="103" t="s">
        <v>383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382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387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8" t="s">
        <v>344</v>
      </c>
      <c r="L259" s="70" t="s">
        <v>388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384</v>
      </c>
      <c r="E260" s="102" t="s">
        <v>166</v>
      </c>
      <c r="F260" s="103" t="s">
        <v>385</v>
      </c>
      <c r="G260" s="104"/>
      <c r="H260" s="55" t="s">
        <v>154</v>
      </c>
      <c r="I260" s="86" t="s">
        <v>386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384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389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8" t="s">
        <v>344</v>
      </c>
      <c r="L265" s="70" t="s">
        <v>391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390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8" t="s">
        <v>344</v>
      </c>
      <c r="L273" s="70" t="s">
        <v>392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395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8" t="s">
        <v>344</v>
      </c>
      <c r="L281" s="70" t="s">
        <v>394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405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396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8" t="s">
        <v>344</v>
      </c>
      <c r="L290" s="70" t="s">
        <v>406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405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397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8" t="s">
        <v>344</v>
      </c>
      <c r="L299" s="70" t="s">
        <v>414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407</v>
      </c>
      <c r="H300" s="55" t="s">
        <v>154</v>
      </c>
      <c r="I300" s="86" t="s">
        <v>410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408</v>
      </c>
      <c r="F301" s="103" t="s">
        <v>409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398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8" t="s">
        <v>344</v>
      </c>
      <c r="L308" s="70" t="s">
        <v>416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415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399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8" t="s">
        <v>344</v>
      </c>
      <c r="L317" s="70" t="s">
        <v>417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6"/>
      <c r="R325" s="116"/>
    </row>
    <row r="326" spans="1:18" ht="15.75" thickBot="1">
      <c r="A326" s="20" t="s">
        <v>400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08" t="s">
        <v>344</v>
      </c>
      <c r="L326" s="70" t="s">
        <v>418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65</vt:i4>
      </vt:variant>
    </vt:vector>
  </HeadingPairs>
  <TitlesOfParts>
    <vt:vector size="69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2026-02-16T01:09:17Z</dcterms:modified>
</cp:coreProperties>
</file>