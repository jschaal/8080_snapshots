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667E7AB5-95DF-40B1-9EE7-967D462E589B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94" i="5" l="1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J895" i="5" a="1"/>
  <c r="J892" i="5" a="1"/>
  <c r="J894" i="5" a="1"/>
  <c r="J883" i="5" a="1"/>
  <c r="J889" i="5" a="1"/>
  <c r="J888" i="5" a="1"/>
  <c r="J887" i="5" a="1"/>
  <c r="J886" i="5" a="1"/>
  <c r="J881" i="5" a="1"/>
  <c r="J882" i="5" a="1"/>
  <c r="J880" i="5" a="1"/>
  <c r="J874" i="5" a="1"/>
  <c r="J868" i="5" a="1"/>
  <c r="J862" i="5" a="1"/>
  <c r="J856" i="5" a="1"/>
  <c r="J850" i="5" a="1"/>
  <c r="J844" i="5" a="1"/>
  <c r="S28" i="2" a="1"/>
  <c r="S25" i="2" a="1"/>
  <c r="S23" i="2" a="1"/>
  <c r="S35" i="2" a="1"/>
  <c r="S26" i="2" a="1"/>
  <c r="S27" i="2" a="1"/>
  <c r="S22" i="2" a="1"/>
  <c r="S29" i="2" a="1"/>
  <c r="S24" i="2" a="1"/>
  <c r="S34" i="2" a="1"/>
  <c r="S33" i="2" a="1"/>
  <c r="S31" i="2" a="1"/>
  <c r="S30" i="2" a="1"/>
  <c r="S20" i="2" a="1"/>
  <c r="S19" i="2" a="1"/>
  <c r="S15" i="2" a="1"/>
  <c r="S18" i="2" a="1"/>
  <c r="S17" i="2" a="1"/>
  <c r="S8" i="2" a="1"/>
  <c r="AB19" i="2" a="1"/>
  <c r="S12" i="2" a="1"/>
  <c r="S11" i="2" a="1"/>
  <c r="S13" i="2" a="1"/>
  <c r="AB18" i="2" a="1"/>
  <c r="S9" i="2" a="1"/>
  <c r="AB17" i="2" a="1"/>
  <c r="AB16" i="2" a="1"/>
  <c r="AB15" i="2" a="1"/>
  <c r="S10" i="2" a="1"/>
  <c r="S14" i="2" a="1"/>
  <c r="S16" i="2" a="1"/>
  <c r="J755" i="5" a="1"/>
  <c r="J396" i="5" a="1"/>
  <c r="J44" i="5" a="1"/>
  <c r="J246" i="5" a="1"/>
  <c r="J46" i="5" a="1"/>
  <c r="J171" i="5" a="1"/>
  <c r="J677" i="5" a="1"/>
  <c r="J324" i="5" a="1"/>
  <c r="J559" i="5" a="1"/>
  <c r="J341" i="5" a="1"/>
  <c r="J367" i="5" a="1"/>
  <c r="J128" i="5" a="1"/>
  <c r="J803" i="5" a="1"/>
  <c r="J577" i="5" a="1"/>
  <c r="J181" i="5" a="1"/>
  <c r="J331" i="5" a="1"/>
  <c r="J137" i="5" a="1"/>
  <c r="J338" i="5" a="1"/>
  <c r="J746" i="5" a="1"/>
  <c r="J282" i="5" a="1"/>
  <c r="J363" i="5" a="1"/>
  <c r="J141" i="5" a="1"/>
  <c r="J304" i="5" a="1"/>
  <c r="J177" i="5" a="1"/>
  <c r="J248" i="5" a="1"/>
  <c r="J580" i="5" a="1"/>
  <c r="J618" i="5" a="1"/>
  <c r="J287" i="5" a="1"/>
  <c r="J802" i="5" a="1"/>
  <c r="J644" i="5" a="1"/>
  <c r="J196" i="5" a="1"/>
  <c r="J138" i="5" a="1"/>
  <c r="J719" i="5" a="1"/>
  <c r="J493" i="5" a="1"/>
  <c r="J358" i="5" a="1"/>
  <c r="J377" i="5" a="1"/>
  <c r="J413" i="5" a="1"/>
  <c r="J686" i="5" a="1"/>
  <c r="J428" i="5" a="1"/>
  <c r="J309" i="5" a="1"/>
  <c r="J315" i="5" a="1"/>
  <c r="J350" i="5" a="1"/>
  <c r="J773" i="5" a="1"/>
  <c r="J381" i="5" a="1"/>
  <c r="J191" i="5" a="1"/>
  <c r="J271" i="5" a="1"/>
  <c r="J195" i="5" a="1"/>
  <c r="J550" i="5" a="1"/>
  <c r="J365" i="5" a="1"/>
  <c r="J225" i="5" a="1"/>
  <c r="J579" i="5" a="1"/>
  <c r="J369" i="5" a="1"/>
  <c r="J201" i="5" a="1"/>
  <c r="J295" i="5" a="1"/>
  <c r="J278" i="5" a="1"/>
  <c r="J166" i="5" a="1"/>
  <c r="J837" i="5" a="1"/>
  <c r="J804" i="5" a="1"/>
  <c r="J152" i="5" a="1"/>
  <c r="J329" i="5" a="1"/>
  <c r="J131" i="5" a="1"/>
  <c r="J399" i="5" a="1"/>
  <c r="J274" i="5" a="1"/>
  <c r="J366" i="5" a="1"/>
  <c r="J424" i="5" a="1"/>
  <c r="J404" i="5" a="1"/>
  <c r="J314" i="5" a="1"/>
  <c r="J805" i="5" a="1"/>
  <c r="J386" i="5" a="1"/>
  <c r="J474" i="5" a="1"/>
  <c r="J283" i="5" a="1"/>
  <c r="J357" i="5" a="1"/>
  <c r="J247" i="5" a="1"/>
  <c r="J276" i="5" a="1"/>
  <c r="J142" i="5" a="1"/>
  <c r="J345" i="5" a="1"/>
  <c r="J218" i="5" a="1"/>
  <c r="J176" i="5" a="1"/>
  <c r="J449" i="5" a="1"/>
  <c r="J293" i="5" a="1"/>
  <c r="J619" i="5" a="1"/>
  <c r="J602" i="5" a="1"/>
  <c r="J360" i="5" a="1"/>
  <c r="J330" i="5" a="1"/>
  <c r="J143" i="5" a="1"/>
  <c r="J189" i="5" a="1"/>
  <c r="J438" i="5" a="1"/>
  <c r="J766" i="5" a="1"/>
  <c r="J737" i="5" a="1"/>
  <c r="J392" i="5" a="1"/>
  <c r="J261" i="5" a="1"/>
  <c r="J798" i="5" a="1"/>
  <c r="J556" i="5" a="1"/>
  <c r="J303" i="5" a="1"/>
  <c r="J269" i="5" a="1"/>
  <c r="J394" i="5" a="1"/>
  <c r="J811" i="5" a="1"/>
  <c r="J356" i="5" a="1"/>
  <c r="J130" i="5" a="1"/>
  <c r="J127" i="5" a="1"/>
  <c r="J354" i="5" a="1"/>
  <c r="J188" i="5" a="1"/>
  <c r="J576" i="5" a="1"/>
  <c r="J806" i="5" a="1"/>
  <c r="J262" i="5" a="1"/>
  <c r="J144" i="5" a="1"/>
  <c r="J368" i="5" a="1"/>
  <c r="J387" i="5" a="1"/>
  <c r="J260" i="5" a="1"/>
  <c r="J320" i="5" a="1"/>
  <c r="J405" i="5" a="1"/>
  <c r="J237" i="5" a="1"/>
  <c r="J279" i="5" a="1"/>
  <c r="J807" i="5" a="1"/>
  <c r="J226" i="5" a="1"/>
  <c r="J359" i="5" a="1"/>
  <c r="J595" i="5" a="1"/>
  <c r="J178" i="5" a="1"/>
  <c r="J285" i="5" a="1"/>
  <c r="J322" i="5" a="1"/>
  <c r="J710" i="5" a="1"/>
  <c r="J249" i="5" a="1"/>
  <c r="J555" i="5" a="1"/>
  <c r="J186" i="5" a="1"/>
  <c r="J403" i="5" a="1"/>
  <c r="J393" i="5" a="1"/>
  <c r="J779" i="5" a="1"/>
  <c r="J170" i="5" a="1"/>
  <c r="J374" i="5" a="1"/>
  <c r="J321" i="5" a="1"/>
  <c r="J236" i="5" a="1"/>
  <c r="J206" i="5" a="1"/>
  <c r="J838" i="5" a="1"/>
  <c r="J351" i="5" a="1"/>
  <c r="J695" i="5" a="1"/>
  <c r="J263" i="5" a="1"/>
  <c r="J297" i="5" a="1"/>
  <c r="J241" i="5" a="1"/>
  <c r="J431" i="5" a="1"/>
  <c r="J179" i="5" a="1"/>
  <c r="J145" i="5" a="1"/>
  <c r="J587" i="5" a="1"/>
  <c r="J151" i="5" a="1"/>
  <c r="J384" i="5" a="1"/>
  <c r="J311" i="5" a="1"/>
  <c r="J475" i="5" a="1"/>
  <c r="J349" i="5" a="1"/>
  <c r="J383" i="5" a="1"/>
  <c r="J275" i="5" a="1"/>
  <c r="J267" i="5" a="1"/>
  <c r="J305" i="5" a="1"/>
  <c r="J560" i="5" a="1"/>
  <c r="J565" i="5" a="1"/>
  <c r="J822" i="5" a="1"/>
  <c r="J158" i="5" a="1"/>
  <c r="J549" i="5" a="1"/>
  <c r="J447" i="5" a="1"/>
  <c r="J557" i="5" a="1"/>
  <c r="J175" i="5" a="1"/>
  <c r="J300" i="5" a="1"/>
  <c r="J198" i="5" a="1"/>
  <c r="J391" i="5" a="1"/>
  <c r="J402" i="5" a="1"/>
  <c r="J581" i="5" a="1"/>
  <c r="J306" i="5" a="1"/>
  <c r="J548" i="5" a="1"/>
  <c r="J823" i="5" a="1"/>
  <c r="J494" i="5" a="1"/>
  <c r="J291" i="5" a="1"/>
  <c r="J372" i="5" a="1"/>
  <c r="J473" i="5" a="1"/>
  <c r="J608" i="5" a="1"/>
  <c r="J318" i="5" a="1"/>
  <c r="J417" i="5" a="1"/>
  <c r="J168" i="5" a="1"/>
  <c r="J464" i="5" a="1"/>
  <c r="J817" i="5" a="1"/>
  <c r="J546" i="5" a="1"/>
  <c r="J332" i="5" a="1"/>
  <c r="J668" i="5" a="1"/>
  <c r="J588" i="5" a="1"/>
  <c r="J126" i="5" a="1"/>
  <c r="J242" i="5" a="1"/>
  <c r="J234" i="5" a="1"/>
  <c r="J554" i="5" a="1"/>
  <c r="J296" i="5" a="1"/>
  <c r="J446" i="5" a="1"/>
  <c r="J558" i="5" a="1"/>
  <c r="J836" i="5" a="1"/>
  <c r="J385" i="5" a="1"/>
  <c r="J645" i="5" a="1"/>
  <c r="J562" i="5" a="1"/>
  <c r="J336" i="5" a="1"/>
  <c r="J187" i="5" a="1"/>
  <c r="J323" i="5" a="1"/>
  <c r="J215" i="5" a="1"/>
  <c r="J788" i="5" a="1"/>
  <c r="J200" i="5" a="1"/>
  <c r="J342" i="5" a="1"/>
  <c r="J487" i="5" a="1"/>
  <c r="J277" i="5" a="1"/>
  <c r="J626" i="5" a="1"/>
  <c r="J835" i="5" a="1"/>
  <c r="J340" i="5" a="1"/>
  <c r="J561" i="5" a="1"/>
  <c r="J348" i="5" a="1"/>
  <c r="J799" i="5" a="1"/>
  <c r="J472" i="5" a="1"/>
  <c r="J256" i="5" a="1"/>
  <c r="J227" i="5" a="1"/>
  <c r="J834" i="5" a="1"/>
  <c r="J199" i="5" a="1"/>
  <c r="J448" i="5" a="1"/>
  <c r="J376" i="5" a="1"/>
  <c r="J594" i="5" a="1"/>
  <c r="J812" i="5" a="1"/>
  <c r="J255" i="5" a="1"/>
  <c r="J132" i="5" a="1"/>
  <c r="J327" i="5" a="1"/>
  <c r="J704" i="5" a="1"/>
  <c r="J156" i="5" a="1"/>
  <c r="J480" i="5" a="1"/>
  <c r="J150" i="5" a="1"/>
  <c r="J496" i="5" a="1"/>
  <c r="J268" i="5" a="1"/>
  <c r="J776" i="5" a="1"/>
  <c r="J129" i="5" a="1"/>
  <c r="J333" i="5" a="1"/>
  <c r="J288" i="5" a="1"/>
  <c r="J728" i="5" a="1"/>
  <c r="J165" i="5" a="1"/>
  <c r="J245" i="5" a="1"/>
  <c r="J155" i="5" a="1"/>
  <c r="J659" i="5" a="1"/>
  <c r="J310" i="5" a="1"/>
  <c r="J375" i="5" a="1"/>
  <c r="J347" i="5" a="1"/>
  <c r="J601" i="5" a="1"/>
  <c r="J828" i="5" a="1"/>
  <c r="J153" i="5" a="1"/>
  <c r="J395" i="5" a="1"/>
  <c r="J492" i="5" a="1"/>
  <c r="J284" i="5" a="1"/>
  <c r="J547" i="5" a="1"/>
  <c r="J453" i="5" a="1"/>
  <c r="J185" i="5" a="1"/>
  <c r="J302" i="5" a="1"/>
  <c r="J167" i="5" a="1"/>
  <c r="J634" i="5" a="1"/>
  <c r="J401" i="5" a="1"/>
  <c r="J313" i="5" a="1"/>
  <c r="J829" i="5" a="1"/>
  <c r="J212" i="5" a="1"/>
  <c r="J552" i="5" a="1"/>
  <c r="J816" i="5" a="1"/>
  <c r="J136" i="5" a="1"/>
  <c r="J463" i="5" a="1"/>
  <c r="J243" i="5" a="1"/>
  <c r="J197" i="5" a="1"/>
  <c r="J378" i="5" a="1"/>
  <c r="J270" i="5" a="1"/>
  <c r="J292" i="5" a="1"/>
  <c r="J266" i="5" a="1"/>
  <c r="J339" i="5" a="1"/>
  <c r="J219" i="5" a="1"/>
  <c r="J553" i="5" a="1"/>
  <c r="J578" i="5" a="1"/>
  <c r="J651" i="5" a="1"/>
  <c r="J390" i="5" a="1"/>
  <c r="J286" i="5" a="1"/>
  <c r="J235" i="5" a="1"/>
  <c r="J551" i="5" a="1"/>
  <c r="J228" i="5" a="1"/>
  <c r="J408" i="5" a="1"/>
  <c r="J294" i="5" a="1"/>
  <c r="J312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101" i="5" a="1"/>
  <c r="J89" i="5" a="1"/>
  <c r="J86" i="5" a="1"/>
  <c r="J80" i="5" a="1"/>
  <c r="J84" i="5" a="1"/>
  <c r="J100" i="5" a="1"/>
  <c r="J85" i="5" a="1"/>
  <c r="J107" i="5" a="1"/>
  <c r="J108" i="5" a="1"/>
  <c r="J87" i="5" a="1"/>
  <c r="J90" i="5" a="1"/>
  <c r="J99" i="5" a="1"/>
  <c r="J110" i="5" a="1"/>
  <c r="J88" i="5" a="1"/>
  <c r="J91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60" i="5" a="1"/>
  <c r="J19" i="5" a="1"/>
  <c r="J71" i="5" a="1"/>
  <c r="J35" i="5" a="1"/>
  <c r="J31" i="5" a="1"/>
  <c r="J12" i="5" a="1"/>
  <c r="J70" i="5" a="1"/>
  <c r="J33" i="5" a="1"/>
  <c r="J78" i="5" a="1"/>
  <c r="J59" i="5" a="1"/>
  <c r="J63" i="5" a="1"/>
  <c r="J79" i="5" a="1"/>
  <c r="J72" i="5" a="1"/>
  <c r="J69" i="5" a="1"/>
  <c r="J51" i="5" a="1"/>
  <c r="J77" i="5" a="1"/>
  <c r="J52" i="5" a="1"/>
  <c r="J22" i="5" a="1"/>
  <c r="J40" i="5" a="1"/>
  <c r="J42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<sst xmlns="http://schemas.openxmlformats.org/spreadsheetml/2006/main" count="4961" uniqueCount="1236">
  <si>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</si>
  <si>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</si>
  <si>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</si>
  <si>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</si>
  <si>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</si>
  <si>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</si>
  <si>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</si>
  <si>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</si>
  <si>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</si>
  <si>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</si>
  <si>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</si>
  <si>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</si>
  <si>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</si>
  <si>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</si>
  <si>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</si>
  <si>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</si>
  <si>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</si>
  <si>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</si>
  <si>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</si>
  <si>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</si>
  <si>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</si>
  <si>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</si>
  <si>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</si>
  <si>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</si>
  <si>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</si>
  <si>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</si>
  <si>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</si>
  <si>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</si>
  <si>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</si>
  <si>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</si>
  <si>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</si>
  <si>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</si>
  <si>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</si>
  <si>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</si>
  <si>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</si>
  <si>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</si>
  <si>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</si>
  <si>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</si>
  <si>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</si>
  <si>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</si>
  <si>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</si>
  <si>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</si>
  <si>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</si>
  <si>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</si>
  <si>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</si>
  <si>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</si>
  <si>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</si>
  <si>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</si>
  <si>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</si>
  <si>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</si>
  <si>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</si>
  <si>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</si>
  <si>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</si>
  <si>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</si>
  <si>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</si>
  <si>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</si>
  <si>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</si>
  <si>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</si>
  <si>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</si>
  <si>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</si>
  <si>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</si>
  <si>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</si>
  <si>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</si>
  <si>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</si>
  <si>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</si>
  <si>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</si>
  <si>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</si>
  <si>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</si>
  <si>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</si>
  <si>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</si>
  <si>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</si>
  <si>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</si>
  <si>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</si>
  <si>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</si>
  <si>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</si>
  <si>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</si>
  <si>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</si>
  <si>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</si>
  <si>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</si>
  <si>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</si>
  <si>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</si>
  <si>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</si>
  <si>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</si>
  <si>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</si>
  <si>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</si>
  <si>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</si>
  <si>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</si>
  <si>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</si>
  <si>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</si>
  <si>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</si>
  <si>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</si>
  <si>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</si>
  <si>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</si>
  <si>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</si>
  <si>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</si>
  <si>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</si>
  <si>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</si>
  <si>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</si>
  <si>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</si>
  <si>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</si>
  <si>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</si>
  <si>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</si>
  <si>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</si>
  <si>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</si>
  <si>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</si>
  <si>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</si>
  <si>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</si>
  <si>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</si>
  <si>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</si>
  <si>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</si>
  <si>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</si>
  <si>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</si>
  <si>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</si>
  <si>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</si>
  <si>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</si>
  <si>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</si>
  <si>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</si>
  <si>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</si>
  <si>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</si>
  <si>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</si>
  <si>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</si>
  <si>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</si>
  <si>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</si>
  <si>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</si>
  <si>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</si>
  <si>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</si>
  <si>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</si>
  <si>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</si>
  <si>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</si>
  <si>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</si>
  <si>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</si>
  <si>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</si>
  <si>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</si>
  <si>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</si>
  <si>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</si>
  <si>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</si>
  <si>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</si>
  <si>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</si>
  <si>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</si>
  <si>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</si>
  <si>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</si>
  <si>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</si>
  <si>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</si>
  <si>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</si>
  <si>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</si>
  <si>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</si>
  <si>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</si>
  <si>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</si>
  <si>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</si>
  <si>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</si>
  <si>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</si>
  <si>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</si>
  <si>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</si>
  <si>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</si>
  <si>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</si>
  <si>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</si>
  <si>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</si>
  <si>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</si>
  <si>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</si>
  <si>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</si>
  <si>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</si>
  <si>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</si>
  <si>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</si>
  <si>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</si>
  <si>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</si>
  <si>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</si>
  <si>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</si>
  <si>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</si>
  <si>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</si>
  <si>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</si>
  <si>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</si>
  <si>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</si>
  <si>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</si>
  <si>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</si>
  <si>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</si>
  <si>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</si>
  <si>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</si>
  <si>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</si>
  <si>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</si>
  <si>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</si>
  <si>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</si>
  <si>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</si>
  <si>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</si>
  <si>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</si>
  <si>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</si>
  <si>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</si>
  <si>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</si>
  <si>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</si>
  <si>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</si>
  <si>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</si>
  <si>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</si>
  <si>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</si>
  <si>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</si>
  <si>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</si>
  <si>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</si>
  <si>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</si>
  <si>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</si>
  <si>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</si>
  <si>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</si>
  <si>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</si>
  <si>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</si>
  <si>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</si>
  <si>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</si>
  <si>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</si>
  <si>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</si>
  <si>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</si>
  <si>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</si>
  <si>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</si>
  <si>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</si>
  <si>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</si>
  <si>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</si>
  <si>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</si>
  <si>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</si>
  <si>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</si>
  <si>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</si>
  <si>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</si>
  <si>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</si>
  <si>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</si>
  <si>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</si>
  <si>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</si>
  <si>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</si>
  <si>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</si>
  <si>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</si>
  <si>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</si>
  <si>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</si>
  <si>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</si>
  <si>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</si>
  <si>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</si>
  <si>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</si>
  <si>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</si>
  <si>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</si>
  <si>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</si>
  <si>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</si>
  <si>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</si>
  <si>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</si>
  <si>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</si>
  <si>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</si>
  <si>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</si>
  <si>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</si>
  <si>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</si>
  <si>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</si>
  <si>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</si>
  <si>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</si>
  <si>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</si>
  <si>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</si>
  <si>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</si>
  <si>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</si>
  <si>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</si>
  <si>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</si>
  <si>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</si>
  <si>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</si>
  <si>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</si>
  <si>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</si>
  <si>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</si>
  <si>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</si>
  <si>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</si>
  <si>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</si>
  <si>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</si>
  <si>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</si>
  <si>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</si>
  <si>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</si>
  <si>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</si>
  <si>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</si>
  <si>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</si>
  <si>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</si>
  <si>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</si>
  <si>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</si>
  <si>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</si>
  <si>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</si>
  <si>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</si>
  <si>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</si>
  <si>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</si>
  <si>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</si>
  <si>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</si>
  <si>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</si>
  <si>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</si>
  <si>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</si>
  <si>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</si>
  <si>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</si>
  <si>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</si>
  <si>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</si>
  <si>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</si>
  <si>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</si>
  <si>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</si>
  <si>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</si>
  <si>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</si>
  <si>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</si>
  <si>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</si>
  <si>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</si>
  <si>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</si>
  <si>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</si>
  <si>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</si>
  <si>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</si>
  <si>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</si>
  <si>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</si>
  <si>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</si>
  <si>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</si>
  <si>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</si>
  <si>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</si>
  <si>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</si>
  <si>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</si>
  <si>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</si>
  <si>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</si>
  <si>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</si>
  <si>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</si>
  <si>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</si>
  <si>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</si>
  <si>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</si>
  <si>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</si>
  <si>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</si>
  <si>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</si>
  <si>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</si>
  <si>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</si>
  <si>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</si>
  <si>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</si>
  <si>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</si>
  <si>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</si>
  <si>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</si>
  <si>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</si>
  <si>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</si>
  <si>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</si>
  <si>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</si>
  <si>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</si>
  <si>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</si>
  <si>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</si>
  <si>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</si>
  <si>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</si>
  <si>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</si>
  <si>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</si>
  <si>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</si>
  <si>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</si>
  <si>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</si>
  <si>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</si>
  <si>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</si>
  <si>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</si>
  <si>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</si>
  <si>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</si>
  <si>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</si>
  <si>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</si>
  <si>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</si>
  <si>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</si>
  <si>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</si>
  <si>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</si>
  <si>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</si>
  <si>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</si>
  <si>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</si>
  <si>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</si>
  <si>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</si>
  <si>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</si>
  <si>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</si>
  <si>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</si>
  <si>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</si>
  <si>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</si>
  <si>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</si>
  <si>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</si>
  <si>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</si>
  <si>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</si>
  <si>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</si>
  <si>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</si>
  <si>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</si>
  <si>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</si>
  <si>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</si>
  <si>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</si>
  <si>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</si>
  <si>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</si>
  <si>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</si>
  <si>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</si>
  <si>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</si>
  <si>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</si>
  <si>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</si>
  <si>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</si>
  <si>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</si>
  <si>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</si>
  <si>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</si>
  <si>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</si>
  <si>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</si>
  <si>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</si>
  <si>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</si>
  <si>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</si>
  <si>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</si>
  <si>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</si>
  <si>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</si>
  <si>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</si>
  <si>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</si>
  <si>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</si>
  <si>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</si>
  <si>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</si>
  <si>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</si>
  <si>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</si>
  <si>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</si>
  <si>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</si>
  <si>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</si>
  <si>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</si>
  <si>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</si>
  <si>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</si>
  <si>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</si>
  <si>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</si>
  <si>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</si>
  <si>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</si>
  <si>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</si>
  <si>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</si>
  <si>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</si>
  <si>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</si>
  <si>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</si>
  <si>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</si>
  <si>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</si>
  <si>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</si>
  <si>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</si>
  <si>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</si>
  <si>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</si>
  <si>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</si>
  <si>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</si>
  <si>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</si>
  <si>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</si>
  <si>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</si>
  <si>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</si>
  <si>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</si>
  <si>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</si>
  <si>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</si>
  <si>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</si>
  <si>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</si>
  <si>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</si>
  <si>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</si>
  <si>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</si>
  <si>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</si>
  <si>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</si>
  <si>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</si>
  <si>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</si>
  <si>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</si>
  <si>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</si>
  <si>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</si>
  <si>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</si>
  <si>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</si>
  <si>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</si>
  <si>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</si>
  <si>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</si>
  <si>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</si>
  <si>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</si>
  <si>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</si>
  <si>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</si>
  <si>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</si>
  <si>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</si>
  <si>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</si>
  <si>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</si>
  <si>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</si>
  <si>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</si>
  <si>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</si>
  <si>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</si>
  <si>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</si>
  <si>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</si>
  <si>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</si>
  <si>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</si>
  <si>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</si>
  <si>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</si>
  <si>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</si>
  <si>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</si>
  <si>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</si>
  <si>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</si>
  <si>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</si>
  <si>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</si>
  <si>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</si>
  <si>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</si>
  <si>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</si>
  <si>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</si>
  <si>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</si>
  <si>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</si>
  <si>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</si>
  <si>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</si>
  <si>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</si>
  <si>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</si>
  <si>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</si>
  <si>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</si>
  <si>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</si>
  <si>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</si>
  <si>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</si>
  <si>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</si>
  <si>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</si>
  <si>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</si>
  <si>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</si>
  <si>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</si>
  <si>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</si>
  <si>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</si>
  <si>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</si>
  <si>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</si>
  <si>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</si>
  <si>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</si>
  <si>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</si>
  <si>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</si>
  <si>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</si>
  <si>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</si>
  <si>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</si>
  <si>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</si>
  <si>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</si>
  <si>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</si>
  <si>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</si>
  <si>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</si>
  <si>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</si>
  <si>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</si>
  <si>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</si>
  <si>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</si>
  <si>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</si>
  <si>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</si>
  <si>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</si>
  <si>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</si>
  <si>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</si>
  <si>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</si>
  <si>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</si>
  <si>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</si>
  <si>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</si>
  <si>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</si>
  <si>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</si>
  <si>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</si>
  <si>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</si>
  <si>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</si>
  <si>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</si>
  <si>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</si>
  <si>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</si>
  <si>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</si>
  <si>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</si>
  <si>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</si>
  <si>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</si>
  <si>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</si>
  <si>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</si>
  <si>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</si>
  <si>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</si>
  <si>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</si>
  <si>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</si>
  <si>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</si>
  <si>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</si>
  <si>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</si>
  <si>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</si>
  <si>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</si>
  <si>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</si>
  <si>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</si>
  <si>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</si>
  <si>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</si>
  <si>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</si>
  <si>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</si>
  <si>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</si>
  <si>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</si>
  <si>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</si>
  <si>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</si>
  <si>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</si>
  <si>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</si>
  <si>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</si>
  <si>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</si>
  <si>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</si>
  <si>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</si>
  <si>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</si>
  <si>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</si>
  <si>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</si>
  <si>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</si>
  <si>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</si>
  <si>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</si>
  <si>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</si>
  <si>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</si>
  <si>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</si>
  <si>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</si>
  <si>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</si>
  <si>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</si>
  <si>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</si>
  <si>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</si>
  <si>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</si>
  <si>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</si>
  <si>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</si>
  <si>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</si>
  <si>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</si>
  <si>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</si>
  <si>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</si>
  <si>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</si>
  <si>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</si>
  <si>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</si>
  <si>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</si>
  <si>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</si>
  <si>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</si>
  <si>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</si>
  <si>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</si>
  <si>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</si>
  <si>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</si>
  <si>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</si>
  <si>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</si>
  <si>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</si>
  <si>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</si>
  <si>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</si>
  <si>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</si>
  <si>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</si>
  <si>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</si>
  <si>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</si>
  <si>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</si>
  <si>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</si>
  <si>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</si>
  <si>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</si>
  <si>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</si>
  <si>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</si>
  <si>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</si>
  <si>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</si>
  <si>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</si>
  <si>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</si>
  <si>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</si>
  <si>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</si>
  <si>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</si>
  <si>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</si>
  <si>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</si>
  <si>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</si>
  <si>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</si>
  <si>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</si>
  <si>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</si>
  <si>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</si>
  <si>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</si>
  <si>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</si>
  <si>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</si>
  <si>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</si>
  <si>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</si>
  <si>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</si>
  <si>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</si>
  <si>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</si>
  <si>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</si>
  <si>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</si>
  <si>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</si>
  <si>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</si>
  <si>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</si>
  <si>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</si>
  <si>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</si>
  <si>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</si>
  <si>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</si>
  <si>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</si>
  <si>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</si>
  <si>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</si>
  <si>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</si>
  <si>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</si>
  <si>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</si>
  <si>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</si>
  <si>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</si>
  <si>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</si>
  <si>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</si>
  <si>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</si>
  <si>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</si>
  <si>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</si>
  <si>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</si>
  <si>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</si>
  <si>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</si>
  <si>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</si>
  <si>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</si>
  <si>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</si>
  <si>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</si>
  <si>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</si>
  <si>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</si>
  <si>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</si>
  <si>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</si>
  <si>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</si>
  <si>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</si>
  <si>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</si>
  <si>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</si>
  <si>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</si>
  <si>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</si>
  <si>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</si>
  <si>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</si>
  <si>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</si>
  <si>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</si>
  <si>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</si>
  <si>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</si>
  <si>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</si>
  <si>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</si>
  <si>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</si>
  <si>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</si>
  <si>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</si>
  <si>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</si>
  <si>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</si>
  <si>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</si>
  <si>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</si>
  <si>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</si>
  <si>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</si>
  <si>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</si>
  <si>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</si>
  <si>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</si>
  <si>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</si>
  <si>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</si>
  <si>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</si>
  <si>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</si>
  <si>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</si>
  <si>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</si>
  <si>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</si>
  <si>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</si>
  <si>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</si>
  <si>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</si>
  <si>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</si>
  <si>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</si>
  <si>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</si>
  <si>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</si>
  <si>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</si>
  <si>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</si>
  <si>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</si>
  <si>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</si>
  <si>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</si>
  <si>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</si>
  <si>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</si>
  <si>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</si>
  <si>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</si>
  <si>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</si>
  <si>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</si>
  <si>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</si>
  <si>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</si>
  <si>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</si>
  <si>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</si>
  <si>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</si>
  <si>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</si>
  <si>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</si>
  <si>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</si>
  <si>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</si>
  <si>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</si>
  <si>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</si>
  <si>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</si>
  <si>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</si>
  <si>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</si>
  <si>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</si>
  <si>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</si>
  <si>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</si>
  <si>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</si>
  <si>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</si>
  <si>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</si>
  <si>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</si>
  <si>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</si>
  <si>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</si>
  <si>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</si>
  <si>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</si>
  <si>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</si>
  <si>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</si>
  <si>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</si>
  <si>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</si>
  <si>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</si>
  <si>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</si>
  <si>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</si>
  <si>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</si>
  <si>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</si>
  <si>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</si>
  <si>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</si>
  <si>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</si>
  <si>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</si>
  <si>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</si>
  <si>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</si>
  <si>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</si>
  <si>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</si>
  <si>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</si>
  <si>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</si>
  <si>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</si>
  <si>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</si>
  <si>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</si>
  <si>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</si>
  <si>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</si>
  <si>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</si>
  <si>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</si>
  <si>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</si>
  <si>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</si>
  <si>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</si>
  <si>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</si>
  <si>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</si>
  <si>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</si>
  <si>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</si>
  <si>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</si>
  <si>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</si>
  <si>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</si>
  <si>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</si>
  <si>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</si>
  <si>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</si>
  <si>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</si>
  <si>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</si>
  <si>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</si>
  <si>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</si>
  <si>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</si>
  <si>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</si>
  <si>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</si>
  <si>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</si>
  <si>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</si>
  <si>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</si>
  <si>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</si>
  <si>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</si>
  <si>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</si>
  <si>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</si>
  <si>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</si>
  <si>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</si>
  <si>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</si>
  <si>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</si>
  <si>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</si>
  <si>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</si>
  <si>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</si>
  <si>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</si>
  <si>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</si>
  <si>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</si>
  <si>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</si>
  <si>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</si>
  <si>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</si>
  <si>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</si>
  <si>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</si>
  <si>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</si>
  <si>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</si>
  <si>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</si>
  <si>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</si>
  <si>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</si>
  <si>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</si>
  <si>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</si>
  <si>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</si>
  <si>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</si>
  <si>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</si>
  <si>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</si>
  <si>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</si>
  <si>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</si>
  <si>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</si>
  <si>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</si>
  <si>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</si>
  <si>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</si>
  <si>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</si>
  <si>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</si>
  <si>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</si>
  <si>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</si>
  <si>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</si>
  <si>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</si>
  <si>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</si>
  <si>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</si>
  <si>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</si>
  <si>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</si>
  <si>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</si>
  <si>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</si>
  <si>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</si>
  <si>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</si>
  <si>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</si>
  <si>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</si>
  <si>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</si>
  <si>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</si>
  <si>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</si>
  <si>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</si>
  <si>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</si>
  <si>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</si>
  <si>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</si>
  <si>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</si>
  <si>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</si>
  <si>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</si>
  <si>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</si>
  <si>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</si>
  <si>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</si>
  <si>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</si>
  <si>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</si>
  <si>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</si>
  <si>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</si>
  <si>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</si>
  <si>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</si>
  <si>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</si>
  <si>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</si>
  <si>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</si>
  <si>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</si>
  <si>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</si>
  <si>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</si>
  <si>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</si>
  <si>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</si>
  <si>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</si>
  <si>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</si>
  <si>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</si>
  <si>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</si>
  <si>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</si>
  <si>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</si>
  <si>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</si>
  <si>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</si>
  <si>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</si>
  <si>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</si>
  <si>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</si>
  <si>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</si>
  <si>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</si>
  <si>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</si>
  <si>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</si>
  <si>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</si>
  <si>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</si>
  <si>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</si>
  <si>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</si>
  <si>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</si>
  <si>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</si>
  <si>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</si>
  <si>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</si>
  <si>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</si>
  <si>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</si>
  <si>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</si>
  <si>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</si>
  <si>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</si>
  <si>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</si>
  <si>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</si>
  <si>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</si>
  <si>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</si>
  <si>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</si>
  <si>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</si>
  <si>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</si>
  <si>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</si>
  <si>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</si>
  <si>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</si>
  <si>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</si>
  <si>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</si>
  <si>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</si>
  <si>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</si>
  <si>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</si>
  <si>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</si>
  <si>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</si>
  <si>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</si>
  <si>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</si>
  <si>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</si>
  <si>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</si>
  <si>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</si>
  <si>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</si>
  <si>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</si>
  <si>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</si>
  <si>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</si>
  <si>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</si>
  <si>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</si>
  <si>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</si>
  <si>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</si>
  <si>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</si>
  <si>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</si>
  <si>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</si>
  <si>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</si>
  <si>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</si>
  <si>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</si>
  <si>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</si>
  <si>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</si>
  <si>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</si>
  <si>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</si>
  <si>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</si>
  <si>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</si>
  <si>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</si>
  <si>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</si>
  <si>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</si>
  <si>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</si>
  <si>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</si>
  <si>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</si>
  <si>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</si>
  <si>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</si>
  <si>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</si>
  <si>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</si>
  <si>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</si>
  <si>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</si>
  <si>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</si>
  <si>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</si>
  <si>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</si>
  <si>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</si>
  <si>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</si>
  <si>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</si>
  <si>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</si>
  <si>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</si>
  <si>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</si>
  <si>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</si>
  <si>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</si>
  <si>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</si>
  <si>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</si>
  <si>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</si>
  <si>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</si>
  <si>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</si>
  <si>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</si>
  <si>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</si>
  <si>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</si>
  <si>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</si>
  <si>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</si>
  <si>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</si>
  <si>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</si>
  <si>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</si>
  <si>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</si>
  <si>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</si>
  <si>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</si>
  <si>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</si>
  <si>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</si>
  <si>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</si>
  <si>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</si>
  <si>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</si>
  <si>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</si>
  <si>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</si>
  <si>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</si>
  <si>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</si>
  <si>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</si>
  <si>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</si>
  <si>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</si>
  <si>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</si>
  <si>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</si>
  <si>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</si>
  <si>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</si>
  <si>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</si>
  <si>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</si>
  <si>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</si>
  <si>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</si>
  <si>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</si>
  <si>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</si>
  <si>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</si>
  <si>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</si>
  <si>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</si>
  <si>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</si>
  <si>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</si>
  <si>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</si>
  <si>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</si>
  <si>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</si>
  <si>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</si>
  <si>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</si>
  <si>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</si>
  <si>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</si>
  <si>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</si>
  <si>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</si>
  <si>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</si>
  <si>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</si>
  <si>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</si>
  <si>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</si>
  <si>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</si>
  <si>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</si>
  <si>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</si>
  <si>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</si>
  <si>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</si>
  <si>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</si>
  <si>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</si>
  <si>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</si>
  <si>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</si>
  <si>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</si>
  <si>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</si>
  <si>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</si>
  <si>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</si>
  <si>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</si>
  <si>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</si>
  <si>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</si>
  <si>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</si>
  <si>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</si>
  <si>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</si>
  <si>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</si>
  <si>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</si>
  <si>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</si>
  <si>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</si>
  <si>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</si>
  <si>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</si>
  <si>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</si>
  <si>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</si>
  <si>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</si>
  <si>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</si>
  <si>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</si>
  <si>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</si>
  <si>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</si>
  <si>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</si>
  <si>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</si>
  <si>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</si>
  <si>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</si>
  <si>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</si>
  <si>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</si>
  <si>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</si>
  <si>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</si>
  <si>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</si>
  <si>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</si>
  <si>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</si>
  <si>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</si>
  <si>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</si>
  <si>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</si>
  <si>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</si>
  <si>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</si>
  <si>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</si>
  <si>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</si>
  <si>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</si>
  <si>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</si>
  <si>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</si>
  <si>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</si>
  <si>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</si>
  <si>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</si>
  <si>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</si>
  <si>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</si>
  <si>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</si>
  <si>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</si>
  <si>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</si>
  <si>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</si>
  <si>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</si>
  <si>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</si>
  <si>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</si>
  <si>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</si>
  <si>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</si>
  <si>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</si>
  <si>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</si>
  <si>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</si>
  <si>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</si>
  <si>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</si>
  <si>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</si>
  <si>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</si>
  <si>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</si>
  <si>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</si>
  <si>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</si>
  <si>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</si>
  <si>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</si>
  <si>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</si>
  <si>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</si>
  <si>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</si>
  <si>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</si>
  <si>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</si>
  <si>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</si>
  <si>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</si>
  <si>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</si>
  <si>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</si>
  <si>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</si>
  <si>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</si>
  <si>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</si>
  <si>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</si>
  <si>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</si>
  <si>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</si>
  <si>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</si>
  <si>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</si>
  <si>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</si>
  <si>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</si>
  <si>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</si>
  <si>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</si>
  <si>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</si>
  <si>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</si>
  <si>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</si>
  <si>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</si>
  <si>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</si>
  <si>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</si>
  <si>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</si>
  <si>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</si>
  <si>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</si>
  <si>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</si>
  <si>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</si>
  <si>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</si>
  <si>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</si>
  <si>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</si>
  <si>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</si>
  <si>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</si>
  <si>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</si>
  <si>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</si>
  <si>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</si>
  <si>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</si>
  <si>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</si>
  <si>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</si>
  <si>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</si>
  <si>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</si>
  <si>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</si>
  <si>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</si>
  <si>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</si>
  <si>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</si>
  <si>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</si>
  <si>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</si>
  <si>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</si>
  <si>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</si>
  <si>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</si>
  <si>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</si>
  <si>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</si>
  <si>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</si>
  <si>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</si>
  <si>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</si>
  <si>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</si>
  <si>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</si>
  <si>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</si>
  <si>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</si>
  <si>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</si>
  <si>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</si>
  <si>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</si>
  <si>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</si>
  <si>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</si>
  <si>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</si>
  <si>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</si>
  <si>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</si>
  <si>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</si>
  <si>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</si>
  <si>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</si>
  <si>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</si>
  <si>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</si>
  <si>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</si>
  <si>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</si>
  <si>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</si>
  <si>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</si>
  <si>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</si>
  <si>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</si>
  <si>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</si>
  <si>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</si>
  <si>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</si>
  <si>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</si>
  <si>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</si>
  <si>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</si>
  <si>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</si>
  <si>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</si>
  <si>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</si>
  <si>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</si>
  <si>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</si>
  <si>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</si>
  <si>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</si>
  <si>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</si>
  <si>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</si>
  <si>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</si>
  <si>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</si>
  <si>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</si>
  <si>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</si>
  <si>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</si>
  <si>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</si>
  <si>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</si>
  <si>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</si>
  <si>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</si>
  <si>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</si>
  <si>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</si>
  <si>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</si>
  <si>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</si>
  <si>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</si>
  <si>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</si>
  <si>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</si>
  <si>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</si>
  <si>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</si>
  <si>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</si>
  <si>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</si>
  <si>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</si>
  <si>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</si>
  <si>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</si>
  <si>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</si>
  <si>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</si>
  <si>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</si>
  <si>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</si>
  <si>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</si>
  <si>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</si>
  <si>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</si>
  <si>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</si>
  <si>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</si>
  <si>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Execution Complete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</si>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</sst>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60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1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93" t="s">
        <v>1210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5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9" t="s">
        <v>152</v>
      </c>
      <c r="R8" s="100" t="s">
        <v>925</v>
      </c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9">
        <v>50</v>
      </c>
      <c r="R9" s="100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3">1-AE5</f>
        <v>1</v>
      </c>
      <c r="AF9" s="119">
        <f t="shared" si="13"/>
        <v>1</v>
      </c>
      <c r="AG9" s="119">
        <f t="shared" si="13"/>
        <v>1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9"/>
      <c r="R10" s="100"/>
      <c r="S10" s="152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9"/>
      <c r="R11" s="100"/>
      <c r="S11" s="152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4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4"/>
      <c r="R12" s="98"/>
      <c r="S12" s="152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1211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4"/>
      <c r="R13" s="98"/>
      <c r="S13" s="152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4"/>
      <c r="R14" s="98"/>
      <c r="S14" s="152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5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4"/>
      <c r="R15" s="98"/>
      <c r="S15" s="152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  <c r="AL15">
        <f>HEX2DEC(AH21)</f>
        <v>0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7" ht="15.75" thickBot="1">
      <c r="A17" s="26">
        <v>0</v>
      </c>
      <c r="B17" s="24" t="s">
        <v>1161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402</v>
      </c>
      <c r="AI17" s="142" t="s">
        <v>301</v>
      </c>
      <c r="AJ17" s="143" t="s">
        <v>892</v>
      </c>
    </row>
    <row r="18" spans="1:37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7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532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7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1128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7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1129</v>
      </c>
      <c r="H21" s="175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  <c r="AK21">
        <v>1</v>
      </c>
    </row>
    <row r="22" spans="1:37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1140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7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1137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7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9" t="s">
        <v>1199</v>
      </c>
      <c r="H25" s="190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91" t="s">
        <v>1209</v>
      </c>
      <c r="H26" s="192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1159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0105</v>
      </c>
      <c r="N1070" s="134">
        <f t="shared" si="93"/>
        <v>261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602" priority="37" operator="equal">
      <formula>0</formula>
    </cfRule>
    <cfRule type="cellIs" dxfId="601" priority="38" operator="greaterThan">
      <formula>0</formula>
    </cfRule>
  </conditionalFormatting>
  <conditionalFormatting sqref="F1:W1">
    <cfRule type="containsText" dxfId="600" priority="28" operator="containsText" text="Halted">
      <formula>NOT(ISERROR(SEARCH("Halted",F1)))</formula>
    </cfRule>
    <cfRule type="containsText" dxfId="599" priority="35" operator="containsText" text="Error">
      <formula>NOT(ISERROR(SEARCH("Error",F1)))</formula>
    </cfRule>
    <cfRule type="expression" dxfId="598" priority="36">
      <formula>$F$1&lt;&gt;""</formula>
    </cfRule>
  </conditionalFormatting>
  <conditionalFormatting sqref="P41:R1070">
    <cfRule type="expression" dxfId="597" priority="60">
      <formula>$N41=$E$13</formula>
    </cfRule>
  </conditionalFormatting>
  <conditionalFormatting sqref="M7:T7 M8:N1070 M40:O40 M41:R1070">
    <cfRule type="containsText" dxfId="596" priority="16" operator="containsText" text=" ">
      <formula>NOT(ISERROR(SEARCH(" ",M7)))</formula>
    </cfRule>
  </conditionalFormatting>
  <conditionalFormatting sqref="AL5:AM5">
    <cfRule type="cellIs" dxfId="595" priority="14" operator="equal">
      <formula>0</formula>
    </cfRule>
    <cfRule type="cellIs" dxfId="594" priority="15" operator="equal">
      <formula>1</formula>
    </cfRule>
  </conditionalFormatting>
  <conditionalFormatting sqref="H19:H23">
    <cfRule type="cellIs" dxfId="593" priority="12" operator="equal">
      <formula>0</formula>
    </cfRule>
    <cfRule type="cellIs" dxfId="592" priority="13" operator="equal">
      <formula>1</formula>
    </cfRule>
  </conditionalFormatting>
  <conditionalFormatting sqref="K7:T7 K8:N39 K40:O40 K41:R1070">
    <cfRule type="expression" dxfId="591" priority="11">
      <formula>$E$13=$N7</formula>
    </cfRule>
  </conditionalFormatting>
  <conditionalFormatting sqref="AD5:AK5">
    <cfRule type="cellIs" dxfId="590" priority="9" operator="equal">
      <formula>0</formula>
    </cfRule>
    <cfRule type="cellIs" dxfId="589" priority="10" operator="equal">
      <formula>1</formula>
    </cfRule>
  </conditionalFormatting>
  <conditionalFormatting sqref="AA13:AJ13">
    <cfRule type="cellIs" dxfId="588" priority="4" operator="equal">
      <formula>1</formula>
    </cfRule>
  </conditionalFormatting>
  <conditionalFormatting sqref="AK15:AK30">
    <cfRule type="cellIs" dxfId="587" priority="3" operator="equal">
      <formula>1</formula>
    </cfRule>
  </conditionalFormatting>
  <conditionalFormatting sqref="H26">
    <cfRule type="cellIs" dxfId="586" priority="1" operator="equal">
      <formula>0</formula>
    </cfRule>
    <cfRule type="cellIs" dxfId="585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1130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70" t="s">
        <v>1133</v>
      </c>
      <c r="U1" s="170" t="s">
        <v>1134</v>
      </c>
      <c r="V1" s="170" t="s">
        <v>1135</v>
      </c>
      <c r="W1" s="170" t="s">
        <v>1136</v>
      </c>
    </row>
    <row r="2" spans="1:23">
      <c r="A2">
        <v>1</v>
      </c>
      <c r="B2" s="171" t="s">
        <v>1042</v>
      </c>
      <c r="C2" t="s">
        <v>295</v>
      </c>
      <c r="D2" t="s">
        <v>309</v>
      </c>
      <c r="E2" t="s">
        <v>1036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1132</v>
      </c>
      <c r="C3" t="s">
        <v>878</v>
      </c>
      <c r="D3" t="s">
        <v>1037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1139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1152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1138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6" t="s">
        <v>336</v>
      </c>
      <c r="V5" s="197"/>
      <c r="W5" s="197"/>
      <c r="X5" s="197"/>
      <c r="Y5" s="197"/>
      <c r="Z5" s="197"/>
      <c r="AA5" s="197"/>
      <c r="AB5" s="198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9" t="s">
        <v>1235</v>
      </c>
      <c r="V6" s="199"/>
      <c r="W6" s="199"/>
      <c r="X6" s="199"/>
      <c r="Y6" s="199"/>
      <c r="Z6" s="199"/>
      <c r="AA6" s="199"/>
      <c r="AB6" s="199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0"/>
      <c r="V7" s="200"/>
      <c r="W7" s="200"/>
      <c r="X7" s="200"/>
      <c r="Y7" s="200"/>
      <c r="Z7" s="200"/>
      <c r="AA7" s="200"/>
      <c r="AB7" s="200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0"/>
      <c r="V8" s="200"/>
      <c r="W8" s="200"/>
      <c r="X8" s="200"/>
      <c r="Y8" s="200"/>
      <c r="Z8" s="200"/>
      <c r="AA8" s="200"/>
      <c r="AB8" s="200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0"/>
      <c r="V9" s="200"/>
      <c r="W9" s="200"/>
      <c r="X9" s="200"/>
      <c r="Y9" s="200"/>
      <c r="Z9" s="200"/>
      <c r="AA9" s="200"/>
      <c r="AB9" s="200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0"/>
      <c r="V10" s="200"/>
      <c r="W10" s="200"/>
      <c r="X10" s="200"/>
      <c r="Y10" s="200"/>
      <c r="Z10" s="200"/>
      <c r="AA10" s="200"/>
      <c r="AB10" s="200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0"/>
      <c r="V11" s="200"/>
      <c r="W11" s="200"/>
      <c r="X11" s="200"/>
      <c r="Y11" s="200"/>
      <c r="Z11" s="200"/>
      <c r="AA11" s="200"/>
      <c r="AB11" s="200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0"/>
      <c r="V12" s="200"/>
      <c r="W12" s="200"/>
      <c r="X12" s="200"/>
      <c r="Y12" s="200"/>
      <c r="Z12" s="200"/>
      <c r="AA12" s="200"/>
      <c r="AB12" s="200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0"/>
      <c r="V13" s="200"/>
      <c r="W13" s="200"/>
      <c r="X13" s="200"/>
      <c r="Y13" s="200"/>
      <c r="Z13" s="200"/>
      <c r="AA13" s="200"/>
      <c r="AB13" s="200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0"/>
      <c r="V14" s="200"/>
      <c r="W14" s="200"/>
      <c r="X14" s="200"/>
      <c r="Y14" s="200"/>
      <c r="Z14" s="200"/>
      <c r="AA14" s="200"/>
      <c r="AB14" s="200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0"/>
      <c r="V15" s="200"/>
      <c r="W15" s="200"/>
      <c r="X15" s="200"/>
      <c r="Y15" s="200"/>
      <c r="Z15" s="200"/>
      <c r="AA15" s="200"/>
      <c r="AB15" s="200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0"/>
      <c r="V16" s="200"/>
      <c r="W16" s="200"/>
      <c r="X16" s="200"/>
      <c r="Y16" s="200"/>
      <c r="Z16" s="200"/>
      <c r="AA16" s="200"/>
      <c r="AB16" s="200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0"/>
      <c r="V17" s="200"/>
      <c r="W17" s="200"/>
      <c r="X17" s="200"/>
      <c r="Y17" s="200"/>
      <c r="Z17" s="200"/>
      <c r="AA17" s="200"/>
      <c r="AB17" s="200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0"/>
      <c r="V18" s="200"/>
      <c r="W18" s="200"/>
      <c r="X18" s="200"/>
      <c r="Y18" s="200"/>
      <c r="Z18" s="200"/>
      <c r="AA18" s="200"/>
      <c r="AB18" s="200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0"/>
      <c r="V19" s="200"/>
      <c r="W19" s="200"/>
      <c r="X19" s="200"/>
      <c r="Y19" s="200"/>
      <c r="Z19" s="200"/>
      <c r="AA19" s="200"/>
      <c r="AB19" s="200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0"/>
      <c r="V20" s="200"/>
      <c r="W20" s="200"/>
      <c r="X20" s="200"/>
      <c r="Y20" s="200"/>
      <c r="Z20" s="200"/>
      <c r="AA20" s="200"/>
      <c r="AB20" s="200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0"/>
      <c r="V21" s="200"/>
      <c r="W21" s="200"/>
      <c r="X21" s="200"/>
      <c r="Y21" s="200"/>
      <c r="Z21" s="200"/>
      <c r="AA21" s="200"/>
      <c r="AB21" s="200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0"/>
      <c r="V22" s="200"/>
      <c r="W22" s="200"/>
      <c r="X22" s="200"/>
      <c r="Y22" s="200"/>
      <c r="Z22" s="200"/>
      <c r="AA22" s="200"/>
      <c r="AB22" s="200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0"/>
      <c r="V23" s="200"/>
      <c r="W23" s="200"/>
      <c r="X23" s="200"/>
      <c r="Y23" s="200"/>
      <c r="Z23" s="200"/>
      <c r="AA23" s="200"/>
      <c r="AB23" s="200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0"/>
      <c r="V24" s="200"/>
      <c r="W24" s="200"/>
      <c r="X24" s="200"/>
      <c r="Y24" s="200"/>
      <c r="Z24" s="200"/>
      <c r="AA24" s="200"/>
      <c r="AB24" s="200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0"/>
      <c r="V25" s="200"/>
      <c r="W25" s="200"/>
      <c r="X25" s="200"/>
      <c r="Y25" s="200"/>
      <c r="Z25" s="200"/>
      <c r="AA25" s="200"/>
      <c r="AB25" s="200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0"/>
      <c r="V26" s="200"/>
      <c r="W26" s="200"/>
      <c r="X26" s="200"/>
      <c r="Y26" s="200"/>
      <c r="Z26" s="200"/>
      <c r="AA26" s="200"/>
      <c r="AB26" s="200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0"/>
      <c r="V27" s="200"/>
      <c r="W27" s="200"/>
      <c r="X27" s="200"/>
      <c r="Y27" s="200"/>
      <c r="Z27" s="200"/>
      <c r="AA27" s="200"/>
      <c r="AB27" s="200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0"/>
      <c r="V28" s="200"/>
      <c r="W28" s="200"/>
      <c r="X28" s="200"/>
      <c r="Y28" s="200"/>
      <c r="Z28" s="200"/>
      <c r="AA28" s="200"/>
      <c r="AB28" s="200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0"/>
      <c r="V29" s="200"/>
      <c r="W29" s="200"/>
      <c r="X29" s="200"/>
      <c r="Y29" s="200"/>
      <c r="Z29" s="200"/>
      <c r="AA29" s="200"/>
      <c r="AB29" s="200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0"/>
      <c r="V30" s="200"/>
      <c r="W30" s="200"/>
      <c r="X30" s="200"/>
      <c r="Y30" s="200"/>
      <c r="Z30" s="200"/>
      <c r="AA30" s="200"/>
      <c r="AB30" s="200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0"/>
      <c r="V31" s="200"/>
      <c r="W31" s="200"/>
      <c r="X31" s="200"/>
      <c r="Y31" s="200"/>
      <c r="Z31" s="200"/>
      <c r="AA31" s="200"/>
      <c r="AB31" s="20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0"/>
      <c r="V32" s="200"/>
      <c r="W32" s="200"/>
      <c r="X32" s="200"/>
      <c r="Y32" s="200"/>
      <c r="Z32" s="200"/>
      <c r="AA32" s="200"/>
      <c r="AB32" s="200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0"/>
      <c r="V33" s="200"/>
      <c r="W33" s="200"/>
      <c r="X33" s="200"/>
      <c r="Y33" s="200"/>
      <c r="Z33" s="200"/>
      <c r="AA33" s="200"/>
      <c r="AB33" s="200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0"/>
      <c r="V34" s="200"/>
      <c r="W34" s="200"/>
      <c r="X34" s="200"/>
      <c r="Y34" s="200"/>
      <c r="Z34" s="200"/>
      <c r="AA34" s="200"/>
      <c r="AB34" s="200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0"/>
      <c r="V35" s="200"/>
      <c r="W35" s="200"/>
      <c r="X35" s="200"/>
      <c r="Y35" s="200"/>
      <c r="Z35" s="200"/>
      <c r="AA35" s="200"/>
      <c r="AB35" s="200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1220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1222</v>
      </c>
      <c r="Q103" s="39" t="str">
        <f t="shared" si="36"/>
        <v/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1223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1224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1225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1226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1227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1228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1229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1230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1231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1232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1233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0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0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0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0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1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1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1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1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1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1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2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1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3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3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3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3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3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3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3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3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3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3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3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4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4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4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4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4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4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4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4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4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4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4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4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4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5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5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5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5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5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5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5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5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5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6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6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6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6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6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6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6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6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7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7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7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7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7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7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7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7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8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8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8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8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8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8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8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8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9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9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9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9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9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0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0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0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0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0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0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0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0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0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0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0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1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1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1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1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1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1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1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1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2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2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2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2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2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2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2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2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2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2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2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3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3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3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3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4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4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4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4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5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5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5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5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6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6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6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6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7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7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7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7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7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7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7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8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8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8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8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8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8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8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9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9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9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9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9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9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9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0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0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0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0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0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0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0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1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1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1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1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1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1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1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2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2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2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2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2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2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2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3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3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3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3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3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3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3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4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4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4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4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4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4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4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5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5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5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5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5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5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5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6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6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6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6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6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6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6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7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7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7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7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7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7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7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8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8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8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8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8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8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8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9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9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9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9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9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9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9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0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0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0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0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0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0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0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1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1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1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1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1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1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1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2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2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2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2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2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3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3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3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3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4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4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4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4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4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4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4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5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5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5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5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5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5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5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6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6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6"/>
        <v>2</v>
      </c>
      <c r="C448" s="39">
        <f t="shared" ref="C448:C452" si="77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6"/>
        <v>3</v>
      </c>
      <c r="C449" s="39">
        <f t="shared" si="77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6"/>
        <v>4</v>
      </c>
      <c r="C450" s="39">
        <f t="shared" si="77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6"/>
        <v>5</v>
      </c>
      <c r="C451" s="39">
        <f t="shared" si="77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6"/>
        <v>6</v>
      </c>
      <c r="C452" s="39">
        <f t="shared" si="77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8">DEC2HEX(C453)</f>
        <v>7</v>
      </c>
      <c r="C453" s="39">
        <f t="shared" ref="C453:C458" si="79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8"/>
        <v>8</v>
      </c>
      <c r="C454" s="39">
        <f t="shared" si="79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8"/>
        <v>9</v>
      </c>
      <c r="C455" s="39">
        <f t="shared" si="79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8"/>
        <v>A</v>
      </c>
      <c r="C456" s="39">
        <f t="shared" si="79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8"/>
        <v>B</v>
      </c>
      <c r="C457" s="39">
        <f t="shared" si="79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8"/>
        <v>C</v>
      </c>
      <c r="C458" s="39">
        <f t="shared" si="79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0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0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0"/>
        <v>2</v>
      </c>
      <c r="C463" s="39">
        <f t="shared" ref="C463:C465" si="81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0"/>
        <v>3</v>
      </c>
      <c r="C464" s="39">
        <f t="shared" si="81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0"/>
        <v>4</v>
      </c>
      <c r="C465" s="39">
        <f t="shared" si="81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2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2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2"/>
        <v>2</v>
      </c>
      <c r="C470" s="39">
        <f t="shared" ref="C470:C472" si="83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2"/>
        <v>3</v>
      </c>
      <c r="C471" s="39">
        <f t="shared" si="83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2"/>
        <v>4</v>
      </c>
      <c r="C472" s="39">
        <f t="shared" si="83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4">DEC2HEX(C473)</f>
        <v>5</v>
      </c>
      <c r="C473" s="39">
        <f t="shared" ref="C473:C476" si="85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4"/>
        <v>6</v>
      </c>
      <c r="C474" s="39">
        <f t="shared" si="85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4"/>
        <v>7</v>
      </c>
      <c r="C475" s="39">
        <f t="shared" si="85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4"/>
        <v>8</v>
      </c>
      <c r="C476" s="39">
        <f t="shared" si="85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6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6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6"/>
        <v>2</v>
      </c>
      <c r="C481" s="39">
        <f t="shared" ref="C481" si="87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8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8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9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9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9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0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0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1">DEC2HEX(C493)</f>
        <v>2</v>
      </c>
      <c r="C493" s="39">
        <f t="shared" ref="C493:C497" si="92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1"/>
        <v>3</v>
      </c>
      <c r="C494" s="39">
        <f t="shared" si="92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1"/>
        <v>4</v>
      </c>
      <c r="C495" s="39">
        <f t="shared" si="92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1"/>
        <v>5</v>
      </c>
      <c r="C496" s="39">
        <f t="shared" si="92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1"/>
        <v>6</v>
      </c>
      <c r="C497" s="39">
        <f t="shared" si="92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3">DEC2HEX(C498)</f>
        <v>7</v>
      </c>
      <c r="C498" s="39">
        <f t="shared" ref="C498" si="94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5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5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6">DEC2HEX(C503)</f>
        <v>2</v>
      </c>
      <c r="C503" s="39">
        <f t="shared" ref="C503:C528" si="97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8">NOT(ISERROR(FIND(I503,consoleText)))</f>
        <v>1</v>
      </c>
      <c r="K503" s="54"/>
      <c r="L503" s="39"/>
      <c r="M503" s="39"/>
    </row>
    <row r="504" spans="1:14">
      <c r="B504" s="39" t="str">
        <f t="shared" si="96"/>
        <v>3</v>
      </c>
      <c r="C504" s="39">
        <f t="shared" si="97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8"/>
        <v>1</v>
      </c>
      <c r="K504" s="54"/>
      <c r="L504" s="39"/>
      <c r="M504" s="39"/>
    </row>
    <row r="505" spans="1:14">
      <c r="B505" s="39" t="str">
        <f t="shared" si="96"/>
        <v>4</v>
      </c>
      <c r="C505" s="39">
        <f t="shared" si="97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8"/>
        <v>1</v>
      </c>
      <c r="K505" s="54"/>
      <c r="L505" s="39"/>
      <c r="M505" s="39"/>
    </row>
    <row r="506" spans="1:14">
      <c r="B506" s="39" t="str">
        <f t="shared" si="96"/>
        <v>5</v>
      </c>
      <c r="C506" s="39">
        <f t="shared" si="97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8"/>
        <v>1</v>
      </c>
      <c r="K506" s="54"/>
      <c r="L506" s="39"/>
      <c r="M506" s="39"/>
    </row>
    <row r="507" spans="1:14">
      <c r="B507" s="39" t="str">
        <f t="shared" si="96"/>
        <v>6</v>
      </c>
      <c r="C507" s="39">
        <f t="shared" si="97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8"/>
        <v>0</v>
      </c>
      <c r="K507" s="54"/>
      <c r="L507" s="39"/>
      <c r="M507" s="39"/>
    </row>
    <row r="508" spans="1:14">
      <c r="B508" s="39" t="str">
        <f t="shared" si="96"/>
        <v>7</v>
      </c>
      <c r="C508" s="39">
        <f t="shared" si="97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8"/>
        <v>1</v>
      </c>
      <c r="K508" s="54"/>
      <c r="L508" s="39"/>
      <c r="M508" s="39"/>
    </row>
    <row r="509" spans="1:14">
      <c r="B509" s="39" t="str">
        <f t="shared" si="96"/>
        <v>8</v>
      </c>
      <c r="C509" s="39">
        <f t="shared" si="97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6"/>
        <v>9</v>
      </c>
      <c r="C510" s="39">
        <f t="shared" si="97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6"/>
        <v>A</v>
      </c>
      <c r="C511" s="39">
        <f t="shared" si="97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6"/>
        <v>B</v>
      </c>
      <c r="C512" s="39">
        <f t="shared" si="97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6"/>
        <v>C</v>
      </c>
      <c r="C513" s="39">
        <f t="shared" si="97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6"/>
        <v>D</v>
      </c>
      <c r="C514" s="39">
        <f t="shared" si="97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6"/>
        <v>E</v>
      </c>
      <c r="C515" s="39">
        <f t="shared" si="97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6"/>
        <v>F</v>
      </c>
      <c r="C516" s="39">
        <f t="shared" si="97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9">DEC2HEX(C517)</f>
        <v>10</v>
      </c>
      <c r="C517" s="39">
        <f t="shared" si="97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9"/>
        <v>11</v>
      </c>
      <c r="C518" s="39">
        <f t="shared" si="97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9"/>
        <v>12</v>
      </c>
      <c r="C519" s="39">
        <f t="shared" si="97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9"/>
        <v>13</v>
      </c>
      <c r="C520" s="39">
        <f t="shared" si="97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9"/>
        <v>14</v>
      </c>
      <c r="C521" s="39">
        <f t="shared" si="97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9"/>
        <v>15</v>
      </c>
      <c r="C522" s="39">
        <f t="shared" si="97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9"/>
        <v>16</v>
      </c>
      <c r="C523" s="39">
        <f t="shared" si="97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9"/>
        <v>17</v>
      </c>
      <c r="C524" s="39">
        <f t="shared" si="97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9"/>
        <v>18</v>
      </c>
      <c r="C525" s="39">
        <f t="shared" si="97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9"/>
        <v>19</v>
      </c>
      <c r="C526" s="39">
        <f t="shared" si="97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9"/>
        <v>1A</v>
      </c>
      <c r="C527" s="39">
        <f t="shared" si="97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9"/>
        <v>1B</v>
      </c>
      <c r="C528" s="39">
        <f t="shared" si="97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0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0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1">NOT(ISERROR(FIND(I532,consoleText)))</f>
        <v>1</v>
      </c>
      <c r="K532" s="54"/>
      <c r="L532" s="39"/>
      <c r="M532" s="39"/>
    </row>
    <row r="533" spans="1:14">
      <c r="B533" s="39" t="str">
        <f t="shared" si="100"/>
        <v>2</v>
      </c>
      <c r="C533" s="39">
        <f t="shared" ref="C533:C543" si="102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1"/>
        <v>1</v>
      </c>
      <c r="K533" s="54"/>
      <c r="L533" s="39"/>
      <c r="M533" s="39"/>
    </row>
    <row r="534" spans="1:14">
      <c r="B534" s="39" t="str">
        <f t="shared" si="100"/>
        <v>3</v>
      </c>
      <c r="C534" s="39">
        <f t="shared" si="102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0"/>
        <v>4</v>
      </c>
      <c r="C535" s="39">
        <f t="shared" si="102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0"/>
        <v>5</v>
      </c>
      <c r="C536" s="39">
        <f t="shared" si="102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0"/>
        <v>6</v>
      </c>
      <c r="C537" s="39">
        <f t="shared" si="102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0"/>
        <v>7</v>
      </c>
      <c r="C538" s="39">
        <f t="shared" si="102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3">DEC2HEX(C539)</f>
        <v>8</v>
      </c>
      <c r="C539" s="39">
        <f t="shared" si="102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4">DEC2HEX(C540)</f>
        <v>9</v>
      </c>
      <c r="C540" s="39">
        <f t="shared" si="102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4"/>
        <v>A</v>
      </c>
      <c r="C541" s="39">
        <f t="shared" si="102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4"/>
        <v>B</v>
      </c>
      <c r="C542" s="39">
        <f t="shared" si="102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4"/>
        <v>C</v>
      </c>
      <c r="C543" s="39">
        <f t="shared" si="102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5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5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5"/>
        <v>2</v>
      </c>
      <c r="C548" s="39">
        <f t="shared" ref="C548:C562" si="106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5"/>
        <v>3</v>
      </c>
      <c r="C549" s="39">
        <f t="shared" si="106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5"/>
        <v>4</v>
      </c>
      <c r="C550" s="39">
        <f t="shared" si="106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5"/>
        <v>5</v>
      </c>
      <c r="C551" s="39">
        <f t="shared" si="106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5"/>
        <v>6</v>
      </c>
      <c r="C552" s="39">
        <f t="shared" si="106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7">DEC2HEX(C553)</f>
        <v>7</v>
      </c>
      <c r="C553" s="39">
        <f t="shared" si="106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8">DEC2HEX(C554)</f>
        <v>8</v>
      </c>
      <c r="C554" s="39">
        <f t="shared" si="106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8"/>
        <v>9</v>
      </c>
      <c r="C555" s="39">
        <f t="shared" si="106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8"/>
        <v>A</v>
      </c>
      <c r="C556" s="39">
        <f t="shared" si="106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8"/>
        <v>B</v>
      </c>
      <c r="C557" s="39">
        <f t="shared" si="106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8"/>
        <v>C</v>
      </c>
      <c r="C558" s="39">
        <f t="shared" si="106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8"/>
        <v>D</v>
      </c>
      <c r="C559" s="39">
        <f t="shared" si="106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8"/>
        <v>E</v>
      </c>
      <c r="C560" s="39">
        <f t="shared" si="106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8"/>
        <v>F</v>
      </c>
      <c r="C561" s="39">
        <f t="shared" si="106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8"/>
        <v>10</v>
      </c>
      <c r="C562" s="39">
        <f t="shared" si="106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1061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9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9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9"/>
        <v>2</v>
      </c>
      <c r="C567" s="6">
        <f t="shared" ref="C567:C573" si="110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9"/>
        <v>3</v>
      </c>
      <c r="C568" s="6">
        <f t="shared" si="110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1">DEC2HEX(C569)</f>
        <v>4</v>
      </c>
      <c r="C569" s="6">
        <f t="shared" si="110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1"/>
        <v>5</v>
      </c>
      <c r="C570" s="6">
        <f t="shared" si="110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1"/>
        <v>6</v>
      </c>
      <c r="C571" s="6">
        <f t="shared" si="110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1"/>
        <v>7</v>
      </c>
      <c r="C572" s="6">
        <f t="shared" si="110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1"/>
        <v>8</v>
      </c>
      <c r="C573" s="6">
        <f t="shared" si="110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1062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2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2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2"/>
        <v>2</v>
      </c>
      <c r="C578" s="6">
        <f t="shared" ref="C578:C584" si="113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2"/>
        <v>3</v>
      </c>
      <c r="C579" s="6">
        <f t="shared" si="113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2"/>
        <v>4</v>
      </c>
      <c r="C580" s="6">
        <f t="shared" si="113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2"/>
        <v>5</v>
      </c>
      <c r="C581" s="6">
        <f t="shared" si="113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2"/>
        <v>6</v>
      </c>
      <c r="C582" s="6">
        <f t="shared" si="113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2"/>
        <v>7</v>
      </c>
      <c r="C583" s="6">
        <f t="shared" si="113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2"/>
        <v>8</v>
      </c>
      <c r="C584" s="6">
        <f t="shared" si="113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1064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4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4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4"/>
        <v>2</v>
      </c>
      <c r="C589" s="6">
        <f t="shared" ref="C589:C591" si="115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4"/>
        <v>3</v>
      </c>
      <c r="C590" s="6">
        <f t="shared" si="115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4"/>
        <v>4</v>
      </c>
      <c r="C591" s="6">
        <f t="shared" si="115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1065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6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6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6"/>
        <v>2</v>
      </c>
      <c r="C596" s="6">
        <f t="shared" ref="C596:C598" si="117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6"/>
        <v>3</v>
      </c>
      <c r="C597" s="6">
        <f t="shared" si="117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6"/>
        <v>4</v>
      </c>
      <c r="C598" s="6">
        <f t="shared" si="117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1096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8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8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8"/>
        <v>2</v>
      </c>
      <c r="C603" s="6">
        <f t="shared" ref="C603:C605" si="119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8"/>
        <v>3</v>
      </c>
      <c r="C604" s="6">
        <f t="shared" si="119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8"/>
        <v>4</v>
      </c>
      <c r="C605" s="6">
        <f t="shared" si="119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1097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20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0"/>
        <v>1</v>
      </c>
      <c r="C609" s="6">
        <f>C608+1</f>
        <v>1</v>
      </c>
      <c r="D609" s="99"/>
      <c r="E609" s="99" t="s">
        <v>872</v>
      </c>
      <c r="F609" s="169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0"/>
        <v>2</v>
      </c>
      <c r="C610" s="6">
        <f t="shared" ref="C610:C612" si="121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0"/>
        <v>3</v>
      </c>
      <c r="C611" s="6">
        <f t="shared" si="121"/>
        <v>3</v>
      </c>
      <c r="D611" s="99"/>
      <c r="E611" s="99" t="s">
        <v>873</v>
      </c>
      <c r="F611" s="169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0"/>
        <v>4</v>
      </c>
      <c r="C612" s="6">
        <f t="shared" si="121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1099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2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2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2"/>
        <v>2</v>
      </c>
      <c r="C617" s="6">
        <f t="shared" ref="C617:C619" si="123">C616+1</f>
        <v>2</v>
      </c>
      <c r="D617" s="99"/>
      <c r="E617" s="99" t="s">
        <v>295</v>
      </c>
      <c r="F617" s="169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2"/>
        <v>3</v>
      </c>
      <c r="C618" s="6">
        <f t="shared" si="123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2"/>
        <v>4</v>
      </c>
      <c r="C619" s="6">
        <f t="shared" si="123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1101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4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4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4"/>
        <v>2</v>
      </c>
      <c r="C624" s="6">
        <f t="shared" ref="C624:C627" si="125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4"/>
        <v>3</v>
      </c>
      <c r="C625" s="6">
        <f t="shared" si="125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4"/>
        <v>4</v>
      </c>
      <c r="C626" s="6">
        <f t="shared" si="125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6">DEC2HEX(C627)</f>
        <v>5</v>
      </c>
      <c r="C627" s="6">
        <f t="shared" si="125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1102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7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7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8">DEC2HEX(C632)</f>
        <v>2</v>
      </c>
      <c r="C632" s="6">
        <f t="shared" ref="C632:C635" si="129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8"/>
        <v>3</v>
      </c>
      <c r="C633" s="6">
        <f t="shared" si="129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8"/>
        <v>4</v>
      </c>
      <c r="C634" s="6">
        <f t="shared" si="129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8"/>
        <v>5</v>
      </c>
      <c r="C635" s="6">
        <f t="shared" si="129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1104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30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0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0"/>
        <v>2</v>
      </c>
      <c r="C640" s="6">
        <f t="shared" ref="C640:C643" si="131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0"/>
        <v>3</v>
      </c>
      <c r="C641" s="6">
        <f t="shared" si="131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0"/>
        <v>4</v>
      </c>
      <c r="C642" s="6">
        <f t="shared" si="131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0"/>
        <v>5</v>
      </c>
      <c r="C643" s="6">
        <f t="shared" si="131"/>
        <v>5</v>
      </c>
      <c r="D643" s="99"/>
      <c r="E643" s="99" t="s">
        <v>295</v>
      </c>
      <c r="F643" s="169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2">DEC2HEX(C644)</f>
        <v>6</v>
      </c>
      <c r="C644" s="6">
        <f t="shared" ref="C644:C645" si="133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2"/>
        <v>7</v>
      </c>
      <c r="C645" s="6">
        <f t="shared" si="133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1106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4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4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4"/>
        <v>2</v>
      </c>
      <c r="C650" s="6">
        <f t="shared" ref="C650:C653" si="135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4"/>
        <v>3</v>
      </c>
      <c r="C651" s="6">
        <f t="shared" si="135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4"/>
        <v>4</v>
      </c>
      <c r="C652" s="6">
        <f t="shared" si="135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4"/>
        <v>5</v>
      </c>
      <c r="C653" s="6">
        <f t="shared" si="135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1107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6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6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6"/>
        <v>2</v>
      </c>
      <c r="C658" s="6">
        <f t="shared" ref="C658:C661" si="137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6"/>
        <v>3</v>
      </c>
      <c r="C659" s="6">
        <f t="shared" si="137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6"/>
        <v>4</v>
      </c>
      <c r="C660" s="6">
        <f t="shared" si="137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6"/>
        <v>5</v>
      </c>
      <c r="C661" s="6">
        <f t="shared" si="137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1108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8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8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8"/>
        <v>2</v>
      </c>
      <c r="C666" s="6">
        <f t="shared" ref="C666:C669" si="139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8"/>
        <v>3</v>
      </c>
      <c r="C667" s="6">
        <f t="shared" si="139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8"/>
        <v>4</v>
      </c>
      <c r="C668" s="6">
        <f t="shared" si="139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8"/>
        <v>5</v>
      </c>
      <c r="C669" s="6">
        <f t="shared" si="139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0">DEC2HEX(C670)</f>
        <v>6</v>
      </c>
      <c r="C670" s="6">
        <f t="shared" ref="C670" si="141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1109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2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2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2"/>
        <v>2</v>
      </c>
      <c r="C675" s="6">
        <f t="shared" ref="C675:C679" si="143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2"/>
        <v>3</v>
      </c>
      <c r="C676" s="6">
        <f t="shared" si="143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2"/>
        <v>4</v>
      </c>
      <c r="C677" s="6">
        <f t="shared" si="143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2"/>
        <v>5</v>
      </c>
      <c r="C678" s="6">
        <f t="shared" si="143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2"/>
        <v>6</v>
      </c>
      <c r="C679" s="6">
        <f t="shared" si="143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1110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4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4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4"/>
        <v>2</v>
      </c>
      <c r="C684" s="6">
        <f t="shared" ref="C684:C688" si="145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4"/>
        <v>3</v>
      </c>
      <c r="C685" s="6">
        <f t="shared" si="145"/>
        <v>3</v>
      </c>
      <c r="D685" s="99"/>
      <c r="E685" s="99" t="s">
        <v>1111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4"/>
        <v>4</v>
      </c>
      <c r="C686" s="6">
        <f t="shared" si="145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4"/>
        <v>5</v>
      </c>
      <c r="C687" s="6">
        <f t="shared" si="145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4"/>
        <v>6</v>
      </c>
      <c r="C688" s="6">
        <f t="shared" si="145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1112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6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6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6"/>
        <v>2</v>
      </c>
      <c r="C693" s="6">
        <f t="shared" ref="C693:C697" si="147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6"/>
        <v>3</v>
      </c>
      <c r="C694" s="6">
        <f t="shared" si="147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6"/>
        <v>4</v>
      </c>
      <c r="C695" s="6">
        <f t="shared" si="147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6"/>
        <v>5</v>
      </c>
      <c r="C696" s="6">
        <f t="shared" si="147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6"/>
        <v>6</v>
      </c>
      <c r="C697" s="6">
        <f t="shared" si="147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1113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8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8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8"/>
        <v>2</v>
      </c>
      <c r="C702" s="6">
        <f t="shared" ref="C702:C706" si="149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8"/>
        <v>3</v>
      </c>
      <c r="C703" s="6">
        <f t="shared" si="149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8"/>
        <v>4</v>
      </c>
      <c r="C704" s="6">
        <f t="shared" si="149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8"/>
        <v>5</v>
      </c>
      <c r="C705" s="6">
        <f t="shared" si="149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8"/>
        <v>6</v>
      </c>
      <c r="C706" s="6">
        <f t="shared" si="149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1114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50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0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0"/>
        <v>2</v>
      </c>
      <c r="C711" s="6">
        <f t="shared" ref="C711:C715" si="151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0"/>
        <v>3</v>
      </c>
      <c r="C712" s="6">
        <f t="shared" si="151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0"/>
        <v>4</v>
      </c>
      <c r="C713" s="6">
        <f t="shared" si="151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0"/>
        <v>5</v>
      </c>
      <c r="C714" s="6">
        <f t="shared" si="151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0"/>
        <v>6</v>
      </c>
      <c r="C715" s="6">
        <f t="shared" si="151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1115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2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2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2"/>
        <v>2</v>
      </c>
      <c r="C720" s="6">
        <f t="shared" ref="C720:C724" si="153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2"/>
        <v>3</v>
      </c>
      <c r="C721" s="6">
        <f t="shared" si="153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2"/>
        <v>4</v>
      </c>
      <c r="C722" s="6">
        <f t="shared" si="153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2"/>
        <v>5</v>
      </c>
      <c r="C723" s="6">
        <f t="shared" si="153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2"/>
        <v>6</v>
      </c>
      <c r="C724" s="6">
        <f t="shared" si="153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1116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4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4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4"/>
        <v>2</v>
      </c>
      <c r="C729" s="6">
        <f t="shared" ref="C729:C733" si="155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4"/>
        <v>3</v>
      </c>
      <c r="C730" s="6">
        <f t="shared" si="155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4"/>
        <v>4</v>
      </c>
      <c r="C731" s="6">
        <f t="shared" si="155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4"/>
        <v>5</v>
      </c>
      <c r="C732" s="6">
        <f t="shared" si="155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4"/>
        <v>6</v>
      </c>
      <c r="C733" s="6">
        <f t="shared" si="155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1117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6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6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6"/>
        <v>2</v>
      </c>
      <c r="C738" s="6">
        <f t="shared" ref="C738:C742" si="157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6"/>
        <v>3</v>
      </c>
      <c r="C739" s="6">
        <f t="shared" si="157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6"/>
        <v>4</v>
      </c>
      <c r="C740" s="6">
        <f t="shared" si="157"/>
        <v>4</v>
      </c>
      <c r="D740" s="99"/>
      <c r="E740" s="99" t="s">
        <v>1118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6"/>
        <v>5</v>
      </c>
      <c r="C741" s="6">
        <f t="shared" si="157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6"/>
        <v>6</v>
      </c>
      <c r="C742" s="6">
        <f t="shared" si="157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1119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8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8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8"/>
        <v>2</v>
      </c>
      <c r="C747" s="6">
        <f t="shared" ref="C747:C751" si="159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8"/>
        <v>3</v>
      </c>
      <c r="C748" s="6">
        <f t="shared" si="159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8"/>
        <v>4</v>
      </c>
      <c r="C749" s="6">
        <f t="shared" si="159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8"/>
        <v>5</v>
      </c>
      <c r="C750" s="6">
        <f t="shared" si="159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8"/>
        <v>6</v>
      </c>
      <c r="C751" s="6">
        <f t="shared" si="159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1120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60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0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0"/>
        <v>2</v>
      </c>
      <c r="C756" s="6">
        <f t="shared" ref="C756:C760" si="161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0"/>
        <v>3</v>
      </c>
      <c r="C757" s="6">
        <f t="shared" si="161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0"/>
        <v>4</v>
      </c>
      <c r="C758" s="6">
        <f t="shared" si="161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0"/>
        <v>5</v>
      </c>
      <c r="C759" s="6">
        <f t="shared" si="161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0"/>
        <v>6</v>
      </c>
      <c r="C760" s="6">
        <f t="shared" si="161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1121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2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2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2"/>
        <v>2</v>
      </c>
      <c r="C765" s="6">
        <f t="shared" ref="C765:C768" si="163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2"/>
        <v>3</v>
      </c>
      <c r="C766" s="6">
        <f t="shared" si="163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2"/>
        <v>4</v>
      </c>
      <c r="C767" s="6">
        <f t="shared" si="163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2"/>
        <v>5</v>
      </c>
      <c r="C768" s="6">
        <f t="shared" si="163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1122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4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4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4"/>
        <v>2</v>
      </c>
      <c r="C773" s="6">
        <f t="shared" ref="C773:C776" si="165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4"/>
        <v>3</v>
      </c>
      <c r="C774" s="6">
        <f t="shared" si="165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4"/>
        <v>4</v>
      </c>
      <c r="C775" s="6">
        <f t="shared" si="165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4"/>
        <v>5</v>
      </c>
      <c r="C776" s="6">
        <f t="shared" si="165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6">DEC2HEX(C777)</f>
        <v>6</v>
      </c>
      <c r="C777" s="6">
        <f t="shared" ref="C777:C780" si="167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6"/>
        <v>7</v>
      </c>
      <c r="C778" s="6">
        <f t="shared" si="167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6"/>
        <v>8</v>
      </c>
      <c r="C779" s="6">
        <f t="shared" si="167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6"/>
        <v>9</v>
      </c>
      <c r="C780" s="6">
        <f t="shared" si="167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1123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8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8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8"/>
        <v>2</v>
      </c>
      <c r="C785" s="6">
        <f t="shared" ref="C785:C791" si="169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8"/>
        <v>3</v>
      </c>
      <c r="C786" s="6">
        <f t="shared" si="169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8"/>
        <v>4</v>
      </c>
      <c r="C787" s="6">
        <f t="shared" si="169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8"/>
        <v>5</v>
      </c>
      <c r="C788" s="6">
        <f t="shared" si="169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8"/>
        <v>6</v>
      </c>
      <c r="C789" s="6">
        <f t="shared" si="169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8"/>
        <v>7</v>
      </c>
      <c r="C790" s="6">
        <f t="shared" si="169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8"/>
        <v>8</v>
      </c>
      <c r="C791" s="6">
        <f t="shared" si="169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1124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70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0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0"/>
        <v>2</v>
      </c>
      <c r="C796" s="6">
        <f t="shared" ref="C796:C799" si="171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0"/>
        <v>3</v>
      </c>
      <c r="C797" s="6">
        <f t="shared" si="171"/>
        <v>3</v>
      </c>
      <c r="D797" s="99"/>
      <c r="E797" s="99" t="s">
        <v>295</v>
      </c>
      <c r="F797" s="169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0"/>
        <v>4</v>
      </c>
      <c r="C798" s="6">
        <f t="shared" si="171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0"/>
        <v>5</v>
      </c>
      <c r="C799" s="6">
        <f t="shared" si="171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1175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2">DEC2HEX(C802)</f>
        <v>0</v>
      </c>
      <c r="C802" s="6">
        <v>0</v>
      </c>
      <c r="D802" s="99"/>
      <c r="E802" s="99" t="s">
        <v>1170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2"/>
        <v>1</v>
      </c>
      <c r="C803" s="6">
        <f>C802+1</f>
        <v>1</v>
      </c>
      <c r="D803" s="99"/>
      <c r="E803" s="99" t="s">
        <v>1170</v>
      </c>
      <c r="F803" s="169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2"/>
        <v>2</v>
      </c>
      <c r="C804" s="6">
        <f t="shared" ref="C804:C808" si="173">C803+1</f>
        <v>2</v>
      </c>
      <c r="D804" s="99"/>
      <c r="E804" s="99" t="s">
        <v>1172</v>
      </c>
      <c r="F804" s="169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2"/>
        <v>3</v>
      </c>
      <c r="C805" s="6">
        <f t="shared" si="173"/>
        <v>3</v>
      </c>
      <c r="D805" s="99"/>
      <c r="E805" s="99" t="s">
        <v>1173</v>
      </c>
      <c r="F805" s="169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2"/>
        <v>4</v>
      </c>
      <c r="C806" s="6">
        <f t="shared" si="173"/>
        <v>4</v>
      </c>
      <c r="D806" s="99"/>
      <c r="E806" s="99" t="s">
        <v>1170</v>
      </c>
      <c r="F806" s="169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2"/>
        <v>5</v>
      </c>
      <c r="C807" s="6">
        <f t="shared" si="173"/>
        <v>5</v>
      </c>
      <c r="D807" s="99"/>
      <c r="E807" s="99" t="s">
        <v>1172</v>
      </c>
      <c r="F807" s="169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4">DEC2HEX(C808)</f>
        <v>6</v>
      </c>
      <c r="C808" s="6">
        <f t="shared" si="173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1182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5">DEC2HEX(C811)</f>
        <v>0</v>
      </c>
      <c r="C811" s="6">
        <v>0</v>
      </c>
      <c r="D811" s="99"/>
      <c r="E811" s="99" t="s">
        <v>1170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5"/>
        <v>1</v>
      </c>
      <c r="C812" s="6">
        <f>C811+1</f>
        <v>1</v>
      </c>
      <c r="D812" s="99"/>
      <c r="E812" s="99" t="s">
        <v>1180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5"/>
        <v>2</v>
      </c>
      <c r="C813" s="6">
        <f t="shared" ref="C813:C819" si="176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1183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7">DEC2HEX(C816)</f>
        <v>0</v>
      </c>
      <c r="C816" s="6">
        <v>0</v>
      </c>
      <c r="D816" s="99"/>
      <c r="E816" s="99" t="s">
        <v>1170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7"/>
        <v>1</v>
      </c>
      <c r="C817" s="6">
        <f>C816+1</f>
        <v>1</v>
      </c>
      <c r="D817" s="99"/>
      <c r="E817" s="99" t="s">
        <v>1180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7"/>
        <v>2</v>
      </c>
      <c r="C818" s="6">
        <f t="shared" si="176"/>
        <v>2</v>
      </c>
      <c r="D818" s="99"/>
      <c r="E818" s="99" t="s">
        <v>1180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8">DEC2HEX(C819)</f>
        <v>3</v>
      </c>
      <c r="C819" s="6">
        <f t="shared" si="176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1184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9">DEC2HEX(C822)</f>
        <v>0</v>
      </c>
      <c r="C822" s="6">
        <v>0</v>
      </c>
      <c r="D822" s="99"/>
      <c r="E822" s="99" t="s">
        <v>1170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9"/>
        <v>1</v>
      </c>
      <c r="C823" s="6">
        <f>C822+1</f>
        <v>1</v>
      </c>
      <c r="D823" s="99"/>
      <c r="E823" s="99" t="s">
        <v>1179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79"/>
        <v>2</v>
      </c>
      <c r="C824" s="6">
        <f t="shared" ref="C824:C825" si="180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9"/>
        <v>3</v>
      </c>
      <c r="C825" s="6">
        <f t="shared" si="180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1185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1">DEC2HEX(C828)</f>
        <v>0</v>
      </c>
      <c r="C828" s="6">
        <v>0</v>
      </c>
      <c r="D828" s="99"/>
      <c r="E828" s="99" t="s">
        <v>1170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1"/>
        <v>1</v>
      </c>
      <c r="C829" s="6">
        <f>C828+1</f>
        <v>1</v>
      </c>
      <c r="D829" s="99"/>
      <c r="E829" s="99" t="s">
        <v>1179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1"/>
        <v>2</v>
      </c>
      <c r="C830" s="6">
        <f t="shared" ref="C830:C831" si="182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1"/>
        <v>3</v>
      </c>
      <c r="C831" s="6">
        <f t="shared" si="182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1190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3">DEC2HEX(C834)</f>
        <v>0</v>
      </c>
      <c r="C834" s="6">
        <v>0</v>
      </c>
      <c r="D834" s="99"/>
      <c r="E834" s="99" t="s">
        <v>1170</v>
      </c>
      <c r="F834" s="169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3"/>
        <v>1</v>
      </c>
      <c r="C835" s="6">
        <f>C834+1</f>
        <v>1</v>
      </c>
      <c r="D835" s="99"/>
      <c r="E835" s="99" t="s">
        <v>1170</v>
      </c>
      <c r="F835" s="169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3"/>
        <v>2</v>
      </c>
      <c r="C836" s="6">
        <f t="shared" ref="C836:C841" si="184">C835+1</f>
        <v>2</v>
      </c>
      <c r="D836" s="99"/>
      <c r="E836" s="99" t="s">
        <v>1170</v>
      </c>
      <c r="F836" s="169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3"/>
        <v>3</v>
      </c>
      <c r="C837" s="6">
        <f t="shared" si="184"/>
        <v>3</v>
      </c>
      <c r="D837" s="99"/>
      <c r="E837" s="99" t="s">
        <v>1170</v>
      </c>
      <c r="F837" s="169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5">DEC2HEX(C838)</f>
        <v>4</v>
      </c>
      <c r="C838" s="6">
        <f t="shared" si="184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6">DEC2HEX(C839)</f>
        <v>5</v>
      </c>
      <c r="C839" s="6">
        <f t="shared" si="184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6"/>
        <v>6</v>
      </c>
      <c r="C840" s="6">
        <f t="shared" si="184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6"/>
        <v>7</v>
      </c>
      <c r="C841" s="6">
        <f t="shared" si="184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5" t="s">
        <v>142</v>
      </c>
      <c r="C843" s="165" t="s">
        <v>143</v>
      </c>
      <c r="D843" s="166" t="s">
        <v>131</v>
      </c>
      <c r="E843" s="46" t="s">
        <v>148</v>
      </c>
      <c r="F843" s="166" t="s">
        <v>129</v>
      </c>
      <c r="G843" s="166" t="s">
        <v>130</v>
      </c>
      <c r="H843" s="166" t="s">
        <v>251</v>
      </c>
      <c r="I843" s="161" t="s">
        <v>211</v>
      </c>
      <c r="J843" s="156">
        <f ca="1">IFERROR(IF(AND(J844:J847),0,1),0)</f>
        <v>1</v>
      </c>
      <c r="K843" s="167" t="s">
        <v>435</v>
      </c>
      <c r="L843" s="56" t="s">
        <v>1212</v>
      </c>
      <c r="M843" s="168">
        <f>IFERROR(VLOOKUP($A843,$P$6:$S$1048576,3,0),0)</f>
        <v>0</v>
      </c>
      <c r="N843" s="168">
        <f>IFERROR(VLOOKUP($A843,$P$6:$S$1048576,4,0),0)</f>
        <v>0</v>
      </c>
    </row>
    <row r="844" spans="1:14">
      <c r="B844" s="6" t="str">
        <f t="shared" ref="B844:B847" si="187">DEC2HEX(C844)</f>
        <v>0</v>
      </c>
      <c r="C844" s="6">
        <v>0</v>
      </c>
      <c r="D844" s="99"/>
      <c r="E844" s="99" t="s">
        <v>147</v>
      </c>
      <c r="F844" s="169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7"/>
        <v>1</v>
      </c>
      <c r="C845" s="6">
        <f>C844+1</f>
        <v>1</v>
      </c>
      <c r="D845" s="99"/>
      <c r="E845" s="99" t="s">
        <v>407</v>
      </c>
      <c r="F845" s="169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7"/>
        <v>2</v>
      </c>
      <c r="C846" s="6">
        <f t="shared" ref="C846:C847" si="188">C845+1</f>
        <v>2</v>
      </c>
      <c r="D846" s="99"/>
      <c r="E846" s="99" t="s">
        <v>190</v>
      </c>
      <c r="F846" s="169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7"/>
        <v>3</v>
      </c>
      <c r="C847" s="6">
        <f t="shared" si="188"/>
        <v>3</v>
      </c>
      <c r="D847" s="99"/>
      <c r="E847" s="99"/>
      <c r="F847" s="169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5" t="s">
        <v>142</v>
      </c>
      <c r="C849" s="165" t="s">
        <v>143</v>
      </c>
      <c r="D849" s="166" t="s">
        <v>131</v>
      </c>
      <c r="E849" s="46" t="s">
        <v>148</v>
      </c>
      <c r="F849" s="166" t="s">
        <v>129</v>
      </c>
      <c r="G849" s="166" t="s">
        <v>130</v>
      </c>
      <c r="H849" s="166" t="s">
        <v>251</v>
      </c>
      <c r="I849" s="161" t="s">
        <v>211</v>
      </c>
      <c r="J849" s="156">
        <f ca="1">IFERROR(IF(AND(J850:J853),0,1),0)</f>
        <v>1</v>
      </c>
      <c r="K849" s="167" t="s">
        <v>435</v>
      </c>
      <c r="L849" s="56" t="s">
        <v>1213</v>
      </c>
      <c r="M849" s="168">
        <f>IFERROR(VLOOKUP($A849,$P$6:$S$1048576,3,0),0)</f>
        <v>0</v>
      </c>
      <c r="N849" s="168">
        <f>IFERROR(VLOOKUP($A849,$P$6:$S$1048576,4,0),0)</f>
        <v>0</v>
      </c>
    </row>
    <row r="850" spans="1:14">
      <c r="B850" s="6" t="str">
        <f t="shared" ref="B850:B853" si="189">DEC2HEX(C850)</f>
        <v>0</v>
      </c>
      <c r="C850" s="6">
        <v>0</v>
      </c>
      <c r="D850" s="99"/>
      <c r="E850" s="99" t="s">
        <v>147</v>
      </c>
      <c r="F850" s="169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9"/>
        <v>1</v>
      </c>
      <c r="C851" s="6">
        <f>C850+1</f>
        <v>1</v>
      </c>
      <c r="D851" s="99"/>
      <c r="E851" s="99" t="s">
        <v>153</v>
      </c>
      <c r="F851" s="169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9"/>
        <v>2</v>
      </c>
      <c r="C852" s="6">
        <f t="shared" ref="C852:C853" si="190">C851+1</f>
        <v>2</v>
      </c>
      <c r="D852" s="99"/>
      <c r="E852" s="99" t="s">
        <v>190</v>
      </c>
      <c r="F852" s="169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9"/>
        <v>3</v>
      </c>
      <c r="C853" s="6">
        <f t="shared" si="190"/>
        <v>3</v>
      </c>
      <c r="D853" s="99"/>
      <c r="E853" s="99"/>
      <c r="F853" s="169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5" t="s">
        <v>142</v>
      </c>
      <c r="C855" s="165" t="s">
        <v>143</v>
      </c>
      <c r="D855" s="166" t="s">
        <v>131</v>
      </c>
      <c r="E855" s="46" t="s">
        <v>148</v>
      </c>
      <c r="F855" s="166" t="s">
        <v>129</v>
      </c>
      <c r="G855" s="166" t="s">
        <v>130</v>
      </c>
      <c r="H855" s="166" t="s">
        <v>251</v>
      </c>
      <c r="I855" s="161" t="s">
        <v>211</v>
      </c>
      <c r="J855" s="156">
        <f ca="1">IFERROR(IF(AND(J856:J859),0,1),0)</f>
        <v>1</v>
      </c>
      <c r="K855" s="167" t="s">
        <v>435</v>
      </c>
      <c r="L855" s="56" t="s">
        <v>1214</v>
      </c>
      <c r="M855" s="168">
        <f>IFERROR(VLOOKUP($A855,$P$6:$S$1048576,3,0),0)</f>
        <v>0</v>
      </c>
      <c r="N855" s="168">
        <f>IFERROR(VLOOKUP($A855,$P$6:$S$1048576,4,0),0)</f>
        <v>0</v>
      </c>
    </row>
    <row r="856" spans="1:14">
      <c r="B856" s="6" t="str">
        <f t="shared" ref="B856:B859" si="191">DEC2HEX(C856)</f>
        <v>0</v>
      </c>
      <c r="C856" s="6">
        <v>0</v>
      </c>
      <c r="D856" s="99"/>
      <c r="E856" s="99" t="s">
        <v>147</v>
      </c>
      <c r="F856" s="169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1"/>
        <v>1</v>
      </c>
      <c r="C857" s="6">
        <f>C856+1</f>
        <v>1</v>
      </c>
      <c r="D857" s="99"/>
      <c r="E857" s="99" t="s">
        <v>147</v>
      </c>
      <c r="F857" s="169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1"/>
        <v>2</v>
      </c>
      <c r="C858" s="6">
        <f t="shared" ref="C858:C859" si="192">C857+1</f>
        <v>2</v>
      </c>
      <c r="D858" s="99"/>
      <c r="E858" s="99" t="s">
        <v>268</v>
      </c>
      <c r="F858" s="169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1"/>
        <v>3</v>
      </c>
      <c r="C859" s="6">
        <f t="shared" si="192"/>
        <v>3</v>
      </c>
      <c r="D859" s="99"/>
      <c r="E859" s="99" t="s">
        <v>190</v>
      </c>
      <c r="F859" s="169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5" t="s">
        <v>142</v>
      </c>
      <c r="C861" s="165" t="s">
        <v>143</v>
      </c>
      <c r="D861" s="166" t="s">
        <v>131</v>
      </c>
      <c r="E861" s="46" t="s">
        <v>148</v>
      </c>
      <c r="F861" s="166" t="s">
        <v>129</v>
      </c>
      <c r="G861" s="166" t="s">
        <v>130</v>
      </c>
      <c r="H861" s="166" t="s">
        <v>251</v>
      </c>
      <c r="I861" s="161" t="s">
        <v>211</v>
      </c>
      <c r="J861" s="156">
        <f ca="1">IFERROR(IF(AND(J862:J865),0,1),0)</f>
        <v>1</v>
      </c>
      <c r="K861" s="167" t="s">
        <v>435</v>
      </c>
      <c r="L861" s="56" t="s">
        <v>1215</v>
      </c>
      <c r="M861" s="168">
        <f>IFERROR(VLOOKUP($A861,$P$6:$S$1048576,3,0),0)</f>
        <v>0</v>
      </c>
      <c r="N861" s="168">
        <f>IFERROR(VLOOKUP($A861,$P$6:$S$1048576,4,0),0)</f>
        <v>0</v>
      </c>
    </row>
    <row r="862" spans="1:14">
      <c r="B862" s="6" t="str">
        <f t="shared" ref="B862:B865" si="193">DEC2HEX(C862)</f>
        <v>0</v>
      </c>
      <c r="C862" s="6">
        <v>0</v>
      </c>
      <c r="D862" s="99"/>
      <c r="E862" s="99" t="s">
        <v>147</v>
      </c>
      <c r="F862" s="169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3"/>
        <v>1</v>
      </c>
      <c r="C863" s="6">
        <f>C862+1</f>
        <v>1</v>
      </c>
      <c r="D863" s="99"/>
      <c r="E863" s="99" t="s">
        <v>155</v>
      </c>
      <c r="F863" s="169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3"/>
        <v>2</v>
      </c>
      <c r="C864" s="6">
        <f t="shared" ref="C864:C865" si="194">C863+1</f>
        <v>2</v>
      </c>
      <c r="D864" s="99"/>
      <c r="E864" s="99" t="s">
        <v>190</v>
      </c>
      <c r="F864" s="169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3"/>
        <v>3</v>
      </c>
      <c r="C865" s="6">
        <f t="shared" si="194"/>
        <v>3</v>
      </c>
      <c r="D865" s="99"/>
      <c r="E865" s="99"/>
      <c r="F865" s="169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5" t="s">
        <v>142</v>
      </c>
      <c r="C867" s="165" t="s">
        <v>143</v>
      </c>
      <c r="D867" s="166" t="s">
        <v>131</v>
      </c>
      <c r="E867" s="46" t="s">
        <v>148</v>
      </c>
      <c r="F867" s="166" t="s">
        <v>129</v>
      </c>
      <c r="G867" s="166" t="s">
        <v>130</v>
      </c>
      <c r="H867" s="166" t="s">
        <v>251</v>
      </c>
      <c r="I867" s="161" t="s">
        <v>211</v>
      </c>
      <c r="J867" s="156">
        <f ca="1">IFERROR(IF(AND(J868:J871),0,1),0)</f>
        <v>1</v>
      </c>
      <c r="K867" s="167" t="s">
        <v>435</v>
      </c>
      <c r="L867" s="56" t="s">
        <v>1216</v>
      </c>
      <c r="M867" s="168">
        <f>IFERROR(VLOOKUP($A867,$P$6:$S$1048576,3,0),0)</f>
        <v>0</v>
      </c>
      <c r="N867" s="168">
        <f>IFERROR(VLOOKUP($A867,$P$6:$S$1048576,4,0),0)</f>
        <v>0</v>
      </c>
    </row>
    <row r="868" spans="1:14">
      <c r="B868" s="6" t="str">
        <f t="shared" ref="B868:B871" si="195">DEC2HEX(C868)</f>
        <v>0</v>
      </c>
      <c r="C868" s="6">
        <v>0</v>
      </c>
      <c r="D868" s="99"/>
      <c r="E868" s="99" t="s">
        <v>147</v>
      </c>
      <c r="F868" s="169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5"/>
        <v>1</v>
      </c>
      <c r="C869" s="6">
        <f>C868+1</f>
        <v>1</v>
      </c>
      <c r="D869" s="99"/>
      <c r="E869" s="99" t="s">
        <v>457</v>
      </c>
      <c r="F869" s="169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5"/>
        <v>2</v>
      </c>
      <c r="C870" s="6">
        <f t="shared" ref="C870:C871" si="196">C869+1</f>
        <v>2</v>
      </c>
      <c r="D870" s="99"/>
      <c r="E870" s="99" t="s">
        <v>190</v>
      </c>
      <c r="F870" s="169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5"/>
        <v>3</v>
      </c>
      <c r="C871" s="6">
        <f t="shared" si="196"/>
        <v>3</v>
      </c>
      <c r="D871" s="99"/>
      <c r="E871" s="99"/>
      <c r="F871" s="169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5" t="s">
        <v>142</v>
      </c>
      <c r="C873" s="165" t="s">
        <v>143</v>
      </c>
      <c r="D873" s="166" t="s">
        <v>131</v>
      </c>
      <c r="E873" s="46" t="s">
        <v>148</v>
      </c>
      <c r="F873" s="166" t="s">
        <v>129</v>
      </c>
      <c r="G873" s="166" t="s">
        <v>130</v>
      </c>
      <c r="H873" s="166" t="s">
        <v>251</v>
      </c>
      <c r="I873" s="161" t="s">
        <v>211</v>
      </c>
      <c r="J873" s="156">
        <f ca="1">IFERROR(IF(AND(J874:J877),0,1),0)</f>
        <v>1</v>
      </c>
      <c r="K873" s="167" t="s">
        <v>435</v>
      </c>
      <c r="L873" s="56" t="s">
        <v>1217</v>
      </c>
      <c r="M873" s="168">
        <f>IFERROR(VLOOKUP($A873,$P$6:$S$1048576,3,0),0)</f>
        <v>0</v>
      </c>
      <c r="N873" s="168">
        <f>IFERROR(VLOOKUP($A873,$P$6:$S$1048576,4,0),0)</f>
        <v>0</v>
      </c>
    </row>
    <row r="874" spans="1:14">
      <c r="B874" s="6" t="str">
        <f t="shared" ref="B874:B877" si="197">DEC2HEX(C874)</f>
        <v>0</v>
      </c>
      <c r="C874" s="6">
        <v>0</v>
      </c>
      <c r="D874" s="99"/>
      <c r="E874" s="99" t="s">
        <v>147</v>
      </c>
      <c r="F874" s="169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7"/>
        <v>1</v>
      </c>
      <c r="C875" s="6">
        <f>C874+1</f>
        <v>1</v>
      </c>
      <c r="D875" s="99"/>
      <c r="E875" s="99" t="s">
        <v>161</v>
      </c>
      <c r="F875" s="169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7"/>
        <v>2</v>
      </c>
      <c r="C876" s="6">
        <f t="shared" ref="C876:C877" si="198">C875+1</f>
        <v>2</v>
      </c>
      <c r="D876" s="99"/>
      <c r="E876" s="99" t="s">
        <v>190</v>
      </c>
      <c r="F876" s="169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7"/>
        <v>3</v>
      </c>
      <c r="C877" s="6">
        <f t="shared" si="198"/>
        <v>3</v>
      </c>
      <c r="D877" s="99"/>
      <c r="E877" s="99"/>
      <c r="F877" s="169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5" t="s">
        <v>142</v>
      </c>
      <c r="C879" s="165" t="s">
        <v>143</v>
      </c>
      <c r="D879" s="166" t="s">
        <v>131</v>
      </c>
      <c r="E879" s="46" t="s">
        <v>148</v>
      </c>
      <c r="F879" s="166" t="s">
        <v>129</v>
      </c>
      <c r="G879" s="166" t="s">
        <v>130</v>
      </c>
      <c r="H879" s="166" t="s">
        <v>251</v>
      </c>
      <c r="I879" s="161" t="s">
        <v>211</v>
      </c>
      <c r="J879" s="156">
        <f ca="1">IFERROR(IF(AND(J880:J883),0,1),0)</f>
        <v>1</v>
      </c>
      <c r="K879" s="167" t="s">
        <v>435</v>
      </c>
      <c r="L879" s="56" t="s">
        <v>1218</v>
      </c>
      <c r="M879" s="168">
        <f>IFERROR(VLOOKUP($A879,$P$6:$S$1048576,3,0),0)</f>
        <v>0</v>
      </c>
      <c r="N879" s="168">
        <f>IFERROR(VLOOKUP($A879,$P$6:$S$1048576,4,0),0)</f>
        <v>0</v>
      </c>
    </row>
    <row r="880" spans="1:14">
      <c r="B880" s="6" t="str">
        <f t="shared" ref="B880:B883" si="199">DEC2HEX(C880)</f>
        <v>0</v>
      </c>
      <c r="C880" s="6">
        <v>0</v>
      </c>
      <c r="D880" s="99"/>
      <c r="E880" s="99" t="s">
        <v>147</v>
      </c>
      <c r="F880" s="169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199"/>
        <v>1</v>
      </c>
      <c r="C881" s="6">
        <f>C880+1</f>
        <v>1</v>
      </c>
      <c r="D881" s="99"/>
      <c r="E881" s="99" t="s">
        <v>147</v>
      </c>
      <c r="F881" s="169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9"/>
        <v>2</v>
      </c>
      <c r="C882" s="6">
        <f t="shared" ref="C882:C883" si="200">C881+1</f>
        <v>2</v>
      </c>
      <c r="D882" s="99"/>
      <c r="E882" s="99" t="s">
        <v>874</v>
      </c>
      <c r="F882" s="169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199"/>
        <v>3</v>
      </c>
      <c r="C883" s="6">
        <f t="shared" si="200"/>
        <v>3</v>
      </c>
      <c r="D883" s="99"/>
      <c r="E883" s="99" t="s">
        <v>190</v>
      </c>
      <c r="F883" s="169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5" t="s">
        <v>142</v>
      </c>
      <c r="C885" s="165" t="s">
        <v>143</v>
      </c>
      <c r="D885" s="166" t="s">
        <v>131</v>
      </c>
      <c r="E885" s="46" t="s">
        <v>148</v>
      </c>
      <c r="F885" s="166" t="s">
        <v>129</v>
      </c>
      <c r="G885" s="166" t="s">
        <v>130</v>
      </c>
      <c r="H885" s="166" t="s">
        <v>251</v>
      </c>
      <c r="I885" s="161" t="s">
        <v>211</v>
      </c>
      <c r="J885" s="156">
        <f ca="1">IFERROR(IF(AND(J886:J889),0,1),0)</f>
        <v>1</v>
      </c>
      <c r="K885" s="167" t="s">
        <v>435</v>
      </c>
      <c r="L885" s="56" t="s">
        <v>1219</v>
      </c>
      <c r="M885" s="168">
        <f>IFERROR(VLOOKUP($A885,$P$6:$S$1048576,3,0),0)</f>
        <v>0</v>
      </c>
      <c r="N885" s="168">
        <f>IFERROR(VLOOKUP($A885,$P$6:$S$1048576,4,0),0)</f>
        <v>0</v>
      </c>
    </row>
    <row r="886" spans="1:14">
      <c r="B886" s="6" t="str">
        <f t="shared" ref="B886:B889" si="201">DEC2HEX(C886)</f>
        <v>0</v>
      </c>
      <c r="C886" s="6">
        <v>0</v>
      </c>
      <c r="D886" s="99"/>
      <c r="E886" s="99" t="s">
        <v>147</v>
      </c>
      <c r="F886" s="169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1"/>
        <v>1</v>
      </c>
      <c r="C887" s="6">
        <f>C886+1</f>
        <v>1</v>
      </c>
      <c r="D887" s="99"/>
      <c r="E887" s="99" t="s">
        <v>147</v>
      </c>
      <c r="F887" s="169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1"/>
        <v>2</v>
      </c>
      <c r="C888" s="6">
        <f t="shared" ref="C888:C889" si="202">C887+1</f>
        <v>2</v>
      </c>
      <c r="D888" s="99"/>
      <c r="E888" s="99" t="s">
        <v>874</v>
      </c>
      <c r="F888" s="169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1"/>
        <v>3</v>
      </c>
      <c r="C889" s="6">
        <f t="shared" si="202"/>
        <v>3</v>
      </c>
      <c r="D889" s="99"/>
      <c r="E889" s="99" t="s">
        <v>190</v>
      </c>
      <c r="F889" s="169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1220</v>
      </c>
      <c r="B891" s="165" t="s">
        <v>142</v>
      </c>
      <c r="C891" s="165" t="s">
        <v>143</v>
      </c>
      <c r="D891" s="166" t="s">
        <v>131</v>
      </c>
      <c r="E891" s="46" t="s">
        <v>148</v>
      </c>
      <c r="F891" s="166" t="s">
        <v>129</v>
      </c>
      <c r="G891" s="166" t="s">
        <v>130</v>
      </c>
      <c r="H891" s="166" t="s">
        <v>251</v>
      </c>
      <c r="I891" s="161" t="s">
        <v>211</v>
      </c>
      <c r="J891" s="156">
        <f ca="1">IFERROR(IF(AND(J892:J895),0,1),0)</f>
        <v>0</v>
      </c>
      <c r="K891" s="167" t="s">
        <v>435</v>
      </c>
      <c r="L891" s="56" t="s">
        <v>1234</v>
      </c>
      <c r="M891" s="168">
        <f>IFERROR(VLOOKUP($A891,$P$6:$S$1048576,3,0),0)</f>
        <v>0</v>
      </c>
      <c r="N891" s="168">
        <f>IFERROR(VLOOKUP($A891,$P$6:$S$1048576,4,0),0)</f>
        <v>0</v>
      </c>
    </row>
    <row r="892" spans="1:14">
      <c r="B892" s="6" t="str">
        <f t="shared" ref="B892:B895" si="203">DEC2HEX(C892)</f>
        <v>0</v>
      </c>
      <c r="C892" s="6">
        <v>0</v>
      </c>
      <c r="D892" s="99"/>
      <c r="E892" s="99" t="s">
        <v>147</v>
      </c>
      <c r="F892" s="169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3"/>
        <v>1</v>
      </c>
      <c r="C893" s="6">
        <f>C892+1</f>
        <v>1</v>
      </c>
      <c r="D893" s="99"/>
      <c r="E893" s="99" t="s">
        <v>163</v>
      </c>
      <c r="F893" s="169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3"/>
        <v>2</v>
      </c>
      <c r="C894" s="6">
        <f t="shared" ref="C894:C895" si="204">C893+1</f>
        <v>2</v>
      </c>
      <c r="D894" s="99"/>
      <c r="E894" s="99" t="s">
        <v>190</v>
      </c>
      <c r="F894" s="169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3"/>
        <v>3</v>
      </c>
      <c r="C895" s="6">
        <f t="shared" si="204"/>
        <v>3</v>
      </c>
      <c r="D895" s="99"/>
      <c r="E895" s="99"/>
      <c r="F895" s="169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</sheetData>
  <mergeCells count="2">
    <mergeCell ref="U5:AB5"/>
    <mergeCell ref="U6:AB35"/>
  </mergeCells>
  <phoneticPr fontId="16" type="noConversion"/>
  <conditionalFormatting sqref="J4:K4">
    <cfRule type="cellIs" dxfId="584" priority="915" operator="equal">
      <formula>0</formula>
    </cfRule>
    <cfRule type="cellIs" dxfId="583" priority="916" operator="equal">
      <formula>1</formula>
    </cfRule>
  </conditionalFormatting>
  <conditionalFormatting sqref="J11:K11">
    <cfRule type="cellIs" dxfId="582" priority="913" operator="equal">
      <formula>0</formula>
    </cfRule>
    <cfRule type="cellIs" dxfId="581" priority="914" operator="equal">
      <formula>1</formula>
    </cfRule>
  </conditionalFormatting>
  <conditionalFormatting sqref="J16:K16">
    <cfRule type="cellIs" dxfId="580" priority="911" operator="equal">
      <formula>0</formula>
    </cfRule>
    <cfRule type="cellIs" dxfId="579" priority="912" operator="equal">
      <formula>1</formula>
    </cfRule>
  </conditionalFormatting>
  <conditionalFormatting sqref="J29:K29">
    <cfRule type="cellIs" dxfId="578" priority="907" operator="equal">
      <formula>0</formula>
    </cfRule>
    <cfRule type="cellIs" dxfId="577" priority="908" operator="equal">
      <formula>1</formula>
    </cfRule>
  </conditionalFormatting>
  <conditionalFormatting sqref="M4:N4">
    <cfRule type="cellIs" dxfId="576" priority="905" operator="equal">
      <formula>0</formula>
    </cfRule>
    <cfRule type="cellIs" dxfId="575" priority="906" operator="equal">
      <formula>1</formula>
    </cfRule>
  </conditionalFormatting>
  <conditionalFormatting sqref="J38:K38">
    <cfRule type="cellIs" dxfId="574" priority="895" operator="equal">
      <formula>0</formula>
    </cfRule>
    <cfRule type="cellIs" dxfId="573" priority="896" operator="equal">
      <formula>1</formula>
    </cfRule>
  </conditionalFormatting>
  <conditionalFormatting sqref="K49">
    <cfRule type="cellIs" dxfId="572" priority="891" operator="equal">
      <formula>0</formula>
    </cfRule>
    <cfRule type="cellIs" dxfId="571" priority="892" operator="equal">
      <formula>1</formula>
    </cfRule>
  </conditionalFormatting>
  <conditionalFormatting sqref="K66">
    <cfRule type="cellIs" dxfId="570" priority="883" operator="equal">
      <formula>0</formula>
    </cfRule>
    <cfRule type="cellIs" dxfId="569" priority="884" operator="equal">
      <formula>1</formula>
    </cfRule>
  </conditionalFormatting>
  <conditionalFormatting sqref="K57">
    <cfRule type="cellIs" dxfId="568" priority="879" operator="equal">
      <formula>0</formula>
    </cfRule>
    <cfRule type="cellIs" dxfId="567" priority="880" operator="equal">
      <formula>1</formula>
    </cfRule>
  </conditionalFormatting>
  <conditionalFormatting sqref="J49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57">
    <cfRule type="cellIs" dxfId="564" priority="873" operator="equal">
      <formula>0</formula>
    </cfRule>
    <cfRule type="cellIs" dxfId="563" priority="874" operator="equal">
      <formula>1</formula>
    </cfRule>
  </conditionalFormatting>
  <conditionalFormatting sqref="J66">
    <cfRule type="cellIs" dxfId="562" priority="871" operator="equal">
      <formula>0</formula>
    </cfRule>
    <cfRule type="cellIs" dxfId="561" priority="872" operator="equal">
      <formula>1</formula>
    </cfRule>
  </conditionalFormatting>
  <conditionalFormatting sqref="K74">
    <cfRule type="cellIs" dxfId="560" priority="869" operator="equal">
      <formula>0</formula>
    </cfRule>
    <cfRule type="cellIs" dxfId="559" priority="870" operator="equal">
      <formula>1</formula>
    </cfRule>
  </conditionalFormatting>
  <conditionalFormatting sqref="J74">
    <cfRule type="cellIs" dxfId="558" priority="865" operator="equal">
      <formula>0</formula>
    </cfRule>
    <cfRule type="cellIs" dxfId="557" priority="866" operator="equal">
      <formula>1</formula>
    </cfRule>
  </conditionalFormatting>
  <conditionalFormatting sqref="R6:R115">
    <cfRule type="cellIs" dxfId="556" priority="863" operator="equal">
      <formula>0</formula>
    </cfRule>
    <cfRule type="cellIs" dxfId="555" priority="864" operator="equal">
      <formula>1</formula>
    </cfRule>
  </conditionalFormatting>
  <conditionalFormatting sqref="K83">
    <cfRule type="cellIs" dxfId="554" priority="845" operator="equal">
      <formula>0</formula>
    </cfRule>
    <cfRule type="cellIs" dxfId="553" priority="846" operator="equal">
      <formula>1</formula>
    </cfRule>
  </conditionalFormatting>
  <conditionalFormatting sqref="J83">
    <cfRule type="cellIs" dxfId="552" priority="843" operator="equal">
      <formula>0</formula>
    </cfRule>
    <cfRule type="cellIs" dxfId="551" priority="844" operator="equal">
      <formula>1</formula>
    </cfRule>
  </conditionalFormatting>
  <conditionalFormatting sqref="K97">
    <cfRule type="cellIs" dxfId="550" priority="839" operator="equal">
      <formula>0</formula>
    </cfRule>
    <cfRule type="cellIs" dxfId="549" priority="840" operator="equal">
      <formula>1</formula>
    </cfRule>
  </conditionalFormatting>
  <conditionalFormatting sqref="J97">
    <cfRule type="cellIs" dxfId="548" priority="837" operator="equal">
      <formula>0</formula>
    </cfRule>
    <cfRule type="cellIs" dxfId="547" priority="838" operator="equal">
      <formula>1</formula>
    </cfRule>
  </conditionalFormatting>
  <conditionalFormatting sqref="K105">
    <cfRule type="cellIs" dxfId="546" priority="827" operator="equal">
      <formula>0</formula>
    </cfRule>
    <cfRule type="cellIs" dxfId="545" priority="828" operator="equal">
      <formula>1</formula>
    </cfRule>
  </conditionalFormatting>
  <conditionalFormatting sqref="J105">
    <cfRule type="cellIs" dxfId="544" priority="825" operator="equal">
      <formula>0</formula>
    </cfRule>
    <cfRule type="cellIs" dxfId="543" priority="826" operator="equal">
      <formula>1</formula>
    </cfRule>
  </conditionalFormatting>
  <conditionalFormatting sqref="K113">
    <cfRule type="cellIs" dxfId="542" priority="821" operator="equal">
      <formula>0</formula>
    </cfRule>
    <cfRule type="cellIs" dxfId="541" priority="822" operator="equal">
      <formula>1</formula>
    </cfRule>
  </conditionalFormatting>
  <conditionalFormatting sqref="K125">
    <cfRule type="cellIs" dxfId="540" priority="783" operator="equal">
      <formula>0</formula>
    </cfRule>
    <cfRule type="cellIs" dxfId="539" priority="784" operator="equal">
      <formula>1</formula>
    </cfRule>
  </conditionalFormatting>
  <conditionalFormatting sqref="K135">
    <cfRule type="cellIs" dxfId="538" priority="769" operator="equal">
      <formula>0</formula>
    </cfRule>
    <cfRule type="cellIs" dxfId="537" priority="770" operator="equal">
      <formula>1</formula>
    </cfRule>
  </conditionalFormatting>
  <conditionalFormatting sqref="J125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35">
    <cfRule type="cellIs" dxfId="534" priority="761" operator="equal">
      <formula>0</formula>
    </cfRule>
    <cfRule type="cellIs" dxfId="533" priority="762" operator="equal">
      <formula>1</formula>
    </cfRule>
  </conditionalFormatting>
  <conditionalFormatting sqref="J113">
    <cfRule type="cellIs" dxfId="532" priority="759" operator="equal">
      <formula>0</formula>
    </cfRule>
    <cfRule type="cellIs" dxfId="531" priority="760" operator="equal">
      <formula>1</formula>
    </cfRule>
  </conditionalFormatting>
  <conditionalFormatting sqref="K148">
    <cfRule type="cellIs" dxfId="530" priority="757" operator="equal">
      <formula>0</formula>
    </cfRule>
    <cfRule type="cellIs" dxfId="529" priority="758" operator="equal">
      <formula>1</formula>
    </cfRule>
  </conditionalFormatting>
  <conditionalFormatting sqref="J148">
    <cfRule type="cellIs" dxfId="528" priority="751" operator="equal">
      <formula>0</formula>
    </cfRule>
    <cfRule type="cellIs" dxfId="527" priority="752" operator="equal">
      <formula>1</formula>
    </cfRule>
  </conditionalFormatting>
  <conditionalFormatting sqref="K163">
    <cfRule type="cellIs" dxfId="526" priority="747" operator="equal">
      <formula>0</formula>
    </cfRule>
    <cfRule type="cellIs" dxfId="525" priority="748" operator="equal">
      <formula>1</formula>
    </cfRule>
  </conditionalFormatting>
  <conditionalFormatting sqref="J163">
    <cfRule type="cellIs" dxfId="524" priority="745" operator="equal">
      <formula>0</formula>
    </cfRule>
    <cfRule type="cellIs" dxfId="523" priority="746" operator="equal">
      <formula>1</formula>
    </cfRule>
  </conditionalFormatting>
  <conditionalFormatting sqref="K174">
    <cfRule type="cellIs" dxfId="522" priority="741" operator="equal">
      <formula>0</formula>
    </cfRule>
    <cfRule type="cellIs" dxfId="521" priority="742" operator="equal">
      <formula>1</formula>
    </cfRule>
  </conditionalFormatting>
  <conditionalFormatting sqref="J174">
    <cfRule type="cellIs" dxfId="520" priority="739" operator="equal">
      <formula>0</formula>
    </cfRule>
    <cfRule type="cellIs" dxfId="519" priority="740" operator="equal">
      <formula>1</formula>
    </cfRule>
  </conditionalFormatting>
  <conditionalFormatting sqref="K184">
    <cfRule type="cellIs" dxfId="518" priority="729" operator="equal">
      <formula>0</formula>
    </cfRule>
    <cfRule type="cellIs" dxfId="517" priority="730" operator="equal">
      <formula>1</formula>
    </cfRule>
  </conditionalFormatting>
  <conditionalFormatting sqref="J184">
    <cfRule type="cellIs" dxfId="516" priority="727" operator="equal">
      <formula>0</formula>
    </cfRule>
    <cfRule type="cellIs" dxfId="515" priority="728" operator="equal">
      <formula>1</formula>
    </cfRule>
  </conditionalFormatting>
  <conditionalFormatting sqref="K194">
    <cfRule type="cellIs" dxfId="514" priority="723" operator="equal">
      <formula>0</formula>
    </cfRule>
    <cfRule type="cellIs" dxfId="513" priority="724" operator="equal">
      <formula>1</formula>
    </cfRule>
  </conditionalFormatting>
  <conditionalFormatting sqref="J194">
    <cfRule type="cellIs" dxfId="512" priority="721" operator="equal">
      <formula>0</formula>
    </cfRule>
    <cfRule type="cellIs" dxfId="511" priority="722" operator="equal">
      <formula>1</formula>
    </cfRule>
  </conditionalFormatting>
  <conditionalFormatting sqref="K204">
    <cfRule type="cellIs" dxfId="510" priority="717" operator="equal">
      <formula>0</formula>
    </cfRule>
    <cfRule type="cellIs" dxfId="509" priority="718" operator="equal">
      <formula>1</formula>
    </cfRule>
  </conditionalFormatting>
  <conditionalFormatting sqref="J204">
    <cfRule type="cellIs" dxfId="508" priority="715" operator="equal">
      <formula>0</formula>
    </cfRule>
    <cfRule type="cellIs" dxfId="507" priority="716" operator="equal">
      <formula>1</formula>
    </cfRule>
  </conditionalFormatting>
  <conditionalFormatting sqref="K211">
    <cfRule type="cellIs" dxfId="506" priority="711" operator="equal">
      <formula>0</formula>
    </cfRule>
    <cfRule type="cellIs" dxfId="505" priority="712" operator="equal">
      <formula>1</formula>
    </cfRule>
  </conditionalFormatting>
  <conditionalFormatting sqref="J211">
    <cfRule type="cellIs" dxfId="504" priority="709" operator="equal">
      <formula>0</formula>
    </cfRule>
    <cfRule type="cellIs" dxfId="503" priority="710" operator="equal">
      <formula>1</formula>
    </cfRule>
  </conditionalFormatting>
  <conditionalFormatting sqref="K224">
    <cfRule type="cellIs" dxfId="502" priority="705" operator="equal">
      <formula>0</formula>
    </cfRule>
    <cfRule type="cellIs" dxfId="501" priority="706" operator="equal">
      <formula>1</formula>
    </cfRule>
  </conditionalFormatting>
  <conditionalFormatting sqref="J224">
    <cfRule type="cellIs" dxfId="500" priority="703" operator="equal">
      <formula>0</formula>
    </cfRule>
    <cfRule type="cellIs" dxfId="499" priority="704" operator="equal">
      <formula>1</formula>
    </cfRule>
  </conditionalFormatting>
  <conditionalFormatting sqref="K240">
    <cfRule type="cellIs" dxfId="498" priority="699" operator="equal">
      <formula>0</formula>
    </cfRule>
    <cfRule type="cellIs" dxfId="497" priority="700" operator="equal">
      <formula>1</formula>
    </cfRule>
  </conditionalFormatting>
  <conditionalFormatting sqref="J240">
    <cfRule type="cellIs" dxfId="496" priority="697" operator="equal">
      <formula>0</formula>
    </cfRule>
    <cfRule type="cellIs" dxfId="495" priority="698" operator="equal">
      <formula>1</formula>
    </cfRule>
  </conditionalFormatting>
  <conditionalFormatting sqref="K253">
    <cfRule type="cellIs" dxfId="494" priority="693" operator="equal">
      <formula>0</formula>
    </cfRule>
    <cfRule type="cellIs" dxfId="493" priority="694" operator="equal">
      <formula>1</formula>
    </cfRule>
  </conditionalFormatting>
  <conditionalFormatting sqref="J253">
    <cfRule type="cellIs" dxfId="492" priority="691" operator="equal">
      <formula>0</formula>
    </cfRule>
    <cfRule type="cellIs" dxfId="491" priority="692" operator="equal">
      <formula>1</formula>
    </cfRule>
  </conditionalFormatting>
  <conditionalFormatting sqref="K259">
    <cfRule type="cellIs" dxfId="490" priority="675" operator="equal">
      <formula>0</formula>
    </cfRule>
    <cfRule type="cellIs" dxfId="489" priority="676" operator="equal">
      <formula>1</formula>
    </cfRule>
  </conditionalFormatting>
  <conditionalFormatting sqref="J259">
    <cfRule type="cellIs" dxfId="488" priority="673" operator="equal">
      <formula>0</formula>
    </cfRule>
    <cfRule type="cellIs" dxfId="487" priority="674" operator="equal">
      <formula>1</formula>
    </cfRule>
  </conditionalFormatting>
  <conditionalFormatting sqref="K265">
    <cfRule type="cellIs" dxfId="486" priority="669" operator="equal">
      <formula>0</formula>
    </cfRule>
    <cfRule type="cellIs" dxfId="485" priority="670" operator="equal">
      <formula>1</formula>
    </cfRule>
  </conditionalFormatting>
  <conditionalFormatting sqref="J265">
    <cfRule type="cellIs" dxfId="484" priority="667" operator="equal">
      <formula>0</formula>
    </cfRule>
    <cfRule type="cellIs" dxfId="483" priority="668" operator="equal">
      <formula>1</formula>
    </cfRule>
  </conditionalFormatting>
  <conditionalFormatting sqref="K273">
    <cfRule type="cellIs" dxfId="482" priority="663" operator="equal">
      <formula>0</formula>
    </cfRule>
    <cfRule type="cellIs" dxfId="481" priority="664" operator="equal">
      <formula>1</formula>
    </cfRule>
  </conditionalFormatting>
  <conditionalFormatting sqref="J273">
    <cfRule type="cellIs" dxfId="480" priority="661" operator="equal">
      <formula>0</formula>
    </cfRule>
    <cfRule type="cellIs" dxfId="479" priority="662" operator="equal">
      <formula>1</formula>
    </cfRule>
  </conditionalFormatting>
  <conditionalFormatting sqref="K281">
    <cfRule type="cellIs" dxfId="478" priority="657" operator="equal">
      <formula>0</formula>
    </cfRule>
    <cfRule type="cellIs" dxfId="477" priority="658" operator="equal">
      <formula>1</formula>
    </cfRule>
  </conditionalFormatting>
  <conditionalFormatting sqref="J281">
    <cfRule type="cellIs" dxfId="476" priority="655" operator="equal">
      <formula>0</formula>
    </cfRule>
    <cfRule type="cellIs" dxfId="475" priority="656" operator="equal">
      <formula>1</formula>
    </cfRule>
  </conditionalFormatting>
  <conditionalFormatting sqref="K290">
    <cfRule type="cellIs" dxfId="474" priority="651" operator="equal">
      <formula>0</formula>
    </cfRule>
    <cfRule type="cellIs" dxfId="473" priority="652" operator="equal">
      <formula>1</formula>
    </cfRule>
  </conditionalFormatting>
  <conditionalFormatting sqref="J290">
    <cfRule type="cellIs" dxfId="472" priority="649" operator="equal">
      <formula>0</formula>
    </cfRule>
    <cfRule type="cellIs" dxfId="471" priority="650" operator="equal">
      <formula>1</formula>
    </cfRule>
  </conditionalFormatting>
  <conditionalFormatting sqref="K299">
    <cfRule type="cellIs" dxfId="470" priority="645" operator="equal">
      <formula>0</formula>
    </cfRule>
    <cfRule type="cellIs" dxfId="469" priority="646" operator="equal">
      <formula>1</formula>
    </cfRule>
  </conditionalFormatting>
  <conditionalFormatting sqref="J299">
    <cfRule type="cellIs" dxfId="468" priority="643" operator="equal">
      <formula>0</formula>
    </cfRule>
    <cfRule type="cellIs" dxfId="467" priority="644" operator="equal">
      <formula>1</formula>
    </cfRule>
  </conditionalFormatting>
  <conditionalFormatting sqref="K308">
    <cfRule type="cellIs" dxfId="466" priority="639" operator="equal">
      <formula>0</formula>
    </cfRule>
    <cfRule type="cellIs" dxfId="465" priority="640" operator="equal">
      <formula>1</formula>
    </cfRule>
  </conditionalFormatting>
  <conditionalFormatting sqref="J308">
    <cfRule type="cellIs" dxfId="464" priority="637" operator="equal">
      <formula>0</formula>
    </cfRule>
    <cfRule type="cellIs" dxfId="463" priority="638" operator="equal">
      <formula>1</formula>
    </cfRule>
  </conditionalFormatting>
  <conditionalFormatting sqref="K317">
    <cfRule type="cellIs" dxfId="462" priority="633" operator="equal">
      <formula>0</formula>
    </cfRule>
    <cfRule type="cellIs" dxfId="461" priority="634" operator="equal">
      <formula>1</formula>
    </cfRule>
  </conditionalFormatting>
  <conditionalFormatting sqref="K326">
    <cfRule type="cellIs" dxfId="460" priority="627" operator="equal">
      <formula>0</formula>
    </cfRule>
    <cfRule type="cellIs" dxfId="459" priority="628" operator="equal">
      <formula>1</formula>
    </cfRule>
  </conditionalFormatting>
  <conditionalFormatting sqref="K335">
    <cfRule type="cellIs" dxfId="458" priority="621" operator="equal">
      <formula>0</formula>
    </cfRule>
    <cfRule type="cellIs" dxfId="457" priority="622" operator="equal">
      <formula>1</formula>
    </cfRule>
  </conditionalFormatting>
  <conditionalFormatting sqref="K344">
    <cfRule type="cellIs" dxfId="456" priority="615" operator="equal">
      <formula>0</formula>
    </cfRule>
    <cfRule type="cellIs" dxfId="455" priority="616" operator="equal">
      <formula>1</formula>
    </cfRule>
  </conditionalFormatting>
  <conditionalFormatting sqref="K353">
    <cfRule type="cellIs" dxfId="454" priority="609" operator="equal">
      <formula>0</formula>
    </cfRule>
    <cfRule type="cellIs" dxfId="453" priority="610" operator="equal">
      <formula>1</formula>
    </cfRule>
  </conditionalFormatting>
  <conditionalFormatting sqref="K362">
    <cfRule type="cellIs" dxfId="452" priority="603" operator="equal">
      <formula>0</formula>
    </cfRule>
    <cfRule type="cellIs" dxfId="451" priority="604" operator="equal">
      <formula>1</formula>
    </cfRule>
  </conditionalFormatting>
  <conditionalFormatting sqref="K371">
    <cfRule type="cellIs" dxfId="450" priority="597" operator="equal">
      <formula>0</formula>
    </cfRule>
    <cfRule type="cellIs" dxfId="449" priority="598" operator="equal">
      <formula>1</formula>
    </cfRule>
  </conditionalFormatting>
  <conditionalFormatting sqref="J371">
    <cfRule type="cellIs" dxfId="448" priority="595" operator="equal">
      <formula>0</formula>
    </cfRule>
    <cfRule type="cellIs" dxfId="447" priority="596" operator="equal">
      <formula>1</formula>
    </cfRule>
  </conditionalFormatting>
  <conditionalFormatting sqref="K380">
    <cfRule type="cellIs" dxfId="446" priority="591" operator="equal">
      <formula>0</formula>
    </cfRule>
    <cfRule type="cellIs" dxfId="445" priority="592" operator="equal">
      <formula>1</formula>
    </cfRule>
  </conditionalFormatting>
  <conditionalFormatting sqref="J380">
    <cfRule type="cellIs" dxfId="444" priority="589" operator="equal">
      <formula>0</formula>
    </cfRule>
    <cfRule type="cellIs" dxfId="443" priority="590" operator="equal">
      <formula>1</formula>
    </cfRule>
  </conditionalFormatting>
  <conditionalFormatting sqref="K389">
    <cfRule type="cellIs" dxfId="442" priority="585" operator="equal">
      <formula>0</formula>
    </cfRule>
    <cfRule type="cellIs" dxfId="441" priority="586" operator="equal">
      <formula>1</formula>
    </cfRule>
  </conditionalFormatting>
  <conditionalFormatting sqref="K398">
    <cfRule type="cellIs" dxfId="440" priority="579" operator="equal">
      <formula>0</formula>
    </cfRule>
    <cfRule type="cellIs" dxfId="439" priority="580" operator="equal">
      <formula>1</formula>
    </cfRule>
  </conditionalFormatting>
  <conditionalFormatting sqref="K407">
    <cfRule type="cellIs" dxfId="438" priority="573" operator="equal">
      <formula>0</formula>
    </cfRule>
    <cfRule type="cellIs" dxfId="437" priority="574" operator="equal">
      <formula>1</formula>
    </cfRule>
  </conditionalFormatting>
  <conditionalFormatting sqref="K416">
    <cfRule type="cellIs" dxfId="436" priority="567" operator="equal">
      <formula>0</formula>
    </cfRule>
    <cfRule type="cellIs" dxfId="435" priority="568" operator="equal">
      <formula>1</formula>
    </cfRule>
  </conditionalFormatting>
  <conditionalFormatting sqref="J416">
    <cfRule type="cellIs" dxfId="434" priority="565" operator="equal">
      <formula>0</formula>
    </cfRule>
    <cfRule type="cellIs" dxfId="433" priority="566" operator="equal">
      <formula>1</formula>
    </cfRule>
  </conditionalFormatting>
  <conditionalFormatting sqref="K427">
    <cfRule type="cellIs" dxfId="432" priority="561" operator="equal">
      <formula>0</formula>
    </cfRule>
    <cfRule type="cellIs" dxfId="431" priority="562" operator="equal">
      <formula>1</formula>
    </cfRule>
  </conditionalFormatting>
  <conditionalFormatting sqref="K436">
    <cfRule type="cellIs" dxfId="430" priority="555" operator="equal">
      <formula>0</formula>
    </cfRule>
    <cfRule type="cellIs" dxfId="429" priority="556" operator="equal">
      <formula>1</formula>
    </cfRule>
  </conditionalFormatting>
  <conditionalFormatting sqref="K445">
    <cfRule type="cellIs" dxfId="428" priority="549" operator="equal">
      <formula>0</formula>
    </cfRule>
    <cfRule type="cellIs" dxfId="427" priority="550" operator="equal">
      <formula>1</formula>
    </cfRule>
  </conditionalFormatting>
  <conditionalFormatting sqref="J445">
    <cfRule type="cellIs" dxfId="426" priority="547" operator="equal">
      <formula>0</formula>
    </cfRule>
    <cfRule type="cellIs" dxfId="425" priority="548" operator="equal">
      <formula>1</formula>
    </cfRule>
  </conditionalFormatting>
  <conditionalFormatting sqref="K460">
    <cfRule type="cellIs" dxfId="424" priority="543" operator="equal">
      <formula>0</formula>
    </cfRule>
    <cfRule type="cellIs" dxfId="423" priority="544" operator="equal">
      <formula>1</formula>
    </cfRule>
  </conditionalFormatting>
  <conditionalFormatting sqref="J460">
    <cfRule type="cellIs" dxfId="422" priority="541" operator="equal">
      <formula>0</formula>
    </cfRule>
    <cfRule type="cellIs" dxfId="421" priority="542" operator="equal">
      <formula>1</formula>
    </cfRule>
  </conditionalFormatting>
  <conditionalFormatting sqref="K467">
    <cfRule type="cellIs" dxfId="420" priority="537" operator="equal">
      <formula>0</formula>
    </cfRule>
    <cfRule type="cellIs" dxfId="419" priority="538" operator="equal">
      <formula>1</formula>
    </cfRule>
  </conditionalFormatting>
  <conditionalFormatting sqref="J467">
    <cfRule type="cellIs" dxfId="418" priority="535" operator="equal">
      <formula>0</formula>
    </cfRule>
    <cfRule type="cellIs" dxfId="417" priority="536" operator="equal">
      <formula>1</formula>
    </cfRule>
  </conditionalFormatting>
  <conditionalFormatting sqref="K478">
    <cfRule type="cellIs" dxfId="416" priority="531" operator="equal">
      <formula>0</formula>
    </cfRule>
    <cfRule type="cellIs" dxfId="415" priority="532" operator="equal">
      <formula>1</formula>
    </cfRule>
  </conditionalFormatting>
  <conditionalFormatting sqref="J478">
    <cfRule type="cellIs" dxfId="414" priority="529" operator="equal">
      <formula>0</formula>
    </cfRule>
    <cfRule type="cellIs" dxfId="413" priority="530" operator="equal">
      <formula>1</formula>
    </cfRule>
  </conditionalFormatting>
  <conditionalFormatting sqref="K483">
    <cfRule type="cellIs" dxfId="412" priority="525" operator="equal">
      <formula>0</formula>
    </cfRule>
    <cfRule type="cellIs" dxfId="411" priority="526" operator="equal">
      <formula>1</formula>
    </cfRule>
  </conditionalFormatting>
  <conditionalFormatting sqref="J483">
    <cfRule type="cellIs" dxfId="410" priority="523" operator="equal">
      <formula>0</formula>
    </cfRule>
    <cfRule type="cellIs" dxfId="409" priority="524" operator="equal">
      <formula>1</formula>
    </cfRule>
  </conditionalFormatting>
  <conditionalFormatting sqref="K490">
    <cfRule type="cellIs" dxfId="408" priority="519" operator="equal">
      <formula>0</formula>
    </cfRule>
    <cfRule type="cellIs" dxfId="407" priority="520" operator="equal">
      <formula>1</formula>
    </cfRule>
  </conditionalFormatting>
  <conditionalFormatting sqref="J490">
    <cfRule type="cellIs" dxfId="406" priority="517" operator="equal">
      <formula>0</formula>
    </cfRule>
    <cfRule type="cellIs" dxfId="405" priority="518" operator="equal">
      <formula>1</formula>
    </cfRule>
  </conditionalFormatting>
  <conditionalFormatting sqref="K500">
    <cfRule type="cellIs" dxfId="404" priority="513" operator="equal">
      <formula>0</formula>
    </cfRule>
    <cfRule type="cellIs" dxfId="403" priority="514" operator="equal">
      <formula>1</formula>
    </cfRule>
  </conditionalFormatting>
  <conditionalFormatting sqref="J500">
    <cfRule type="cellIs" dxfId="402" priority="511" operator="equal">
      <formula>0</formula>
    </cfRule>
    <cfRule type="cellIs" dxfId="401" priority="512" operator="equal">
      <formula>1</formula>
    </cfRule>
  </conditionalFormatting>
  <conditionalFormatting sqref="E518:G528">
    <cfRule type="expression" dxfId="400" priority="508">
      <formula>$N518=$E$13</formula>
    </cfRule>
  </conditionalFormatting>
  <conditionalFormatting sqref="D518:G528">
    <cfRule type="containsText" dxfId="399" priority="507" operator="containsText" text=" ">
      <formula>NOT(ISERROR(SEARCH(" ",D518)))</formula>
    </cfRule>
  </conditionalFormatting>
  <conditionalFormatting sqref="D518:G528">
    <cfRule type="expression" dxfId="398" priority="506">
      <formula>$E$13=$N518</formula>
    </cfRule>
  </conditionalFormatting>
  <conditionalFormatting sqref="K530">
    <cfRule type="cellIs" dxfId="397" priority="504" operator="equal">
      <formula>0</formula>
    </cfRule>
    <cfRule type="cellIs" dxfId="396" priority="505" operator="equal">
      <formula>1</formula>
    </cfRule>
  </conditionalFormatting>
  <conditionalFormatting sqref="J530">
    <cfRule type="cellIs" dxfId="395" priority="502" operator="equal">
      <formula>0</formula>
    </cfRule>
    <cfRule type="cellIs" dxfId="394" priority="503" operator="equal">
      <formula>1</formula>
    </cfRule>
  </conditionalFormatting>
  <conditionalFormatting sqref="S6:S115">
    <cfRule type="cellIs" dxfId="393" priority="498" operator="equal">
      <formula>0</formula>
    </cfRule>
    <cfRule type="cellIs" dxfId="392" priority="499" operator="equal">
      <formula>1</formula>
    </cfRule>
  </conditionalFormatting>
  <conditionalFormatting sqref="M11:N11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16:N16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29:N29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38:N38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49:N49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57:N57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66:N66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74:N74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83:N8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97:N97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05:N10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13:N113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25:N125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35:N135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48:N148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63:N163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174:N17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184:N184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194:N19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04:N204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11:N211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24:N224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40:N240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53:N25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59:N259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65:N265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73:N273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281:N281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290:N290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299:N299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08:N308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17:N317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26:N326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35:N335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44:N344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53:N353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62:N362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71:N371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380:N380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389:N389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398:N398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07:N407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16:N416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27:N427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36:N436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45:N445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60:N460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67:N467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478:N478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483:N483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M490:N490">
    <cfRule type="cellIs" dxfId="291" priority="394" operator="equal">
      <formula>0</formula>
    </cfRule>
    <cfRule type="cellIs" dxfId="290" priority="395" operator="equal">
      <formula>1</formula>
    </cfRule>
  </conditionalFormatting>
  <conditionalFormatting sqref="M500:N500">
    <cfRule type="cellIs" dxfId="289" priority="392" operator="equal">
      <formula>0</formula>
    </cfRule>
    <cfRule type="cellIs" dxfId="288" priority="393" operator="equal">
      <formula>1</formula>
    </cfRule>
  </conditionalFormatting>
  <conditionalFormatting sqref="M530:N530">
    <cfRule type="cellIs" dxfId="287" priority="390" operator="equal">
      <formula>0</formula>
    </cfRule>
    <cfRule type="cellIs" dxfId="286" priority="391" operator="equal">
      <formula>1</formula>
    </cfRule>
  </conditionalFormatting>
  <conditionalFormatting sqref="Y1:AF3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45">
    <cfRule type="cellIs" dxfId="283" priority="384" operator="equal">
      <formula>0</formula>
    </cfRule>
    <cfRule type="cellIs" dxfId="282" priority="385" operator="equal">
      <formula>1</formula>
    </cfRule>
  </conditionalFormatting>
  <conditionalFormatting sqref="J545">
    <cfRule type="cellIs" dxfId="281" priority="382" operator="equal">
      <formula>0</formula>
    </cfRule>
    <cfRule type="cellIs" dxfId="280" priority="383" operator="equal">
      <formula>1</formula>
    </cfRule>
  </conditionalFormatting>
  <conditionalFormatting sqref="M545:N545">
    <cfRule type="cellIs" dxfId="279" priority="380" operator="equal">
      <formula>0</formula>
    </cfRule>
    <cfRule type="cellIs" dxfId="278" priority="381" operator="equal">
      <formula>1</formula>
    </cfRule>
  </conditionalFormatting>
  <conditionalFormatting sqref="K564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64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64:N564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75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75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75:N575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K586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58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M586:N586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17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26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35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44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53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362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389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398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J407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427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J436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593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593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593:N593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0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0">
    <cfRule type="cellIs" dxfId="229" priority="321" operator="equal">
      <formula>0</formula>
    </cfRule>
    <cfRule type="cellIs" dxfId="228" priority="322" operator="equal">
      <formula>1</formula>
    </cfRule>
  </conditionalFormatting>
  <conditionalFormatting sqref="M600:N600">
    <cfRule type="cellIs" dxfId="227" priority="319" operator="equal">
      <formula>0</formula>
    </cfRule>
    <cfRule type="cellIs" dxfId="226" priority="320" operator="equal">
      <formula>1</formula>
    </cfRule>
  </conditionalFormatting>
  <conditionalFormatting sqref="K607">
    <cfRule type="cellIs" dxfId="225" priority="317" operator="equal">
      <formula>0</formula>
    </cfRule>
    <cfRule type="cellIs" dxfId="224" priority="318" operator="equal">
      <formula>1</formula>
    </cfRule>
  </conditionalFormatting>
  <conditionalFormatting sqref="J607">
    <cfRule type="cellIs" dxfId="223" priority="311" operator="equal">
      <formula>0</formula>
    </cfRule>
    <cfRule type="cellIs" dxfId="222" priority="312" operator="equal">
      <formula>1</formula>
    </cfRule>
  </conditionalFormatting>
  <conditionalFormatting sqref="M607:N607">
    <cfRule type="cellIs" dxfId="221" priority="309" operator="equal">
      <formula>0</formula>
    </cfRule>
    <cfRule type="cellIs" dxfId="220" priority="310" operator="equal">
      <formula>1</formula>
    </cfRule>
  </conditionalFormatting>
  <conditionalFormatting sqref="K614">
    <cfRule type="cellIs" dxfId="219" priority="307" operator="equal">
      <formula>0</formula>
    </cfRule>
    <cfRule type="cellIs" dxfId="218" priority="308" operator="equal">
      <formula>1</formula>
    </cfRule>
  </conditionalFormatting>
  <conditionalFormatting sqref="J614">
    <cfRule type="cellIs" dxfId="217" priority="301" operator="equal">
      <formula>0</formula>
    </cfRule>
    <cfRule type="cellIs" dxfId="216" priority="302" operator="equal">
      <formula>1</formula>
    </cfRule>
  </conditionalFormatting>
  <conditionalFormatting sqref="M614:N614">
    <cfRule type="cellIs" dxfId="215" priority="299" operator="equal">
      <formula>0</formula>
    </cfRule>
    <cfRule type="cellIs" dxfId="214" priority="300" operator="equal">
      <formula>1</formula>
    </cfRule>
  </conditionalFormatting>
  <conditionalFormatting sqref="K621">
    <cfRule type="cellIs" dxfId="213" priority="297" operator="equal">
      <formula>0</formula>
    </cfRule>
    <cfRule type="cellIs" dxfId="212" priority="298" operator="equal">
      <formula>1</formula>
    </cfRule>
  </conditionalFormatting>
  <conditionalFormatting sqref="J621">
    <cfRule type="cellIs" dxfId="211" priority="291" operator="equal">
      <formula>0</formula>
    </cfRule>
    <cfRule type="cellIs" dxfId="210" priority="292" operator="equal">
      <formula>1</formula>
    </cfRule>
  </conditionalFormatting>
  <conditionalFormatting sqref="M621:N621">
    <cfRule type="cellIs" dxfId="209" priority="289" operator="equal">
      <formula>0</formula>
    </cfRule>
    <cfRule type="cellIs" dxfId="208" priority="290" operator="equal">
      <formula>1</formula>
    </cfRule>
  </conditionalFormatting>
  <conditionalFormatting sqref="K629">
    <cfRule type="cellIs" dxfId="207" priority="281" operator="equal">
      <formula>0</formula>
    </cfRule>
    <cfRule type="cellIs" dxfId="206" priority="282" operator="equal">
      <formula>1</formula>
    </cfRule>
  </conditionalFormatting>
  <conditionalFormatting sqref="K647">
    <cfRule type="cellIs" dxfId="205" priority="275" operator="equal">
      <formula>0</formula>
    </cfRule>
    <cfRule type="cellIs" dxfId="204" priority="276" operator="equal">
      <formula>1</formula>
    </cfRule>
  </conditionalFormatting>
  <conditionalFormatting sqref="K655">
    <cfRule type="cellIs" dxfId="203" priority="269" operator="equal">
      <formula>0</formula>
    </cfRule>
    <cfRule type="cellIs" dxfId="202" priority="270" operator="equal">
      <formula>1</formula>
    </cfRule>
  </conditionalFormatting>
  <conditionalFormatting sqref="K663">
    <cfRule type="cellIs" dxfId="201" priority="263" operator="equal">
      <formula>0</formula>
    </cfRule>
    <cfRule type="cellIs" dxfId="200" priority="264" operator="equal">
      <formula>1</formula>
    </cfRule>
  </conditionalFormatting>
  <conditionalFormatting sqref="K672">
    <cfRule type="cellIs" dxfId="199" priority="257" operator="equal">
      <formula>0</formula>
    </cfRule>
    <cfRule type="cellIs" dxfId="198" priority="258" operator="equal">
      <formula>1</formula>
    </cfRule>
  </conditionalFormatting>
  <conditionalFormatting sqref="K681">
    <cfRule type="cellIs" dxfId="197" priority="251" operator="equal">
      <formula>0</formula>
    </cfRule>
    <cfRule type="cellIs" dxfId="196" priority="252" operator="equal">
      <formula>1</formula>
    </cfRule>
  </conditionalFormatting>
  <conditionalFormatting sqref="K690">
    <cfRule type="cellIs" dxfId="195" priority="245" operator="equal">
      <formula>0</formula>
    </cfRule>
    <cfRule type="cellIs" dxfId="194" priority="246" operator="equal">
      <formula>1</formula>
    </cfRule>
  </conditionalFormatting>
  <conditionalFormatting sqref="K699">
    <cfRule type="cellIs" dxfId="193" priority="239" operator="equal">
      <formula>0</formula>
    </cfRule>
    <cfRule type="cellIs" dxfId="192" priority="240" operator="equal">
      <formula>1</formula>
    </cfRule>
  </conditionalFormatting>
  <conditionalFormatting sqref="K708">
    <cfRule type="cellIs" dxfId="191" priority="233" operator="equal">
      <formula>0</formula>
    </cfRule>
    <cfRule type="cellIs" dxfId="190" priority="234" operator="equal">
      <formula>1</formula>
    </cfRule>
  </conditionalFormatting>
  <conditionalFormatting sqref="K717">
    <cfRule type="cellIs" dxfId="189" priority="227" operator="equal">
      <formula>0</formula>
    </cfRule>
    <cfRule type="cellIs" dxfId="188" priority="228" operator="equal">
      <formula>1</formula>
    </cfRule>
  </conditionalFormatting>
  <conditionalFormatting sqref="K726">
    <cfRule type="cellIs" dxfId="187" priority="221" operator="equal">
      <formula>0</formula>
    </cfRule>
    <cfRule type="cellIs" dxfId="186" priority="222" operator="equal">
      <formula>1</formula>
    </cfRule>
  </conditionalFormatting>
  <conditionalFormatting sqref="K735">
    <cfRule type="cellIs" dxfId="185" priority="215" operator="equal">
      <formula>0</formula>
    </cfRule>
    <cfRule type="cellIs" dxfId="184" priority="216" operator="equal">
      <formula>1</formula>
    </cfRule>
  </conditionalFormatting>
  <conditionalFormatting sqref="K744">
    <cfRule type="cellIs" dxfId="183" priority="209" operator="equal">
      <formula>0</formula>
    </cfRule>
    <cfRule type="cellIs" dxfId="182" priority="210" operator="equal">
      <formula>1</formula>
    </cfRule>
  </conditionalFormatting>
  <conditionalFormatting sqref="K753">
    <cfRule type="cellIs" dxfId="181" priority="203" operator="equal">
      <formula>0</formula>
    </cfRule>
    <cfRule type="cellIs" dxfId="180" priority="204" operator="equal">
      <formula>1</formula>
    </cfRule>
  </conditionalFormatting>
  <conditionalFormatting sqref="K762">
    <cfRule type="cellIs" dxfId="179" priority="197" operator="equal">
      <formula>0</formula>
    </cfRule>
    <cfRule type="cellIs" dxfId="178" priority="198" operator="equal">
      <formula>1</formula>
    </cfRule>
  </conditionalFormatting>
  <conditionalFormatting sqref="K770">
    <cfRule type="cellIs" dxfId="177" priority="191" operator="equal">
      <formula>0</formula>
    </cfRule>
    <cfRule type="cellIs" dxfId="176" priority="192" operator="equal">
      <formula>1</formula>
    </cfRule>
  </conditionalFormatting>
  <conditionalFormatting sqref="K782">
    <cfRule type="cellIs" dxfId="175" priority="185" operator="equal">
      <formula>0</formula>
    </cfRule>
    <cfRule type="cellIs" dxfId="174" priority="186" operator="equal">
      <formula>1</formula>
    </cfRule>
  </conditionalFormatting>
  <conditionalFormatting sqref="K793">
    <cfRule type="cellIs" dxfId="173" priority="179" operator="equal">
      <formula>0</formula>
    </cfRule>
    <cfRule type="cellIs" dxfId="172" priority="180" operator="equal">
      <formula>1</formula>
    </cfRule>
  </conditionalFormatting>
  <conditionalFormatting sqref="K637">
    <cfRule type="cellIs" dxfId="171" priority="173" operator="equal">
      <formula>0</formula>
    </cfRule>
    <cfRule type="cellIs" dxfId="170" priority="174" operator="equal">
      <formula>1</formula>
    </cfRule>
  </conditionalFormatting>
  <conditionalFormatting sqref="J629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29:N629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37:N637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47:N647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55:N655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63:N663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72:N672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681:N681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690:N690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699:N699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08:N708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17:N717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26:N726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35:N735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44:N744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53:N753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62:N762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M770:N770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M782:N782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M793:N793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37">
    <cfRule type="cellIs" dxfId="129" priority="127" operator="equal">
      <formula>0</formula>
    </cfRule>
    <cfRule type="cellIs" dxfId="128" priority="128" operator="equal">
      <formula>1</formula>
    </cfRule>
  </conditionalFormatting>
  <conditionalFormatting sqref="J647">
    <cfRule type="cellIs" dxfId="127" priority="125" operator="equal">
      <formula>0</formula>
    </cfRule>
    <cfRule type="cellIs" dxfId="126" priority="126" operator="equal">
      <formula>1</formula>
    </cfRule>
  </conditionalFormatting>
  <conditionalFormatting sqref="J655">
    <cfRule type="cellIs" dxfId="125" priority="123" operator="equal">
      <formula>0</formula>
    </cfRule>
    <cfRule type="cellIs" dxfId="124" priority="124" operator="equal">
      <formula>1</formula>
    </cfRule>
  </conditionalFormatting>
  <conditionalFormatting sqref="J663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72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681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690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699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08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17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26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35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44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53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93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J762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J770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782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01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01:N801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01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0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0:N810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0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15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15:N815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15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1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1:N821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1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27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27:N827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27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3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33:N83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3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3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843:N843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843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84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849:N849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849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855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855:N85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855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6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61:N86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6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67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67:N867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67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73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73:N873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73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79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79:N879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79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85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85:N885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85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91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91:N891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91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3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1118</v>
      </c>
      <c r="B249" s="55" t="s">
        <v>1126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1111</v>
      </c>
      <c r="B252" s="55" t="s">
        <v>1037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1170</v>
      </c>
      <c r="B254" s="51" t="s">
        <v>146</v>
      </c>
      <c r="H254" s="185" t="s">
        <v>1181</v>
      </c>
    </row>
    <row r="255" spans="1:8">
      <c r="A255" s="185" t="s">
        <v>1180</v>
      </c>
      <c r="B255" s="51" t="s">
        <v>146</v>
      </c>
      <c r="H255" s="185" t="s">
        <v>1181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1141</v>
      </c>
      <c r="B1" s="176" t="s">
        <v>1144</v>
      </c>
      <c r="C1" s="176" t="s">
        <v>431</v>
      </c>
      <c r="D1" s="176" t="s">
        <v>1145</v>
      </c>
      <c r="E1" s="176" t="s">
        <v>1142</v>
      </c>
      <c r="F1" s="176" t="s">
        <v>1143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1146</v>
      </c>
    </row>
    <row r="15" spans="1:6">
      <c r="A15" s="177" t="s">
        <v>434</v>
      </c>
      <c r="B15" t="s">
        <v>1146</v>
      </c>
    </row>
    <row r="16" spans="1:6">
      <c r="A16" s="177" t="s">
        <v>401</v>
      </c>
      <c r="B16" t="s">
        <v>1146</v>
      </c>
    </row>
    <row r="17" spans="1:2">
      <c r="A17" s="177" t="s">
        <v>437</v>
      </c>
      <c r="B17" t="s">
        <v>1146</v>
      </c>
    </row>
    <row r="18" spans="1:2">
      <c r="A18" s="177" t="s">
        <v>439</v>
      </c>
      <c r="B18" t="s">
        <v>1146</v>
      </c>
    </row>
    <row r="19" spans="1:2">
      <c r="A19" s="177" t="s">
        <v>452</v>
      </c>
      <c r="B19" t="s">
        <v>1146</v>
      </c>
    </row>
    <row r="20" spans="1:2">
      <c r="A20" s="177" t="s">
        <v>441</v>
      </c>
      <c r="B20" t="s">
        <v>1146</v>
      </c>
    </row>
    <row r="21" spans="1:2">
      <c r="A21" s="177" t="s">
        <v>455</v>
      </c>
      <c r="B21" t="s">
        <v>1146</v>
      </c>
    </row>
    <row r="22" spans="1:2">
      <c r="A22" s="177" t="s">
        <v>214</v>
      </c>
      <c r="B22" t="s">
        <v>1146</v>
      </c>
    </row>
    <row r="23" spans="1:2">
      <c r="A23" s="177" t="s">
        <v>238</v>
      </c>
      <c r="B23" t="s">
        <v>1146</v>
      </c>
    </row>
    <row r="24" spans="1:2">
      <c r="A24" s="177" t="s">
        <v>470</v>
      </c>
      <c r="B24" t="s">
        <v>1146</v>
      </c>
    </row>
    <row r="25" spans="1:2">
      <c r="A25" s="177" t="s">
        <v>471</v>
      </c>
      <c r="B25" t="s">
        <v>1146</v>
      </c>
    </row>
    <row r="26" spans="1:2">
      <c r="A26" s="177" t="s">
        <v>474</v>
      </c>
      <c r="B26" t="s">
        <v>1146</v>
      </c>
    </row>
    <row r="27" spans="1:2">
      <c r="A27" s="177" t="s">
        <v>52</v>
      </c>
      <c r="B27" t="s">
        <v>1146</v>
      </c>
    </row>
    <row r="28" spans="1:2">
      <c r="A28" s="177" t="s">
        <v>874</v>
      </c>
      <c r="B28" t="s">
        <v>1146</v>
      </c>
    </row>
    <row r="29" spans="1:2">
      <c r="A29" s="177" t="s">
        <v>163</v>
      </c>
      <c r="B29" t="s">
        <v>1146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1147</v>
      </c>
    </row>
    <row r="38" spans="1:2">
      <c r="A38" s="177" t="s">
        <v>159</v>
      </c>
      <c r="B38" t="s">
        <v>1147</v>
      </c>
    </row>
    <row r="39" spans="1:2">
      <c r="A39" s="177" t="s">
        <v>463</v>
      </c>
      <c r="B39" t="s">
        <v>1147</v>
      </c>
    </row>
    <row r="40" spans="1:2">
      <c r="A40" s="177" t="s">
        <v>157</v>
      </c>
      <c r="B40" t="s">
        <v>1147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1149</v>
      </c>
    </row>
    <row r="44" spans="1:2">
      <c r="A44" s="177" t="s">
        <v>880</v>
      </c>
      <c r="B44" t="s">
        <v>1149</v>
      </c>
    </row>
    <row r="45" spans="1:2">
      <c r="A45" s="177" t="s">
        <v>877</v>
      </c>
      <c r="B45" t="s">
        <v>1149</v>
      </c>
    </row>
    <row r="46" spans="1:2">
      <c r="A46" s="177" t="s">
        <v>254</v>
      </c>
      <c r="B46" t="s">
        <v>1149</v>
      </c>
    </row>
    <row r="47" spans="1:2">
      <c r="A47" s="177" t="s">
        <v>358</v>
      </c>
      <c r="B47" t="s">
        <v>1149</v>
      </c>
    </row>
    <row r="48" spans="1:2">
      <c r="A48" s="177" t="s">
        <v>365</v>
      </c>
      <c r="B48" t="s">
        <v>1149</v>
      </c>
    </row>
    <row r="49" spans="1:2">
      <c r="A49" s="177" t="s">
        <v>362</v>
      </c>
      <c r="B49" t="s">
        <v>1149</v>
      </c>
    </row>
    <row r="50" spans="1:2">
      <c r="A50" s="177" t="s">
        <v>371</v>
      </c>
      <c r="B50" t="s">
        <v>1149</v>
      </c>
    </row>
    <row r="51" spans="1:2">
      <c r="A51" s="177" t="s">
        <v>373</v>
      </c>
      <c r="B51" t="s">
        <v>1149</v>
      </c>
    </row>
    <row r="52" spans="1:2">
      <c r="A52" s="177" t="s">
        <v>196</v>
      </c>
      <c r="B52" t="s">
        <v>1149</v>
      </c>
    </row>
    <row r="53" spans="1:2">
      <c r="A53" s="177" t="s">
        <v>84</v>
      </c>
      <c r="B53" t="s">
        <v>1149</v>
      </c>
    </row>
    <row r="54" spans="1:2">
      <c r="A54" s="177" t="s">
        <v>493</v>
      </c>
      <c r="B54" t="s">
        <v>1149</v>
      </c>
    </row>
    <row r="55" spans="1:2">
      <c r="A55" s="177" t="s">
        <v>875</v>
      </c>
      <c r="B55" t="s">
        <v>1149</v>
      </c>
    </row>
    <row r="56" spans="1:2">
      <c r="A56" s="177" t="s">
        <v>786</v>
      </c>
      <c r="B56" t="s">
        <v>1149</v>
      </c>
    </row>
    <row r="57" spans="1:2">
      <c r="A57" s="177" t="s">
        <v>879</v>
      </c>
      <c r="B57" t="s">
        <v>1149</v>
      </c>
    </row>
    <row r="58" spans="1:2">
      <c r="A58" s="177" t="s">
        <v>884</v>
      </c>
      <c r="B58" t="s">
        <v>1149</v>
      </c>
    </row>
    <row r="59" spans="1:2">
      <c r="A59" s="177" t="s">
        <v>1111</v>
      </c>
      <c r="B59" t="s">
        <v>1149</v>
      </c>
    </row>
    <row r="60" spans="1:2">
      <c r="A60" s="177" t="s">
        <v>883</v>
      </c>
      <c r="B60" t="s">
        <v>1149</v>
      </c>
    </row>
    <row r="61" spans="1:2">
      <c r="A61" s="177" t="s">
        <v>882</v>
      </c>
      <c r="B61" t="s">
        <v>1149</v>
      </c>
    </row>
    <row r="62" spans="1:2">
      <c r="A62" s="177" t="s">
        <v>494</v>
      </c>
      <c r="B62" t="s">
        <v>1149</v>
      </c>
    </row>
    <row r="63" spans="1:2">
      <c r="A63" s="177" t="s">
        <v>763</v>
      </c>
      <c r="B63" t="s">
        <v>1149</v>
      </c>
    </row>
    <row r="64" spans="1:2">
      <c r="A64" s="177" t="s">
        <v>811</v>
      </c>
      <c r="B64" t="s">
        <v>1149</v>
      </c>
    </row>
    <row r="65" spans="1:2">
      <c r="A65" s="177" t="s">
        <v>794</v>
      </c>
      <c r="B65" t="s">
        <v>1149</v>
      </c>
    </row>
    <row r="66" spans="1:2">
      <c r="A66" s="177" t="s">
        <v>855</v>
      </c>
      <c r="B66" t="s">
        <v>1149</v>
      </c>
    </row>
    <row r="67" spans="1:2">
      <c r="A67" s="177" t="s">
        <v>1118</v>
      </c>
      <c r="B67" t="s">
        <v>1149</v>
      </c>
    </row>
    <row r="68" spans="1:2">
      <c r="A68" s="177" t="s">
        <v>841</v>
      </c>
      <c r="B68" t="s">
        <v>1149</v>
      </c>
    </row>
    <row r="69" spans="1:2">
      <c r="A69" s="177" t="s">
        <v>825</v>
      </c>
      <c r="B69" t="s">
        <v>1149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1150</v>
      </c>
    </row>
    <row r="74" spans="1:2">
      <c r="A74" s="177" t="s">
        <v>878</v>
      </c>
      <c r="B74" t="s">
        <v>1150</v>
      </c>
    </row>
    <row r="75" spans="1:2">
      <c r="A75" s="177" t="s">
        <v>110</v>
      </c>
      <c r="B75" t="s">
        <v>1148</v>
      </c>
    </row>
    <row r="76" spans="1:2">
      <c r="A76" s="177" t="s">
        <v>108</v>
      </c>
      <c r="B76" t="s">
        <v>1148</v>
      </c>
    </row>
    <row r="77" spans="1:2">
      <c r="A77" s="177" t="s">
        <v>1151</v>
      </c>
      <c r="B77" t="s">
        <v>1148</v>
      </c>
    </row>
    <row r="78" spans="1:2">
      <c r="A78" s="177" t="s">
        <v>862</v>
      </c>
      <c r="B78" t="s">
        <v>1148</v>
      </c>
    </row>
    <row r="79" spans="1:2">
      <c r="A79" s="177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1" t="s">
        <v>1208</v>
      </c>
      <c r="B1" s="202"/>
      <c r="C1" s="202"/>
      <c r="D1" s="203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1" t="s">
        <v>1030</v>
      </c>
      <c r="B24" s="202"/>
      <c r="C24" s="202"/>
      <c r="D24" s="203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1033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1034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1031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1035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1031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1032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1032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201" t="s">
        <v>1039</v>
      </c>
      <c r="B49" s="202"/>
      <c r="C49" s="202"/>
      <c r="D49" s="203"/>
    </row>
    <row r="50" spans="1:4">
      <c r="A50" s="95"/>
      <c r="B50" s="96" t="s">
        <v>295</v>
      </c>
      <c r="C50" s="154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4" t="s">
        <v>1038</v>
      </c>
      <c r="D51" s="98"/>
    </row>
    <row r="52" spans="1:4">
      <c r="A52" s="95"/>
      <c r="B52" s="96" t="s">
        <v>878</v>
      </c>
      <c r="C52" s="154" t="s">
        <v>1037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201" t="s">
        <v>1044</v>
      </c>
      <c r="B56" s="202"/>
      <c r="C56" s="202"/>
      <c r="D56" s="203"/>
    </row>
    <row r="57" spans="1:4">
      <c r="A57" s="95"/>
      <c r="B57" s="96" t="s">
        <v>1025</v>
      </c>
      <c r="C57" s="154" t="s">
        <v>1042</v>
      </c>
      <c r="D57" s="98"/>
    </row>
    <row r="58" spans="1:4">
      <c r="A58" s="95" t="s">
        <v>1040</v>
      </c>
      <c r="B58" s="96" t="s">
        <v>164</v>
      </c>
      <c r="C58" s="154" t="s">
        <v>1043</v>
      </c>
      <c r="D58" s="98"/>
    </row>
    <row r="59" spans="1:4">
      <c r="A59" s="95"/>
      <c r="B59" s="96" t="s">
        <v>295</v>
      </c>
      <c r="C59" s="154" t="s">
        <v>309</v>
      </c>
      <c r="D59" s="98" t="s">
        <v>1036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1035</v>
      </c>
      <c r="D61" s="98"/>
    </row>
    <row r="62" spans="1:4">
      <c r="A62" s="95"/>
      <c r="B62" s="96" t="s">
        <v>878</v>
      </c>
      <c r="C62" s="154" t="s">
        <v>1037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1040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1036</v>
      </c>
      <c r="B68" s="96" t="s">
        <v>298</v>
      </c>
      <c r="C68" s="154" t="s">
        <v>1041</v>
      </c>
      <c r="D68" s="98"/>
    </row>
    <row r="69" spans="1:4" ht="15.75" thickBot="1"/>
    <row r="70" spans="1:4" ht="15.75" thickBot="1">
      <c r="A70" s="201" t="s">
        <v>1047</v>
      </c>
      <c r="B70" s="202"/>
      <c r="C70" s="202"/>
      <c r="D70" s="203"/>
    </row>
    <row r="71" spans="1:4">
      <c r="A71" s="95"/>
      <c r="B71" s="96" t="s">
        <v>295</v>
      </c>
      <c r="C71" s="154" t="s">
        <v>309</v>
      </c>
      <c r="D71" s="98" t="s">
        <v>1045</v>
      </c>
    </row>
    <row r="72" spans="1:4">
      <c r="A72" s="95"/>
      <c r="B72" s="96" t="s">
        <v>878</v>
      </c>
      <c r="C72" s="154" t="s">
        <v>1035</v>
      </c>
      <c r="D72" s="98"/>
    </row>
    <row r="73" spans="1:4">
      <c r="A73" s="95"/>
      <c r="B73" s="96" t="s">
        <v>878</v>
      </c>
      <c r="C73" s="154" t="s">
        <v>1037</v>
      </c>
      <c r="D73" s="98"/>
    </row>
    <row r="74" spans="1:4">
      <c r="A74" s="95"/>
      <c r="B74" s="96" t="s">
        <v>881</v>
      </c>
      <c r="C74" s="154" t="s">
        <v>433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1036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1045</v>
      </c>
      <c r="B80" s="96" t="s">
        <v>1046</v>
      </c>
      <c r="C80" s="154">
        <v>50</v>
      </c>
      <c r="D80" s="98"/>
    </row>
    <row r="81" spans="1:4">
      <c r="A81" s="95" t="s">
        <v>1036</v>
      </c>
      <c r="B81" s="96" t="s">
        <v>298</v>
      </c>
      <c r="C81" s="154" t="s">
        <v>1048</v>
      </c>
      <c r="D81" s="98"/>
    </row>
    <row r="82" spans="1:4" ht="15.75" thickBot="1"/>
    <row r="83" spans="1:4" ht="15.75" thickBot="1">
      <c r="A83" s="201" t="s">
        <v>1059</v>
      </c>
      <c r="B83" s="202"/>
      <c r="C83" s="202"/>
      <c r="D83" s="203"/>
    </row>
    <row r="84" spans="1:4">
      <c r="A84" s="95" t="s">
        <v>1054</v>
      </c>
      <c r="B84" s="96" t="s">
        <v>878</v>
      </c>
      <c r="C84" s="154" t="s">
        <v>1035</v>
      </c>
      <c r="D84" s="98"/>
    </row>
    <row r="85" spans="1:4">
      <c r="A85" s="95"/>
      <c r="B85" s="96" t="s">
        <v>878</v>
      </c>
      <c r="C85" s="154" t="s">
        <v>1037</v>
      </c>
      <c r="D85" s="98"/>
    </row>
    <row r="86" spans="1:4">
      <c r="A86" s="95"/>
      <c r="B86" s="96" t="s">
        <v>295</v>
      </c>
      <c r="C86" s="154" t="s">
        <v>309</v>
      </c>
      <c r="D86" s="98" t="s">
        <v>1055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1049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1053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1053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1051</v>
      </c>
      <c r="D109" s="98"/>
    </row>
    <row r="110" spans="1:4">
      <c r="A110" s="95"/>
      <c r="B110" s="96"/>
      <c r="C110" s="154"/>
      <c r="D110" s="98"/>
    </row>
    <row r="111" spans="1:4">
      <c r="A111" s="95" t="s">
        <v>1049</v>
      </c>
      <c r="B111" s="96" t="s">
        <v>295</v>
      </c>
      <c r="C111" s="154" t="s">
        <v>309</v>
      </c>
      <c r="D111" s="98" t="s">
        <v>1056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1055</v>
      </c>
      <c r="B115" s="96" t="s">
        <v>298</v>
      </c>
      <c r="C115" s="154" t="s">
        <v>1057</v>
      </c>
      <c r="D115" s="98"/>
    </row>
    <row r="116" spans="1:4">
      <c r="A116" s="95" t="s">
        <v>1056</v>
      </c>
      <c r="B116" s="96" t="s">
        <v>298</v>
      </c>
      <c r="C116" s="154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7" priority="4" operator="containsText" text=" ">
      <formula>NOT(ISERROR(SEARCH(" ",A116)))</formula>
    </cfRule>
  </conditionalFormatting>
  <conditionalFormatting sqref="A116">
    <cfRule type="expression" dxfId="56" priority="3">
      <formula>$E$13=$N116</formula>
    </cfRule>
  </conditionalFormatting>
  <conditionalFormatting sqref="A91">
    <cfRule type="containsText" dxfId="55" priority="2" operator="containsText" text=" ">
      <formula>NOT(ISERROR(SEARCH(" ",A91)))</formula>
    </cfRule>
  </conditionalFormatting>
  <conditionalFormatting sqref="A91">
    <cfRule type="expression" dxfId="54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2026-03-07T18:57:31Z</dcterms:modified>
</cp:coreProperties>
</file>