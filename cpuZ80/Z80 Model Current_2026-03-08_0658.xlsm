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BAB046CD-66F7-4A47-AC4E-5E6E34568F0C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Coverage" sheetId="11" r:id="rId6"/>
    <sheet name="Flag Rules" sheetId="4" r:id="rId7"/>
    <sheet name="Other Programs" sheetId="8" r:id="rId8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6" i="5" l="1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AL15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J895" i="5" a="1"/>
  <c r="J892" i="5" a="1"/>
  <c r="J894" i="5" a="1"/>
  <c r="J883" i="5" a="1"/>
  <c r="J889" i="5" a="1"/>
  <c r="J888" i="5" a="1"/>
  <c r="J887" i="5" a="1"/>
  <c r="J886" i="5" a="1"/>
  <c r="J881" i="5" a="1"/>
  <c r="J882" i="5" a="1"/>
  <c r="J880" i="5" a="1"/>
  <c r="J874" i="5" a="1"/>
  <c r="J868" i="5" a="1"/>
  <c r="J862" i="5" a="1"/>
  <c r="J856" i="5" a="1"/>
  <c r="J850" i="5" a="1"/>
  <c r="J844" i="5" a="1"/>
  <c r="S28" i="2" a="1"/>
  <c r="S25" i="2" a="1"/>
  <c r="S23" i="2" a="1"/>
  <c r="S35" i="2" a="1"/>
  <c r="S26" i="2" a="1"/>
  <c r="S27" i="2" a="1"/>
  <c r="S22" i="2" a="1"/>
  <c r="S29" i="2" a="1"/>
  <c r="S24" i="2" a="1"/>
  <c r="S34" i="2" a="1"/>
  <c r="S33" i="2" a="1"/>
  <c r="S31" i="2" a="1"/>
  <c r="S30" i="2" a="1"/>
  <c r="S20" i="2" a="1"/>
  <c r="S19" i="2" a="1"/>
  <c r="S15" i="2" a="1"/>
  <c r="S18" i="2" a="1"/>
  <c r="S17" i="2" a="1"/>
  <c r="S8" i="2" a="1"/>
  <c r="AB19" i="2" a="1"/>
  <c r="S12" i="2" a="1"/>
  <c r="S11" i="2" a="1"/>
  <c r="S13" i="2" a="1"/>
  <c r="AB18" i="2" a="1"/>
  <c r="S9" i="2" a="1"/>
  <c r="AB17" i="2" a="1"/>
  <c r="AB16" i="2" a="1"/>
  <c r="AB15" i="2" a="1"/>
  <c r="S10" i="2" a="1"/>
  <c r="S14" i="2" a="1"/>
  <c r="S16" i="2" a="1"/>
  <c r="J755" i="5" a="1"/>
  <c r="J396" i="5" a="1"/>
  <c r="J44" i="5" a="1"/>
  <c r="J246" i="5" a="1"/>
  <c r="J46" i="5" a="1"/>
  <c r="J171" i="5" a="1"/>
  <c r="J677" i="5" a="1"/>
  <c r="J324" i="5" a="1"/>
  <c r="J559" i="5" a="1"/>
  <c r="J341" i="5" a="1"/>
  <c r="J367" i="5" a="1"/>
  <c r="J128" i="5" a="1"/>
  <c r="J803" i="5" a="1"/>
  <c r="J577" i="5" a="1"/>
  <c r="J181" i="5" a="1"/>
  <c r="J331" i="5" a="1"/>
  <c r="J137" i="5" a="1"/>
  <c r="J338" i="5" a="1"/>
  <c r="J746" i="5" a="1"/>
  <c r="J282" i="5" a="1"/>
  <c r="J363" i="5" a="1"/>
  <c r="J141" i="5" a="1"/>
  <c r="J304" i="5" a="1"/>
  <c r="J177" i="5" a="1"/>
  <c r="J248" i="5" a="1"/>
  <c r="J580" i="5" a="1"/>
  <c r="J618" i="5" a="1"/>
  <c r="J287" i="5" a="1"/>
  <c r="J802" i="5" a="1"/>
  <c r="J644" i="5" a="1"/>
  <c r="J196" i="5" a="1"/>
  <c r="J138" i="5" a="1"/>
  <c r="J719" i="5" a="1"/>
  <c r="J493" i="5" a="1"/>
  <c r="J358" i="5" a="1"/>
  <c r="J377" i="5" a="1"/>
  <c r="J413" i="5" a="1"/>
  <c r="J686" i="5" a="1"/>
  <c r="J428" i="5" a="1"/>
  <c r="J309" i="5" a="1"/>
  <c r="J315" i="5" a="1"/>
  <c r="J350" i="5" a="1"/>
  <c r="J773" i="5" a="1"/>
  <c r="J381" i="5" a="1"/>
  <c r="J191" i="5" a="1"/>
  <c r="J271" i="5" a="1"/>
  <c r="J195" i="5" a="1"/>
  <c r="J550" i="5" a="1"/>
  <c r="J365" i="5" a="1"/>
  <c r="J225" i="5" a="1"/>
  <c r="J579" i="5" a="1"/>
  <c r="J369" i="5" a="1"/>
  <c r="J201" i="5" a="1"/>
  <c r="J295" i="5" a="1"/>
  <c r="J278" i="5" a="1"/>
  <c r="J166" i="5" a="1"/>
  <c r="J837" i="5" a="1"/>
  <c r="J804" i="5" a="1"/>
  <c r="J152" i="5" a="1"/>
  <c r="J329" i="5" a="1"/>
  <c r="J131" i="5" a="1"/>
  <c r="J399" i="5" a="1"/>
  <c r="J274" i="5" a="1"/>
  <c r="J366" i="5" a="1"/>
  <c r="J424" i="5" a="1"/>
  <c r="J404" i="5" a="1"/>
  <c r="J314" i="5" a="1"/>
  <c r="J805" i="5" a="1"/>
  <c r="J386" i="5" a="1"/>
  <c r="J474" i="5" a="1"/>
  <c r="J283" i="5" a="1"/>
  <c r="J357" i="5" a="1"/>
  <c r="J247" i="5" a="1"/>
  <c r="J276" i="5" a="1"/>
  <c r="J142" i="5" a="1"/>
  <c r="J345" i="5" a="1"/>
  <c r="J218" i="5" a="1"/>
  <c r="J176" i="5" a="1"/>
  <c r="J449" i="5" a="1"/>
  <c r="J293" i="5" a="1"/>
  <c r="J619" i="5" a="1"/>
  <c r="J602" i="5" a="1"/>
  <c r="J360" i="5" a="1"/>
  <c r="J330" i="5" a="1"/>
  <c r="J143" i="5" a="1"/>
  <c r="J189" i="5" a="1"/>
  <c r="J438" i="5" a="1"/>
  <c r="J766" i="5" a="1"/>
  <c r="J737" i="5" a="1"/>
  <c r="J392" i="5" a="1"/>
  <c r="J261" i="5" a="1"/>
  <c r="J798" i="5" a="1"/>
  <c r="J556" i="5" a="1"/>
  <c r="J303" i="5" a="1"/>
  <c r="J269" i="5" a="1"/>
  <c r="J394" i="5" a="1"/>
  <c r="J811" i="5" a="1"/>
  <c r="J356" i="5" a="1"/>
  <c r="J130" i="5" a="1"/>
  <c r="J127" i="5" a="1"/>
  <c r="J354" i="5" a="1"/>
  <c r="J188" i="5" a="1"/>
  <c r="J576" i="5" a="1"/>
  <c r="J806" i="5" a="1"/>
  <c r="J262" i="5" a="1"/>
  <c r="J144" i="5" a="1"/>
  <c r="J368" i="5" a="1"/>
  <c r="J387" i="5" a="1"/>
  <c r="J260" i="5" a="1"/>
  <c r="J320" i="5" a="1"/>
  <c r="J405" i="5" a="1"/>
  <c r="J237" i="5" a="1"/>
  <c r="J279" i="5" a="1"/>
  <c r="J807" i="5" a="1"/>
  <c r="J226" i="5" a="1"/>
  <c r="J359" i="5" a="1"/>
  <c r="J595" i="5" a="1"/>
  <c r="J178" i="5" a="1"/>
  <c r="J285" i="5" a="1"/>
  <c r="J322" i="5" a="1"/>
  <c r="J710" i="5" a="1"/>
  <c r="J249" i="5" a="1"/>
  <c r="J555" i="5" a="1"/>
  <c r="J186" i="5" a="1"/>
  <c r="J403" i="5" a="1"/>
  <c r="J393" i="5" a="1"/>
  <c r="J779" i="5" a="1"/>
  <c r="J170" i="5" a="1"/>
  <c r="J374" i="5" a="1"/>
  <c r="J321" i="5" a="1"/>
  <c r="J236" i="5" a="1"/>
  <c r="J206" i="5" a="1"/>
  <c r="J838" i="5" a="1"/>
  <c r="J351" i="5" a="1"/>
  <c r="J695" i="5" a="1"/>
  <c r="J263" i="5" a="1"/>
  <c r="J297" i="5" a="1"/>
  <c r="J241" i="5" a="1"/>
  <c r="J431" i="5" a="1"/>
  <c r="J179" i="5" a="1"/>
  <c r="J145" i="5" a="1"/>
  <c r="J587" i="5" a="1"/>
  <c r="J151" i="5" a="1"/>
  <c r="J384" i="5" a="1"/>
  <c r="J311" i="5" a="1"/>
  <c r="J475" i="5" a="1"/>
  <c r="J349" i="5" a="1"/>
  <c r="J383" i="5" a="1"/>
  <c r="J275" i="5" a="1"/>
  <c r="J267" i="5" a="1"/>
  <c r="J305" i="5" a="1"/>
  <c r="J560" i="5" a="1"/>
  <c r="J565" i="5" a="1"/>
  <c r="J822" i="5" a="1"/>
  <c r="J158" i="5" a="1"/>
  <c r="J549" i="5" a="1"/>
  <c r="J447" i="5" a="1"/>
  <c r="J557" i="5" a="1"/>
  <c r="J175" i="5" a="1"/>
  <c r="J300" i="5" a="1"/>
  <c r="J198" i="5" a="1"/>
  <c r="J391" i="5" a="1"/>
  <c r="J402" i="5" a="1"/>
  <c r="J581" i="5" a="1"/>
  <c r="J306" i="5" a="1"/>
  <c r="J548" i="5" a="1"/>
  <c r="J823" i="5" a="1"/>
  <c r="J494" i="5" a="1"/>
  <c r="J291" i="5" a="1"/>
  <c r="J372" i="5" a="1"/>
  <c r="J473" i="5" a="1"/>
  <c r="J608" i="5" a="1"/>
  <c r="J318" i="5" a="1"/>
  <c r="J417" i="5" a="1"/>
  <c r="J168" i="5" a="1"/>
  <c r="J464" i="5" a="1"/>
  <c r="J817" i="5" a="1"/>
  <c r="J546" i="5" a="1"/>
  <c r="J332" i="5" a="1"/>
  <c r="J668" i="5" a="1"/>
  <c r="J588" i="5" a="1"/>
  <c r="J126" i="5" a="1"/>
  <c r="J242" i="5" a="1"/>
  <c r="J234" i="5" a="1"/>
  <c r="J554" i="5" a="1"/>
  <c r="J296" i="5" a="1"/>
  <c r="J446" i="5" a="1"/>
  <c r="J558" i="5" a="1"/>
  <c r="J836" i="5" a="1"/>
  <c r="J385" i="5" a="1"/>
  <c r="J645" i="5" a="1"/>
  <c r="J562" i="5" a="1"/>
  <c r="J336" i="5" a="1"/>
  <c r="J187" i="5" a="1"/>
  <c r="J323" i="5" a="1"/>
  <c r="J215" i="5" a="1"/>
  <c r="J788" i="5" a="1"/>
  <c r="J200" i="5" a="1"/>
  <c r="J342" i="5" a="1"/>
  <c r="J487" i="5" a="1"/>
  <c r="J277" i="5" a="1"/>
  <c r="J626" i="5" a="1"/>
  <c r="J835" i="5" a="1"/>
  <c r="J340" i="5" a="1"/>
  <c r="J561" i="5" a="1"/>
  <c r="J348" i="5" a="1"/>
  <c r="J799" i="5" a="1"/>
  <c r="J472" i="5" a="1"/>
  <c r="J256" i="5" a="1"/>
  <c r="J227" i="5" a="1"/>
  <c r="J834" i="5" a="1"/>
  <c r="J199" i="5" a="1"/>
  <c r="J448" i="5" a="1"/>
  <c r="J376" i="5" a="1"/>
  <c r="J594" i="5" a="1"/>
  <c r="J812" i="5" a="1"/>
  <c r="J255" i="5" a="1"/>
  <c r="J132" i="5" a="1"/>
  <c r="J327" i="5" a="1"/>
  <c r="J704" i="5" a="1"/>
  <c r="J156" i="5" a="1"/>
  <c r="J480" i="5" a="1"/>
  <c r="J150" i="5" a="1"/>
  <c r="J496" i="5" a="1"/>
  <c r="J268" i="5" a="1"/>
  <c r="J776" i="5" a="1"/>
  <c r="J129" i="5" a="1"/>
  <c r="J333" i="5" a="1"/>
  <c r="J288" i="5" a="1"/>
  <c r="J728" i="5" a="1"/>
  <c r="J165" i="5" a="1"/>
  <c r="J245" i="5" a="1"/>
  <c r="J155" i="5" a="1"/>
  <c r="J659" i="5" a="1"/>
  <c r="J310" i="5" a="1"/>
  <c r="J375" i="5" a="1"/>
  <c r="J347" i="5" a="1"/>
  <c r="J601" i="5" a="1"/>
  <c r="J828" i="5" a="1"/>
  <c r="J153" i="5" a="1"/>
  <c r="J395" i="5" a="1"/>
  <c r="J492" i="5" a="1"/>
  <c r="J284" i="5" a="1"/>
  <c r="J547" i="5" a="1"/>
  <c r="J453" i="5" a="1"/>
  <c r="J185" i="5" a="1"/>
  <c r="J302" i="5" a="1"/>
  <c r="J167" i="5" a="1"/>
  <c r="J634" i="5" a="1"/>
  <c r="J401" i="5" a="1"/>
  <c r="J313" i="5" a="1"/>
  <c r="J829" i="5" a="1"/>
  <c r="J212" i="5" a="1"/>
  <c r="J552" i="5" a="1"/>
  <c r="J816" i="5" a="1"/>
  <c r="J136" i="5" a="1"/>
  <c r="J463" i="5" a="1"/>
  <c r="J243" i="5" a="1"/>
  <c r="J197" i="5" a="1"/>
  <c r="J378" i="5" a="1"/>
  <c r="J270" i="5" a="1"/>
  <c r="J292" i="5" a="1"/>
  <c r="J266" i="5" a="1"/>
  <c r="J339" i="5" a="1"/>
  <c r="J219" i="5" a="1"/>
  <c r="J553" i="5" a="1"/>
  <c r="J578" i="5" a="1"/>
  <c r="J651" i="5" a="1"/>
  <c r="J390" i="5" a="1"/>
  <c r="J286" i="5" a="1"/>
  <c r="J235" i="5" a="1"/>
  <c r="J551" i="5" a="1"/>
  <c r="J228" i="5" a="1"/>
  <c r="J408" i="5" a="1"/>
  <c r="J294" i="5" a="1"/>
  <c r="J312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101" i="5" a="1"/>
  <c r="J89" i="5" a="1"/>
  <c r="J86" i="5" a="1"/>
  <c r="J80" i="5" a="1"/>
  <c r="J84" i="5" a="1"/>
  <c r="J100" i="5" a="1"/>
  <c r="J85" i="5" a="1"/>
  <c r="J107" i="5" a="1"/>
  <c r="J108" i="5" a="1"/>
  <c r="J87" i="5" a="1"/>
  <c r="J90" i="5" a="1"/>
  <c r="J99" i="5" a="1"/>
  <c r="J110" i="5" a="1"/>
  <c r="J88" i="5" a="1"/>
  <c r="J91" i="5" a="1"/>
  <c r="J102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1" i="5" a="1"/>
  <c r="J60" i="5" a="1"/>
  <c r="J19" i="5" a="1"/>
  <c r="J71" i="5" a="1"/>
  <c r="J35" i="5" a="1"/>
  <c r="J31" i="5" a="1"/>
  <c r="J12" i="5" a="1"/>
  <c r="J70" i="5" a="1"/>
  <c r="J33" i="5" a="1"/>
  <c r="J78" i="5" a="1"/>
  <c r="J59" i="5" a="1"/>
  <c r="J63" i="5" a="1"/>
  <c r="J79" i="5" a="1"/>
  <c r="J72" i="5" a="1"/>
  <c r="J69" i="5" a="1"/>
  <c r="J51" i="5" a="1"/>
  <c r="J77" i="5" a="1"/>
  <c r="J52" i="5" a="1"/>
  <c r="J22" i="5" a="1"/>
  <c r="J40" i="5" a="1"/>
  <c r="J42" i="5" a="1"/>
  <c r="J26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<sst xmlns="http://schemas.openxmlformats.org/spreadsheetml/2006/main" count="4973" uniqueCount="1238">
  <si>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</si>
  <si>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</si>
  <si>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</si>
  <si>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</si>
  <si>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</si>
  <si>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</si>
  <si>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</si>
  <si>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</si>
  <si>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</si>
  <si>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</si>
  <si>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</si>
  <si>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</si>
  <si>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</si>
  <si>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</si>
  <si>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</si>
  <si>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</si>
  <si>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</si>
  <si>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</si>
  <si>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</si>
  <si>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</si>
  <si>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</si>
  <si>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</si>
  <si>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</si>
  <si>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</si>
  <si>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</si>
  <si>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</si>
  <si>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</si>
  <si>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</si>
  <si>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</si>
  <si>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</si>
  <si>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</si>
  <si>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</si>
  <si>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</si>
  <si>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</si>
  <si>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</si>
  <si>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</si>
  <si>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</si>
  <si>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</si>
  <si>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</si>
  <si>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</si>
  <si>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</si>
  <si>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</si>
  <si>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</si>
  <si>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</si>
  <si>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</si>
  <si>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</si>
  <si>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</si>
  <si>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</si>
  <si>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</si>
  <si>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</si>
  <si>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</si>
  <si>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</si>
  <si>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</si>
  <si>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</si>
  <si>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</si>
  <si>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</si>
  <si>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</si>
  <si>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</si>
  <si>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</si>
  <si>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</si>
  <si>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</si>
  <si>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</si>
  <si>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</si>
  <si>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</si>
  <si>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</si>
  <si>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</si>
  <si>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</si>
  <si>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</si>
  <si>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</si>
  <si>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</si>
  <si>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</si>
  <si>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</si>
  <si>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</si>
  <si>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</si>
  <si>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</si>
  <si>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</si>
  <si>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</si>
  <si>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</si>
  <si>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</si>
  <si>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</si>
  <si>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</si>
  <si>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</si>
  <si>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</si>
  <si>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</si>
  <si>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</si>
  <si>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</si>
  <si>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</si>
  <si>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</si>
  <si>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</si>
  <si>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</si>
  <si>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</si>
  <si>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</si>
  <si>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</si>
  <si>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</si>
  <si>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</si>
  <si>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</si>
  <si>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</si>
  <si>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</si>
  <si>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</si>
  <si>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</si>
  <si>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</si>
  <si>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</si>
  <si>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</si>
  <si>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</si>
  <si>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</si>
  <si>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</si>
  <si>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</si>
  <si>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</si>
  <si>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</si>
  <si>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</si>
  <si>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</si>
  <si>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</si>
  <si>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</si>
  <si>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</si>
  <si>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</si>
  <si>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</si>
  <si>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</si>
  <si>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</si>
  <si>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</si>
  <si>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</si>
  <si>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</si>
  <si>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</si>
  <si>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</si>
  <si>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</si>
  <si>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</si>
  <si>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</si>
  <si>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</si>
  <si>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</si>
  <si>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</si>
  <si>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</si>
  <si>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</si>
  <si>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</si>
  <si>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</si>
  <si>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</si>
  <si>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</si>
  <si>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</si>
  <si>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</si>
  <si>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</si>
  <si>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</si>
  <si>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</si>
  <si>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</si>
  <si>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</si>
  <si>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</si>
  <si>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</si>
  <si>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</si>
  <si>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</si>
  <si>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</si>
  <si>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</si>
  <si>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</si>
  <si>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</si>
  <si>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</si>
  <si>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</si>
  <si>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</si>
  <si>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</si>
  <si>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</si>
  <si>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</si>
  <si>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</si>
  <si>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</si>
  <si>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</si>
  <si>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</si>
  <si>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</si>
  <si>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</si>
  <si>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</si>
  <si>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</si>
  <si>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</si>
  <si>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</si>
  <si>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</si>
  <si>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</si>
  <si>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</si>
  <si>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</si>
  <si>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</si>
  <si>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</si>
  <si>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</si>
  <si>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</si>
  <si>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</si>
  <si>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</si>
  <si>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</si>
  <si>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</si>
  <si>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</si>
  <si>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</si>
  <si>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</si>
  <si>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</si>
  <si>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</si>
  <si>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</si>
  <si>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</si>
  <si>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</si>
  <si>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</si>
  <si>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</si>
  <si>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</si>
  <si>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</si>
  <si>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</si>
  <si>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</si>
  <si>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</si>
  <si>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</si>
  <si>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</si>
  <si>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</si>
  <si>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</si>
  <si>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</si>
  <si>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</si>
  <si>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</si>
  <si>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</si>
  <si>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</si>
  <si>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</si>
  <si>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</si>
  <si>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</si>
  <si>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</si>
  <si>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</si>
  <si>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</si>
  <si>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</si>
  <si>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</si>
  <si>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</si>
  <si>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</si>
  <si>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</si>
  <si>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</si>
  <si>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</si>
  <si>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</si>
  <si>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</si>
  <si>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</si>
  <si>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</si>
  <si>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</si>
  <si>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</si>
  <si>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</si>
  <si>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</si>
  <si>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</si>
  <si>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</si>
  <si>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</si>
  <si>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</si>
  <si>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</si>
  <si>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</si>
  <si>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</si>
  <si>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</si>
  <si>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</si>
  <si>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</si>
  <si>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</si>
  <si>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</si>
  <si>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</si>
  <si>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</si>
  <si>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</si>
  <si>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</si>
  <si>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</si>
  <si>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</si>
  <si>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</si>
  <si>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</si>
  <si>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</si>
  <si>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</si>
  <si>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</si>
  <si>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</si>
  <si>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</si>
  <si>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</si>
  <si>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</si>
  <si>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</si>
  <si>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</si>
  <si>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</si>
  <si>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</si>
  <si>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</si>
  <si>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</si>
  <si>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</si>
  <si>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</si>
  <si>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</si>
  <si>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</si>
  <si>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</si>
  <si>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</si>
  <si>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</si>
  <si>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</si>
  <si>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</si>
  <si>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</si>
  <si>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</si>
  <si>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</si>
  <si>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</si>
  <si>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</si>
  <si>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</si>
  <si>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</si>
  <si>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</si>
  <si>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</si>
  <si>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</si>
  <si>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</si>
  <si>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</si>
  <si>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</si>
  <si>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</si>
  <si>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</si>
  <si>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</si>
  <si>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</si>
  <si>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</si>
  <si>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</si>
  <si>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</si>
  <si>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</si>
  <si>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</si>
  <si>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</si>
  <si>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</si>
  <si>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</si>
  <si>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</si>
  <si>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</si>
  <si>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</si>
  <si>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</si>
  <si>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</si>
  <si>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</si>
  <si>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</si>
  <si>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</si>
  <si>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</si>
  <si>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</si>
  <si>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</si>
  <si>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</si>
  <si>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</si>
  <si>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</si>
  <si>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</si>
  <si>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</si>
  <si>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</si>
  <si>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</si>
  <si>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</si>
  <si>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</si>
  <si>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</si>
  <si>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</si>
  <si>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</si>
  <si>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</si>
  <si>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</si>
  <si>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</si>
  <si>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</si>
  <si>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</si>
  <si>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</si>
  <si>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</si>
  <si>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</si>
  <si>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</si>
  <si>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</si>
  <si>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</si>
  <si>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</si>
  <si>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</si>
  <si>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</si>
  <si>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</si>
  <si>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</si>
  <si>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</si>
  <si>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</si>
  <si>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</si>
  <si>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</si>
  <si>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</si>
  <si>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</si>
  <si>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</si>
  <si>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</si>
  <si>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</si>
  <si>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</si>
  <si>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</si>
  <si>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</si>
  <si>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</si>
  <si>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</si>
  <si>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</si>
  <si>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</si>
  <si>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</si>
  <si>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</si>
  <si>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</si>
  <si>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</si>
  <si>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</si>
  <si>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</si>
  <si>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</si>
  <si>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</si>
  <si>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</si>
  <si>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</si>
  <si>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</si>
  <si>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</si>
  <si>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</si>
  <si>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</si>
  <si>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</si>
  <si>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</si>
  <si>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</si>
  <si>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</si>
  <si>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</si>
  <si>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</si>
  <si>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</si>
  <si>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</si>
  <si>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</si>
  <si>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</si>
  <si>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</si>
  <si>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</si>
  <si>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</si>
  <si>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</si>
  <si>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</si>
  <si>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</si>
  <si>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</si>
  <si>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</si>
  <si>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</si>
  <si>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</si>
  <si>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</si>
  <si>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</si>
  <si>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</si>
  <si>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</si>
  <si>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</si>
  <si>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</si>
  <si>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</si>
  <si>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</si>
  <si>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</si>
  <si>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</si>
  <si>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</si>
  <si>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</si>
  <si>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</si>
  <si>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</si>
  <si>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</si>
  <si>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</si>
  <si>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</si>
  <si>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</si>
  <si>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</si>
  <si>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</si>
  <si>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</si>
  <si>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</si>
  <si>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</si>
  <si>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</si>
  <si>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</si>
  <si>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</si>
  <si>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</si>
  <si>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</si>
  <si>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</si>
  <si>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</si>
  <si>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</si>
  <si>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</si>
  <si>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</si>
  <si>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</si>
  <si>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</si>
  <si>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</si>
  <si>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</si>
  <si>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</si>
  <si>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</si>
  <si>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</si>
  <si>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</si>
  <si>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</si>
  <si>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</si>
  <si>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</si>
  <si>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</si>
  <si>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</si>
  <si>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</si>
  <si>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</si>
  <si>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</si>
  <si>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</si>
  <si>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</si>
  <si>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</si>
  <si>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</si>
  <si>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</si>
  <si>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</si>
  <si>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</si>
  <si>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</si>
  <si>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</si>
  <si>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</si>
  <si>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</si>
  <si>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</si>
  <si>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</si>
  <si>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</si>
  <si>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</si>
  <si>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</si>
  <si>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</si>
  <si>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</si>
  <si>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</si>
  <si>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</si>
  <si>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</si>
  <si>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</si>
  <si>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</si>
  <si>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</si>
  <si>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</si>
  <si>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</si>
  <si>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</si>
  <si>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</si>
  <si>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</si>
  <si>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</si>
  <si>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</si>
  <si>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</si>
  <si>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</si>
  <si>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</si>
  <si>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</si>
  <si>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</si>
  <si>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</si>
  <si>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</si>
  <si>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</si>
  <si>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</si>
  <si>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</si>
  <si>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</si>
  <si>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</si>
  <si>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</si>
  <si>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</si>
  <si>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</si>
  <si>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</si>
  <si>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</si>
  <si>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</si>
  <si>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</si>
  <si>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</si>
  <si>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</si>
  <si>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</si>
  <si>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</si>
  <si>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</si>
  <si>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</si>
  <si>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</si>
  <si>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</si>
  <si>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</si>
  <si>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</si>
  <si>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</si>
  <si>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</si>
  <si>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</si>
  <si>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</si>
  <si>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</si>
  <si>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</si>
  <si>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</si>
  <si>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</si>
  <si>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</si>
  <si>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</si>
  <si>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</si>
  <si>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</si>
  <si>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</si>
  <si>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</si>
  <si>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</si>
  <si>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</si>
  <si>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</si>
  <si>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</si>
  <si>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</si>
  <si>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</si>
  <si>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</si>
  <si>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</si>
  <si>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</si>
  <si>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</si>
  <si>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</si>
  <si>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</si>
  <si>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</si>
  <si>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</si>
  <si>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</si>
  <si>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</si>
  <si>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</si>
  <si>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</si>
  <si>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</si>
  <si>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</si>
  <si>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</si>
  <si>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</si>
  <si>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</si>
  <si>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</si>
  <si>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</si>
  <si>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</si>
  <si>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</si>
  <si>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</si>
  <si>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</si>
  <si>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</si>
  <si>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</si>
  <si>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</si>
  <si>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</si>
  <si>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</si>
  <si>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</si>
  <si>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</si>
  <si>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</si>
  <si>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</si>
  <si>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</si>
  <si>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</si>
  <si>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</si>
  <si>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</si>
  <si>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</si>
  <si>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</si>
  <si>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</si>
  <si>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</si>
  <si>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</si>
  <si>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</si>
  <si>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</si>
  <si>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</si>
  <si>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</si>
  <si>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</si>
  <si>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</si>
  <si>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</si>
  <si>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</si>
  <si>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</si>
  <si>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</si>
  <si>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</si>
  <si>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</si>
  <si>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</si>
  <si>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</si>
  <si>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</si>
  <si>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</si>
  <si>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</si>
  <si>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</si>
  <si>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</si>
  <si>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</si>
  <si>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</si>
  <si>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</si>
  <si>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</si>
  <si>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</si>
  <si>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</si>
  <si>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</si>
  <si>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</si>
  <si>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</si>
  <si>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</si>
  <si>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</si>
  <si>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</si>
  <si>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</si>
  <si>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</si>
  <si>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</si>
  <si>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</si>
  <si>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</si>
  <si>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</si>
  <si>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</si>
  <si>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</si>
  <si>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</si>
  <si>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</si>
  <si>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</si>
  <si>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</si>
  <si>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</si>
  <si>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</si>
  <si>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</si>
  <si>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</si>
  <si>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</si>
  <si>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</si>
  <si>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</si>
  <si>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</si>
  <si>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</si>
  <si>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</si>
  <si>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</si>
  <si>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</si>
  <si>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</si>
  <si>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</si>
  <si>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</si>
  <si>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</si>
  <si>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</si>
  <si>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</si>
  <si>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</si>
  <si>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</si>
  <si>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</si>
  <si>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</si>
  <si>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</si>
  <si>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</si>
  <si>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</si>
  <si>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</si>
  <si>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</si>
  <si>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</si>
  <si>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</si>
  <si>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</si>
  <si>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</si>
  <si>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</si>
  <si>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</si>
  <si>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</si>
  <si>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</si>
  <si>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</si>
  <si>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</si>
  <si>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</si>
  <si>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</si>
  <si>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</si>
  <si>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</si>
  <si>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</si>
  <si>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</si>
  <si>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</si>
  <si>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</si>
  <si>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</si>
  <si>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</si>
  <si>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</si>
  <si>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</si>
  <si>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</si>
  <si>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</si>
  <si>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</si>
  <si>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</si>
  <si>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</si>
  <si>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</si>
  <si>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</si>
  <si>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</si>
  <si>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</si>
  <si>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</si>
  <si>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</si>
  <si>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</si>
  <si>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</si>
  <si>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</si>
  <si>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</si>
  <si>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</si>
  <si>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</si>
  <si>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</si>
  <si>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</si>
  <si>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</si>
  <si>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</si>
  <si>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</si>
  <si>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</si>
  <si>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</si>
  <si>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</si>
  <si>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</si>
  <si>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</si>
  <si>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</si>
  <si>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</si>
  <si>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</si>
  <si>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</si>
  <si>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</si>
  <si>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</si>
  <si>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</si>
  <si>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</si>
  <si>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</si>
  <si>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</si>
  <si>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</si>
  <si>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</si>
  <si>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</si>
  <si>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</si>
  <si>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</si>
  <si>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</si>
  <si>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</si>
  <si>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</si>
  <si>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</si>
  <si>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</si>
  <si>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</si>
  <si>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</si>
  <si>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</si>
  <si>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</si>
  <si>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</si>
  <si>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</si>
  <si>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</si>
  <si>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</si>
  <si>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</si>
  <si>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</si>
  <si>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</si>
  <si>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</si>
  <si>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</si>
  <si>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</si>
  <si>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</si>
  <si>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</si>
  <si>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</si>
  <si>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</si>
  <si>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</si>
  <si>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</si>
  <si>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</si>
  <si>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</si>
  <si>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</si>
  <si>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</si>
  <si>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</si>
  <si>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</si>
  <si>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</si>
  <si>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</si>
  <si>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</si>
  <si>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</si>
  <si>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</si>
  <si>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</si>
  <si>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</si>
  <si>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</si>
  <si>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</si>
  <si>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</si>
  <si>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</si>
  <si>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</si>
  <si>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</si>
  <si>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</si>
  <si>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</si>
  <si>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</si>
  <si>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</si>
  <si>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</si>
  <si>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</si>
  <si>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</si>
  <si>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</si>
  <si>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</si>
  <si>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</si>
  <si>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</si>
  <si>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</si>
  <si>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</si>
  <si>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</si>
  <si>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</si>
  <si>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</si>
  <si>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</si>
  <si>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</si>
  <si>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</si>
  <si>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</si>
  <si>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</si>
  <si>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</si>
  <si>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</si>
  <si>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</si>
  <si>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</si>
  <si>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</si>
  <si>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</si>
  <si>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</si>
  <si>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</si>
  <si>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</si>
  <si>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</si>
  <si>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</si>
  <si>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</si>
  <si>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</si>
  <si>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</si>
  <si>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</si>
  <si>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</si>
  <si>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</si>
  <si>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</si>
  <si>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</si>
  <si>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</si>
  <si>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</si>
  <si>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</si>
  <si>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</si>
  <si>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</si>
  <si>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</si>
  <si>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</si>
  <si>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</si>
  <si>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</si>
  <si>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</si>
  <si>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</si>
  <si>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</si>
  <si>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</si>
  <si>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</si>
  <si>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</si>
  <si>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</si>
  <si>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</si>
  <si>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</si>
  <si>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</si>
  <si>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</si>
  <si>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</si>
  <si>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</si>
  <si>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</si>
  <si>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</si>
  <si>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</si>
  <si>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</si>
  <si>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</si>
  <si>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</si>
  <si>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</si>
  <si>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</si>
  <si>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</si>
  <si>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</si>
  <si>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</si>
  <si>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</si>
  <si>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</si>
  <si>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</si>
  <si>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</si>
  <si>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</si>
  <si>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</si>
  <si>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</si>
  <si>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</si>
  <si>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</si>
  <si>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</si>
  <si>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</si>
  <si>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</si>
  <si>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</si>
  <si>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</si>
  <si>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</si>
  <si>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</si>
  <si>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</si>
  <si>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</si>
  <si>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</si>
  <si>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</si>
  <si>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</si>
  <si>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</si>
  <si>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</si>
  <si>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</si>
  <si>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</si>
  <si>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</si>
  <si>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</si>
  <si>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</si>
  <si>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</si>
  <si>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</si>
  <si>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</si>
  <si>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</si>
  <si>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</si>
  <si>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</si>
  <si>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</si>
  <si>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</si>
  <si>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</si>
  <si>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</si>
  <si>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</si>
  <si>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</si>
  <si>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</si>
  <si>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</si>
  <si>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</si>
  <si>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</si>
  <si>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</si>
  <si>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</si>
  <si>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</si>
  <si>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</si>
  <si>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</si>
  <si>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</si>
  <si>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</si>
  <si>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</si>
  <si>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</si>
  <si>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</si>
  <si>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</si>
  <si>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</si>
  <si>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</si>
  <si>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</si>
  <si>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</si>
  <si>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</si>
  <si>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</si>
  <si>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</si>
  <si>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</si>
  <si>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</si>
  <si>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</si>
  <si>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</si>
  <si>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</si>
  <si>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</si>
  <si>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</si>
  <si>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</si>
  <si>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</si>
  <si>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</si>
  <si>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</si>
  <si>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</si>
  <si>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</si>
  <si>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</si>
  <si>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</si>
  <si>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</si>
  <si>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</si>
  <si>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</si>
  <si>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</si>
  <si>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</si>
  <si>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</si>
  <si>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</si>
  <si>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</si>
  <si>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</si>
  <si>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</si>
  <si>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</si>
  <si>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</si>
  <si>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</si>
  <si>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</si>
  <si>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</si>
  <si>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</si>
  <si>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</si>
  <si>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</si>
  <si>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</si>
  <si>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</si>
  <si>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</si>
  <si>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</si>
  <si>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</si>
  <si>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</si>
  <si>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</si>
  <si>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</si>
  <si>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</si>
  <si>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</si>
  <si>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</si>
  <si>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</si>
  <si>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</si>
  <si>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</si>
  <si>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</si>
  <si>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</si>
  <si>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</si>
  <si>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</si>
  <si>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</si>
  <si>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</si>
  <si>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</si>
  <si>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</si>
  <si>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</si>
  <si>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</si>
  <si>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</si>
  <si>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</si>
  <si>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</si>
  <si>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</si>
  <si>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</si>
  <si>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</si>
  <si>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</si>
  <si>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</si>
  <si>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</si>
  <si>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</si>
  <si>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</si>
  <si>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</si>
  <si>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</si>
  <si>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</si>
  <si>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</si>
  <si>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</si>
  <si>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</si>
  <si>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</si>
  <si>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</si>
  <si>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</si>
  <si>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</si>
  <si>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</si>
  <si>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</si>
  <si>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</si>
  <si>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</si>
  <si>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</si>
  <si>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</si>
  <si>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</si>
  <si>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</si>
  <si>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</si>
  <si>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</si>
  <si>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</si>
  <si>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</si>
  <si>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</si>
  <si>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</si>
  <si>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</si>
  <si>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</si>
  <si>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</si>
  <si>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</si>
  <si>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</si>
  <si>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</si>
  <si>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</si>
  <si>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</si>
  <si>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</si>
  <si>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</si>
  <si>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</si>
  <si>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</si>
  <si>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</si>
  <si>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</si>
  <si>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</si>
  <si>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</si>
  <si>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</si>
  <si>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</si>
  <si>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</si>
  <si>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</si>
  <si>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</si>
  <si>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</si>
  <si>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</si>
  <si>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</si>
  <si>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</si>
  <si>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</si>
  <si>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</si>
  <si>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</si>
  <si>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</si>
  <si>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</si>
  <si>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</si>
  <si>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</si>
  <si>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</si>
  <si>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</si>
  <si>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</si>
  <si>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</si>
  <si>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</si>
  <si>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</si>
  <si>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</si>
  <si>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</si>
  <si>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</si>
  <si>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</si>
  <si>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</si>
  <si>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</si>
  <si>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</si>
  <si>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</si>
  <si>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</si>
  <si>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</si>
  <si>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</si>
  <si>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</si>
  <si>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</si>
  <si>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</si>
  <si>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</si>
  <si>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</si>
  <si>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</si>
  <si>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</si>
  <si>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</si>
  <si>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</si>
  <si>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</si>
  <si>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</si>
  <si>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</si>
  <si>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</si>
  <si>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</si>
  <si>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</si>
  <si>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</si>
  <si>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</si>
  <si>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</si>
  <si>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</si>
  <si>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</si>
  <si>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</si>
  <si>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</si>
  <si>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</si>
  <si>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</si>
  <si>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</si>
  <si>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</si>
  <si>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</si>
  <si>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</si>
  <si>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</si>
  <si>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</si>
  <si>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</si>
  <si>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</si>
  <si>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</si>
  <si>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</si>
  <si>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</si>
  <si>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</si>
  <si>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</si>
  <si>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</si>
  <si>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</si>
  <si>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</si>
  <si>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</si>
  <si>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</si>
  <si>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</si>
  <si>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</si>
  <si>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</si>
  <si>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</si>
  <si>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</si>
  <si>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</si>
  <si>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</si>
  <si>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</si>
  <si>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</si>
  <si>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</si>
  <si>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</si>
  <si>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</si>
  <si>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</si>
  <si>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</si>
  <si>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</si>
  <si>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</si>
  <si>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</si>
  <si>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</si>
  <si>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</si>
  <si>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</si>
  <si>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</si>
  <si>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</si>
  <si>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</si>
  <si>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</si>
  <si>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</si>
  <si>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</si>
  <si>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</si>
  <si>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</si>
  <si>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</si>
  <si>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</si>
  <si>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</si>
  <si>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</si>
  <si>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</si>
  <si>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</si>
  <si>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</si>
  <si>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</si>
  <si>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</si>
  <si>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</si>
  <si>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</si>
  <si>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</si>
  <si>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</si>
  <si>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</si>
  <si>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</si>
  <si>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</si>
  <si>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</si>
  <si>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</si>
  <si>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</si>
  <si>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</si>
  <si>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</si>
  <si>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</si>
  <si>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</si>
  <si>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</si>
  <si>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</si>
  <si>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</si>
  <si>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</si>
  <si>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</si>
  <si>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</si>
  <si>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</si>
  <si>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</si>
  <si>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</si>
  <si>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</si>
  <si>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</si>
  <si>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</si>
  <si>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</si>
  <si>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</si>
  <si>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</si>
  <si>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</si>
  <si>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</si>
  <si>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</si>
  <si>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</si>
  <si>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</si>
  <si>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</si>
  <si>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</si>
  <si>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</si>
  <si>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</si>
  <si>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</si>
  <si>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</si>
  <si>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</si>
  <si>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</si>
  <si>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</si>
  <si>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</si>
  <si>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</si>
  <si>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</si>
  <si>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</si>
  <si>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</si>
  <si>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</si>
  <si>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</si>
  <si>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</si>
  <si>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</si>
  <si>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</si>
  <si>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</si>
  <si>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</si>
  <si>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</si>
  <si>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</si>
  <si>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</si>
  <si>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</si>
  <si>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</si>
  <si>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</si>
  <si>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</si>
  <si>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</si>
  <si>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</si>
  <si>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</si>
  <si>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</si>
  <si>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</si>
  <si>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</si>
  <si>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</si>
  <si>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</si>
  <si>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</si>
  <si>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</si>
  <si>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</si>
  <si>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</si>
  <si>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</si>
  <si>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</si>
  <si>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</si>
  <si>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</si>
  <si>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</si>
  <si>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</si>
  <si>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</si>
  <si>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</si>
  <si>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</si>
  <si>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</si>
  <si>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</si>
  <si>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</si>
  <si>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</si>
  <si>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</si>
  <si>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</si>
  <si>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</si>
  <si>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</si>
  <si>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</si>
  <si>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</si>
  <si>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</si>
  <si>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</si>
  <si>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</si>
  <si>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</si>
  <si>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</si>
  <si>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</si>
  <si>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</si>
  <si>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</si>
  <si>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</si>
  <si>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</si>
  <si>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</si>
  <si>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</si>
  <si>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</si>
  <si>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</si>
  <si>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</si>
  <si>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</si>
  <si>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</si>
  <si>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</si>
  <si>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</si>
  <si>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</si>
  <si>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</si>
  <si>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</si>
  <si>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</si>
  <si>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</si>
  <si>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</si>
  <si>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</si>
  <si>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</si>
  <si>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</si>
  <si>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</si>
  <si>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</si>
  <si>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</si>
  <si>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</si>
  <si>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</si>
  <si>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</si>
  <si>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</si>
  <si>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</si>
  <si>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</si>
  <si>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</si>
  <si>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</si>
  <si>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</si>
  <si>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</si>
  <si>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</si>
  <si>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</si>
  <si>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</si>
  <si>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</si>
  <si>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</si>
  <si>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</si>
  <si>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</si>
  <si>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</si>
  <si>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</si>
  <si>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</si>
  <si>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</si>
  <si>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</si>
  <si>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</si>
  <si>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</si>
  <si>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</si>
  <si>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</si>
  <si>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</si>
  <si>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</si>
  <si>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</si>
  <si>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Program Halted: at line 0</t>
  </si>
  <si>
    <t>Unit_VBA</t>
  </si>
  <si>
    <t>VBA Based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</si>
</sst>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609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2083" activePane="bottomRight" state="frozen"/>
      <selection pane="topRight" activeCell="C1" sqref="C1"/>
      <selection pane="bottomLeft" activeCell="A6" sqref="A6"/>
      <selection pane="bottomRight" activeCell="Z2093" sqref="Z209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-100</v>
      </c>
      <c r="F1" s="193" t="s">
        <v>1235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5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78" t="s">
        <v>1155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925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9" t="s">
        <v>152</v>
      </c>
      <c r="R8" s="100" t="s">
        <v>925</v>
      </c>
      <c r="S8" s="151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9">
        <v>50</v>
      </c>
      <c r="R9" s="100"/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3">1-AE5</f>
        <v>1</v>
      </c>
      <c r="AF9" s="119">
        <f t="shared" si="13"/>
        <v>1</v>
      </c>
      <c r="AG9" s="119">
        <f t="shared" si="13"/>
        <v>1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9"/>
      <c r="R10" s="100"/>
      <c r="S10" s="152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9"/>
      <c r="R11" s="100"/>
      <c r="S11" s="152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4" t="s">
        <v>1169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4"/>
      <c r="R12" s="98"/>
      <c r="S12" s="152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1210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4"/>
      <c r="R13" s="98"/>
      <c r="S13" s="152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1</v>
      </c>
      <c r="AL13" t="s">
        <v>495</v>
      </c>
    </row>
    <row r="14" spans="1:43" ht="15.75" thickBot="1">
      <c r="A14" s="28">
        <v>8</v>
      </c>
      <c r="B14" s="25" t="s">
        <v>114</v>
      </c>
      <c r="C14" s="45" t="s">
        <v>1153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4"/>
      <c r="R14" s="98"/>
      <c r="S14" s="152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>
        <f>(SUMPRODUCT(AK15:AK1070,AA15:AA1070))+SUMPRODUCT(AC13:AJ13,AC14:AJ14)</f>
        <v>5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4"/>
      <c r="R15" s="98"/>
      <c r="S15" s="152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  <c r="AL15">
        <f>HEX2DEC(AH21)</f>
        <v>0</v>
      </c>
    </row>
    <row r="16" spans="1:43" ht="15.75" thickBot="1">
      <c r="A16" s="29" t="s">
        <v>1154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4"/>
      <c r="R16" s="98"/>
      <c r="S16" s="152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7" ht="15.75" thickBot="1">
      <c r="A17" s="26">
        <v>0</v>
      </c>
      <c r="B17" s="24" t="s">
        <v>1161</v>
      </c>
      <c r="C17" s="183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402</v>
      </c>
      <c r="AI17" s="142" t="s">
        <v>301</v>
      </c>
      <c r="AJ17" s="143" t="s">
        <v>892</v>
      </c>
    </row>
    <row r="18" spans="1:37" ht="15.75" thickBot="1">
      <c r="A18" s="27">
        <v>1</v>
      </c>
      <c r="B18" s="24" t="s">
        <v>1162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7">
      <c r="A19" s="27">
        <v>2</v>
      </c>
      <c r="B19" s="24" t="s">
        <v>1163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532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7">
      <c r="A20" s="27">
        <v>3</v>
      </c>
      <c r="B20" s="24" t="s">
        <v>1164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1128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7">
      <c r="A21" s="27">
        <v>4</v>
      </c>
      <c r="B21" s="24" t="s">
        <v>1165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1129</v>
      </c>
      <c r="H21" s="175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  <c r="AK21">
        <v>1</v>
      </c>
    </row>
    <row r="22" spans="1:37">
      <c r="A22" s="27"/>
      <c r="B22" s="24" t="s">
        <v>1156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1140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7">
      <c r="A23" s="27"/>
      <c r="B23" s="24" t="s">
        <v>1166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1137</v>
      </c>
      <c r="H23" s="188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7" ht="15.75" thickBot="1">
      <c r="A24" s="27">
        <v>5</v>
      </c>
      <c r="B24" s="24" t="s">
        <v>1167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7">
      <c r="A25" s="27">
        <v>6</v>
      </c>
      <c r="B25" s="24" t="s">
        <v>1168</v>
      </c>
      <c r="C25" s="44" t="s">
        <v>221</v>
      </c>
      <c r="D25" s="34" t="str">
        <f t="shared" si="24"/>
        <v>.</v>
      </c>
      <c r="E25" s="35">
        <f t="shared" si="25"/>
        <v>0</v>
      </c>
      <c r="G25" s="189" t="s">
        <v>1199</v>
      </c>
      <c r="H25" s="190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7" ht="15.75" thickBot="1">
      <c r="A26" s="27">
        <v>7</v>
      </c>
      <c r="B26" s="24" t="s">
        <v>1157</v>
      </c>
      <c r="C26" s="44" t="s">
        <v>221</v>
      </c>
      <c r="D26" s="34" t="str">
        <f t="shared" si="24"/>
        <v>.</v>
      </c>
      <c r="E26" s="35">
        <f t="shared" si="25"/>
        <v>0</v>
      </c>
      <c r="G26" s="191" t="s">
        <v>1209</v>
      </c>
      <c r="H26" s="192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7">
      <c r="A27" s="179"/>
      <c r="B27" s="24" t="s">
        <v>1158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7">
      <c r="A28" s="179"/>
      <c r="B28" s="180" t="s">
        <v>1159</v>
      </c>
      <c r="C28" s="181" t="s">
        <v>221</v>
      </c>
      <c r="D28" s="182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7" ht="15.75" thickBot="1">
      <c r="A29" s="28">
        <v>8</v>
      </c>
      <c r="B29" s="25" t="s">
        <v>1160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7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7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7">
      <c r="A32" t="s">
        <v>878</v>
      </c>
      <c r="D32" t="s">
        <v>881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1202</v>
      </c>
      <c r="D33" t="s">
        <v>146</v>
      </c>
      <c r="E33" t="s">
        <v>1200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1203</v>
      </c>
      <c r="D34" t="s">
        <v>433</v>
      </c>
      <c r="E34" t="s">
        <v>1201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1035</v>
      </c>
      <c r="B35" t="s">
        <v>1204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1037</v>
      </c>
      <c r="B36" t="s">
        <v>1205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A37" t="s">
        <v>1052</v>
      </c>
      <c r="B37" t="s">
        <v>1050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A38" t="s">
        <v>983</v>
      </c>
      <c r="B38" t="s">
        <v>1206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0105</v>
      </c>
      <c r="N1070" s="134">
        <f t="shared" si="93"/>
        <v>261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608" priority="37" operator="equal">
      <formula>0</formula>
    </cfRule>
    <cfRule type="cellIs" dxfId="607" priority="38" operator="greaterThan">
      <formula>0</formula>
    </cfRule>
  </conditionalFormatting>
  <conditionalFormatting sqref="F1:W1">
    <cfRule type="containsText" dxfId="606" priority="28" operator="containsText" text="Halted">
      <formula>NOT(ISERROR(SEARCH("Halted",F1)))</formula>
    </cfRule>
    <cfRule type="containsText" dxfId="605" priority="35" operator="containsText" text="Error">
      <formula>NOT(ISERROR(SEARCH("Error",F1)))</formula>
    </cfRule>
    <cfRule type="expression" dxfId="604" priority="36">
      <formula>$F$1&lt;&gt;""</formula>
    </cfRule>
  </conditionalFormatting>
  <conditionalFormatting sqref="P41:R1070">
    <cfRule type="expression" dxfId="603" priority="60">
      <formula>$N41=$E$13</formula>
    </cfRule>
  </conditionalFormatting>
  <conditionalFormatting sqref="M7:T7 M8:N1070 M40:O40 M41:R1070">
    <cfRule type="containsText" dxfId="602" priority="16" operator="containsText" text=" ">
      <formula>NOT(ISERROR(SEARCH(" ",M7)))</formula>
    </cfRule>
  </conditionalFormatting>
  <conditionalFormatting sqref="AL5:AM5">
    <cfRule type="cellIs" dxfId="601" priority="14" operator="equal">
      <formula>0</formula>
    </cfRule>
    <cfRule type="cellIs" dxfId="600" priority="15" operator="equal">
      <formula>1</formula>
    </cfRule>
  </conditionalFormatting>
  <conditionalFormatting sqref="H19:H23">
    <cfRule type="cellIs" dxfId="599" priority="12" operator="equal">
      <formula>0</formula>
    </cfRule>
    <cfRule type="cellIs" dxfId="598" priority="13" operator="equal">
      <formula>1</formula>
    </cfRule>
  </conditionalFormatting>
  <conditionalFormatting sqref="K7:T7 K8:N39 K40:O40 K41:R1070">
    <cfRule type="expression" dxfId="597" priority="11">
      <formula>$E$13=$N7</formula>
    </cfRule>
  </conditionalFormatting>
  <conditionalFormatting sqref="AD5:AK5">
    <cfRule type="cellIs" dxfId="596" priority="9" operator="equal">
      <formula>0</formula>
    </cfRule>
    <cfRule type="cellIs" dxfId="595" priority="10" operator="equal">
      <formula>1</formula>
    </cfRule>
  </conditionalFormatting>
  <conditionalFormatting sqref="AA13:AJ13">
    <cfRule type="cellIs" dxfId="594" priority="4" operator="equal">
      <formula>1</formula>
    </cfRule>
  </conditionalFormatting>
  <conditionalFormatting sqref="AK15:AK30">
    <cfRule type="cellIs" dxfId="593" priority="3" operator="equal">
      <formula>1</formula>
    </cfRule>
  </conditionalFormatting>
  <conditionalFormatting sqref="H26">
    <cfRule type="cellIs" dxfId="592" priority="1" operator="equal">
      <formula>0</formula>
    </cfRule>
    <cfRule type="cellIs" dxfId="5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1130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1131</v>
      </c>
      <c r="T1" s="170" t="s">
        <v>1133</v>
      </c>
      <c r="U1" s="170" t="s">
        <v>1134</v>
      </c>
      <c r="V1" s="170" t="s">
        <v>1135</v>
      </c>
      <c r="W1" s="170" t="s">
        <v>1136</v>
      </c>
    </row>
    <row r="2" spans="1:23">
      <c r="A2">
        <v>1</v>
      </c>
      <c r="B2" s="171" t="s">
        <v>1042</v>
      </c>
      <c r="C2" t="s">
        <v>295</v>
      </c>
      <c r="D2" t="s">
        <v>309</v>
      </c>
      <c r="E2" t="s">
        <v>1036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1153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1132</v>
      </c>
      <c r="C3" t="s">
        <v>878</v>
      </c>
      <c r="D3" t="s">
        <v>1037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1139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1152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1138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1153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R104" sqref="R104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6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6" t="s">
        <v>336</v>
      </c>
      <c r="V5" s="197"/>
      <c r="W5" s="197"/>
      <c r="X5" s="197"/>
      <c r="Y5" s="197"/>
      <c r="Z5" s="197"/>
      <c r="AA5" s="197"/>
      <c r="AB5" s="198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9" t="s">
        <v>1234</v>
      </c>
      <c r="V6" s="199"/>
      <c r="W6" s="199"/>
      <c r="X6" s="199"/>
      <c r="Y6" s="199"/>
      <c r="Z6" s="199"/>
      <c r="AA6" s="199"/>
      <c r="AB6" s="199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00"/>
      <c r="V7" s="200"/>
      <c r="W7" s="200"/>
      <c r="X7" s="200"/>
      <c r="Y7" s="200"/>
      <c r="Z7" s="200"/>
      <c r="AA7" s="200"/>
      <c r="AB7" s="200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00"/>
      <c r="V8" s="200"/>
      <c r="W8" s="200"/>
      <c r="X8" s="200"/>
      <c r="Y8" s="200"/>
      <c r="Z8" s="200"/>
      <c r="AA8" s="200"/>
      <c r="AB8" s="200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1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00"/>
      <c r="V9" s="200"/>
      <c r="W9" s="200"/>
      <c r="X9" s="200"/>
      <c r="Y9" s="200"/>
      <c r="Z9" s="200"/>
      <c r="AA9" s="200"/>
      <c r="AB9" s="200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00"/>
      <c r="V10" s="200"/>
      <c r="W10" s="200"/>
      <c r="X10" s="200"/>
      <c r="Y10" s="200"/>
      <c r="Z10" s="200"/>
      <c r="AA10" s="200"/>
      <c r="AB10" s="200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6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00"/>
      <c r="V11" s="200"/>
      <c r="W11" s="200"/>
      <c r="X11" s="200"/>
      <c r="Y11" s="200"/>
      <c r="Z11" s="200"/>
      <c r="AA11" s="200"/>
      <c r="AB11" s="200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00"/>
      <c r="V12" s="200"/>
      <c r="W12" s="200"/>
      <c r="X12" s="200"/>
      <c r="Y12" s="200"/>
      <c r="Z12" s="200"/>
      <c r="AA12" s="200"/>
      <c r="AB12" s="200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00"/>
      <c r="V13" s="200"/>
      <c r="W13" s="200"/>
      <c r="X13" s="200"/>
      <c r="Y13" s="200"/>
      <c r="Z13" s="200"/>
      <c r="AA13" s="200"/>
      <c r="AB13" s="200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00"/>
      <c r="V14" s="200"/>
      <c r="W14" s="200"/>
      <c r="X14" s="200"/>
      <c r="Y14" s="200"/>
      <c r="Z14" s="200"/>
      <c r="AA14" s="200"/>
      <c r="AB14" s="200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00"/>
      <c r="V15" s="200"/>
      <c r="W15" s="200"/>
      <c r="X15" s="200"/>
      <c r="Y15" s="200"/>
      <c r="Z15" s="200"/>
      <c r="AA15" s="200"/>
      <c r="AB15" s="200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6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00"/>
      <c r="V16" s="200"/>
      <c r="W16" s="200"/>
      <c r="X16" s="200"/>
      <c r="Y16" s="200"/>
      <c r="Z16" s="200"/>
      <c r="AA16" s="200"/>
      <c r="AB16" s="200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00"/>
      <c r="V17" s="200"/>
      <c r="W17" s="200"/>
      <c r="X17" s="200"/>
      <c r="Y17" s="200"/>
      <c r="Z17" s="200"/>
      <c r="AA17" s="200"/>
      <c r="AB17" s="200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00"/>
      <c r="V18" s="200"/>
      <c r="W18" s="200"/>
      <c r="X18" s="200"/>
      <c r="Y18" s="200"/>
      <c r="Z18" s="200"/>
      <c r="AA18" s="200"/>
      <c r="AB18" s="200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00"/>
      <c r="V19" s="200"/>
      <c r="W19" s="200"/>
      <c r="X19" s="200"/>
      <c r="Y19" s="200"/>
      <c r="Z19" s="200"/>
      <c r="AA19" s="200"/>
      <c r="AB19" s="200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00"/>
      <c r="V20" s="200"/>
      <c r="W20" s="200"/>
      <c r="X20" s="200"/>
      <c r="Y20" s="200"/>
      <c r="Z20" s="200"/>
      <c r="AA20" s="200"/>
      <c r="AB20" s="200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00"/>
      <c r="V21" s="200"/>
      <c r="W21" s="200"/>
      <c r="X21" s="200"/>
      <c r="Y21" s="200"/>
      <c r="Z21" s="200"/>
      <c r="AA21" s="200"/>
      <c r="AB21" s="200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00"/>
      <c r="V22" s="200"/>
      <c r="W22" s="200"/>
      <c r="X22" s="200"/>
      <c r="Y22" s="200"/>
      <c r="Z22" s="200"/>
      <c r="AA22" s="200"/>
      <c r="AB22" s="200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00"/>
      <c r="V23" s="200"/>
      <c r="W23" s="200"/>
      <c r="X23" s="200"/>
      <c r="Y23" s="200"/>
      <c r="Z23" s="200"/>
      <c r="AA23" s="200"/>
      <c r="AB23" s="200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00"/>
      <c r="V24" s="200"/>
      <c r="W24" s="200"/>
      <c r="X24" s="200"/>
      <c r="Y24" s="200"/>
      <c r="Z24" s="200"/>
      <c r="AA24" s="200"/>
      <c r="AB24" s="200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00"/>
      <c r="V25" s="200"/>
      <c r="W25" s="200"/>
      <c r="X25" s="200"/>
      <c r="Y25" s="200"/>
      <c r="Z25" s="200"/>
      <c r="AA25" s="200"/>
      <c r="AB25" s="200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00"/>
      <c r="V26" s="200"/>
      <c r="W26" s="200"/>
      <c r="X26" s="200"/>
      <c r="Y26" s="200"/>
      <c r="Z26" s="200"/>
      <c r="AA26" s="200"/>
      <c r="AB26" s="200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00"/>
      <c r="V27" s="200"/>
      <c r="W27" s="200"/>
      <c r="X27" s="200"/>
      <c r="Y27" s="200"/>
      <c r="Z27" s="200"/>
      <c r="AA27" s="200"/>
      <c r="AB27" s="200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00"/>
      <c r="V28" s="200"/>
      <c r="W28" s="200"/>
      <c r="X28" s="200"/>
      <c r="Y28" s="200"/>
      <c r="Z28" s="200"/>
      <c r="AA28" s="200"/>
      <c r="AB28" s="200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6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00"/>
      <c r="V29" s="200"/>
      <c r="W29" s="200"/>
      <c r="X29" s="200"/>
      <c r="Y29" s="200"/>
      <c r="Z29" s="200"/>
      <c r="AA29" s="200"/>
      <c r="AB29" s="200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00"/>
      <c r="V30" s="200"/>
      <c r="W30" s="200"/>
      <c r="X30" s="200"/>
      <c r="Y30" s="200"/>
      <c r="Z30" s="200"/>
      <c r="AA30" s="200"/>
      <c r="AB30" s="200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00"/>
      <c r="V31" s="200"/>
      <c r="W31" s="200"/>
      <c r="X31" s="200"/>
      <c r="Y31" s="200"/>
      <c r="Z31" s="200"/>
      <c r="AA31" s="200"/>
      <c r="AB31" s="200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00"/>
      <c r="V32" s="200"/>
      <c r="W32" s="200"/>
      <c r="X32" s="200"/>
      <c r="Y32" s="200"/>
      <c r="Z32" s="200"/>
      <c r="AA32" s="200"/>
      <c r="AB32" s="200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00"/>
      <c r="V33" s="200"/>
      <c r="W33" s="200"/>
      <c r="X33" s="200"/>
      <c r="Y33" s="200"/>
      <c r="Z33" s="200"/>
      <c r="AA33" s="200"/>
      <c r="AB33" s="200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00"/>
      <c r="V34" s="200"/>
      <c r="W34" s="200"/>
      <c r="X34" s="200"/>
      <c r="Y34" s="200"/>
      <c r="Z34" s="200"/>
      <c r="AA34" s="200"/>
      <c r="AB34" s="200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00"/>
      <c r="V35" s="200"/>
      <c r="W35" s="200"/>
      <c r="X35" s="200"/>
      <c r="Y35" s="200"/>
      <c r="Z35" s="200"/>
      <c r="AA35" s="200"/>
      <c r="AB35" s="200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6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6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6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1063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1066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1067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6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1068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1069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1070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1071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1072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1073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1074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1075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6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1076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1077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1078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1079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1080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1081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1082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1083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1084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6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1085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1086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1087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1088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1089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1090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1091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1092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1093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1094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1095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1191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1192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1193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6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1194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1195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1196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1197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1198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1219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1236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1221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6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1220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1222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1223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1224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1225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1226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1227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1228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6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1229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1230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1231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1232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6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6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6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6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6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6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6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6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6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6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6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6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6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6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6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6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6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6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6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6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6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6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6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6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6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6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6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6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6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6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6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6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6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6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6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6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6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6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6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6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6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6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1061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1060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1062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1060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1063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1064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1066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1065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1067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1096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1068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1097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872</v>
      </c>
      <c r="F609" s="169" t="s">
        <v>1098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873</v>
      </c>
      <c r="F611" s="169" t="s">
        <v>1098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1069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1099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9" t="s">
        <v>309</v>
      </c>
      <c r="G617" s="100" t="s">
        <v>1100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1070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1101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1098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1071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1102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1103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1072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1104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9" t="s">
        <v>309</v>
      </c>
      <c r="G643" s="100" t="s">
        <v>1105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1073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1</v>
      </c>
      <c r="K647" s="167" t="s">
        <v>435</v>
      </c>
      <c r="L647" s="56" t="s">
        <v>1106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1074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1</v>
      </c>
      <c r="K655" s="167" t="s">
        <v>435</v>
      </c>
      <c r="L655" s="56" t="s">
        <v>1107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1075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1</v>
      </c>
      <c r="K663" s="167" t="s">
        <v>435</v>
      </c>
      <c r="L663" s="56" t="s">
        <v>1108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1076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1</v>
      </c>
      <c r="K672" s="167" t="s">
        <v>435</v>
      </c>
      <c r="L672" s="56" t="s">
        <v>1109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1077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1</v>
      </c>
      <c r="K681" s="167" t="s">
        <v>435</v>
      </c>
      <c r="L681" s="56" t="s">
        <v>1110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1111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1078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1</v>
      </c>
      <c r="K690" s="167" t="s">
        <v>435</v>
      </c>
      <c r="L690" s="56" t="s">
        <v>1112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1079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1</v>
      </c>
      <c r="K699" s="167" t="s">
        <v>435</v>
      </c>
      <c r="L699" s="56" t="s">
        <v>1113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1080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1114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1081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1</v>
      </c>
      <c r="K717" s="167" t="s">
        <v>435</v>
      </c>
      <c r="L717" s="56" t="s">
        <v>1115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1082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1116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1083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1117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1118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1084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1119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1085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1120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1086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1121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1087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1122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1088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1123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1089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1124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9" t="s">
        <v>189</v>
      </c>
      <c r="G797" s="100" t="s">
        <v>1100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1090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1175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1170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1170</v>
      </c>
      <c r="F803" s="169" t="s">
        <v>342</v>
      </c>
      <c r="G803" s="100" t="s">
        <v>1171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1172</v>
      </c>
      <c r="F804" s="169" t="s">
        <v>737</v>
      </c>
      <c r="G804" s="100" t="s">
        <v>1174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1173</v>
      </c>
      <c r="F805" s="169"/>
      <c r="G805" s="100"/>
      <c r="H805" s="6" t="s">
        <v>1176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1170</v>
      </c>
      <c r="F806" s="169" t="s">
        <v>152</v>
      </c>
      <c r="G806" s="100" t="s">
        <v>191</v>
      </c>
      <c r="H806" s="6" t="s">
        <v>1177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1172</v>
      </c>
      <c r="F807" s="169" t="s">
        <v>737</v>
      </c>
      <c r="G807" s="100" t="s">
        <v>1174</v>
      </c>
      <c r="H807" s="6" t="s">
        <v>1178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1091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1182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1170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1180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1092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1183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1170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1180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1180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1093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1184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1170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1179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1094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1185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1170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1179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1095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1</v>
      </c>
      <c r="K833" s="167" t="s">
        <v>435</v>
      </c>
      <c r="L833" s="56" t="s">
        <v>1190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1170</v>
      </c>
      <c r="F834" s="169" t="s">
        <v>1186</v>
      </c>
      <c r="G834" s="100" t="s">
        <v>1188</v>
      </c>
      <c r="H834" s="6" t="s">
        <v>1186</v>
      </c>
      <c r="I834" s="66" t="s">
        <v>1188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1170</v>
      </c>
      <c r="F835" s="169" t="s">
        <v>1187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1170</v>
      </c>
      <c r="F836" s="169" t="s">
        <v>1189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1170</v>
      </c>
      <c r="F837" s="169" t="s">
        <v>333</v>
      </c>
      <c r="G837" s="100" t="s">
        <v>1187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1170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1170</v>
      </c>
      <c r="F839" s="76" t="s">
        <v>150</v>
      </c>
      <c r="G839" s="100" t="s">
        <v>1187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1170</v>
      </c>
      <c r="F840" s="76" t="s">
        <v>188</v>
      </c>
      <c r="G840" s="100" t="s">
        <v>1189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1191</v>
      </c>
      <c r="B843" s="165" t="s">
        <v>142</v>
      </c>
      <c r="C843" s="165" t="s">
        <v>143</v>
      </c>
      <c r="D843" s="166" t="s">
        <v>131</v>
      </c>
      <c r="E843" s="46" t="s">
        <v>148</v>
      </c>
      <c r="F843" s="166" t="s">
        <v>129</v>
      </c>
      <c r="G843" s="166" t="s">
        <v>130</v>
      </c>
      <c r="H843" s="166" t="s">
        <v>251</v>
      </c>
      <c r="I843" s="161" t="s">
        <v>211</v>
      </c>
      <c r="J843" s="156">
        <f ca="1">IFERROR(IF(AND(J844:J847),0,1),0)</f>
        <v>1</v>
      </c>
      <c r="K843" s="167" t="s">
        <v>435</v>
      </c>
      <c r="L843" s="56" t="s">
        <v>1211</v>
      </c>
      <c r="M843" s="168">
        <f>IFERROR(VLOOKUP($A843,$P$6:$S$1048576,3,0),0)</f>
        <v>0</v>
      </c>
      <c r="N843" s="168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9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9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9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9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1192</v>
      </c>
      <c r="B849" s="165" t="s">
        <v>142</v>
      </c>
      <c r="C849" s="165" t="s">
        <v>143</v>
      </c>
      <c r="D849" s="166" t="s">
        <v>131</v>
      </c>
      <c r="E849" s="46" t="s">
        <v>148</v>
      </c>
      <c r="F849" s="166" t="s">
        <v>129</v>
      </c>
      <c r="G849" s="166" t="s">
        <v>130</v>
      </c>
      <c r="H849" s="166" t="s">
        <v>251</v>
      </c>
      <c r="I849" s="161" t="s">
        <v>211</v>
      </c>
      <c r="J849" s="156">
        <f ca="1">IFERROR(IF(AND(J850:J853),0,1),0)</f>
        <v>1</v>
      </c>
      <c r="K849" s="167" t="s">
        <v>435</v>
      </c>
      <c r="L849" s="56" t="s">
        <v>1212</v>
      </c>
      <c r="M849" s="168">
        <f>IFERROR(VLOOKUP($A849,$P$6:$S$1048576,3,0),0)</f>
        <v>0</v>
      </c>
      <c r="N849" s="168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9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9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9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9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1193</v>
      </c>
      <c r="B855" s="165" t="s">
        <v>142</v>
      </c>
      <c r="C855" s="165" t="s">
        <v>143</v>
      </c>
      <c r="D855" s="166" t="s">
        <v>131</v>
      </c>
      <c r="E855" s="46" t="s">
        <v>148</v>
      </c>
      <c r="F855" s="166" t="s">
        <v>129</v>
      </c>
      <c r="G855" s="166" t="s">
        <v>130</v>
      </c>
      <c r="H855" s="166" t="s">
        <v>251</v>
      </c>
      <c r="I855" s="161" t="s">
        <v>211</v>
      </c>
      <c r="J855" s="156">
        <f ca="1">IFERROR(IF(AND(J856:J859),0,1),0)</f>
        <v>1</v>
      </c>
      <c r="K855" s="167" t="s">
        <v>435</v>
      </c>
      <c r="L855" s="56" t="s">
        <v>1213</v>
      </c>
      <c r="M855" s="168">
        <f>IFERROR(VLOOKUP($A855,$P$6:$S$1048576,3,0),0)</f>
        <v>0</v>
      </c>
      <c r="N855" s="168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9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9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9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9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1194</v>
      </c>
      <c r="B861" s="165" t="s">
        <v>142</v>
      </c>
      <c r="C861" s="165" t="s">
        <v>143</v>
      </c>
      <c r="D861" s="166" t="s">
        <v>131</v>
      </c>
      <c r="E861" s="46" t="s">
        <v>148</v>
      </c>
      <c r="F861" s="166" t="s">
        <v>129</v>
      </c>
      <c r="G861" s="166" t="s">
        <v>130</v>
      </c>
      <c r="H861" s="166" t="s">
        <v>251</v>
      </c>
      <c r="I861" s="161" t="s">
        <v>211</v>
      </c>
      <c r="J861" s="156">
        <f ca="1">IFERROR(IF(AND(J862:J865),0,1),0)</f>
        <v>1</v>
      </c>
      <c r="K861" s="167" t="s">
        <v>435</v>
      </c>
      <c r="L861" s="56" t="s">
        <v>1214</v>
      </c>
      <c r="M861" s="168">
        <f>IFERROR(VLOOKUP($A861,$P$6:$S$1048576,3,0),0)</f>
        <v>0</v>
      </c>
      <c r="N861" s="168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9" t="s">
        <v>152</v>
      </c>
      <c r="G862" s="100" t="s">
        <v>222</v>
      </c>
      <c r="H862" s="6" t="s">
        <v>152</v>
      </c>
      <c r="I862" s="66" t="s">
        <v>762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9" t="s">
        <v>916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9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9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1195</v>
      </c>
      <c r="B867" s="165" t="s">
        <v>142</v>
      </c>
      <c r="C867" s="165" t="s">
        <v>143</v>
      </c>
      <c r="D867" s="166" t="s">
        <v>131</v>
      </c>
      <c r="E867" s="46" t="s">
        <v>148</v>
      </c>
      <c r="F867" s="166" t="s">
        <v>129</v>
      </c>
      <c r="G867" s="166" t="s">
        <v>130</v>
      </c>
      <c r="H867" s="166" t="s">
        <v>251</v>
      </c>
      <c r="I867" s="161" t="s">
        <v>211</v>
      </c>
      <c r="J867" s="156">
        <f ca="1">IFERROR(IF(AND(J868:J871),0,1),0)</f>
        <v>1</v>
      </c>
      <c r="K867" s="167" t="s">
        <v>435</v>
      </c>
      <c r="L867" s="56" t="s">
        <v>1215</v>
      </c>
      <c r="M867" s="168">
        <f>IFERROR(VLOOKUP($A867,$P$6:$S$1048576,3,0),0)</f>
        <v>0</v>
      </c>
      <c r="N867" s="168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9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457</v>
      </c>
      <c r="F869" s="169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9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9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1196</v>
      </c>
      <c r="B873" s="165" t="s">
        <v>142</v>
      </c>
      <c r="C873" s="165" t="s">
        <v>143</v>
      </c>
      <c r="D873" s="166" t="s">
        <v>131</v>
      </c>
      <c r="E873" s="46" t="s">
        <v>148</v>
      </c>
      <c r="F873" s="166" t="s">
        <v>129</v>
      </c>
      <c r="G873" s="166" t="s">
        <v>130</v>
      </c>
      <c r="H873" s="166" t="s">
        <v>251</v>
      </c>
      <c r="I873" s="161" t="s">
        <v>211</v>
      </c>
      <c r="J873" s="156">
        <f ca="1">IFERROR(IF(AND(J874:J877),0,1),0)</f>
        <v>1</v>
      </c>
      <c r="K873" s="167" t="s">
        <v>435</v>
      </c>
      <c r="L873" s="56" t="s">
        <v>1216</v>
      </c>
      <c r="M873" s="168">
        <f>IFERROR(VLOOKUP($A873,$P$6:$S$1048576,3,0),0)</f>
        <v>0</v>
      </c>
      <c r="N873" s="168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9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9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9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9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1197</v>
      </c>
      <c r="B879" s="165" t="s">
        <v>142</v>
      </c>
      <c r="C879" s="165" t="s">
        <v>143</v>
      </c>
      <c r="D879" s="166" t="s">
        <v>131</v>
      </c>
      <c r="E879" s="46" t="s">
        <v>148</v>
      </c>
      <c r="F879" s="166" t="s">
        <v>129</v>
      </c>
      <c r="G879" s="166" t="s">
        <v>130</v>
      </c>
      <c r="H879" s="166" t="s">
        <v>251</v>
      </c>
      <c r="I879" s="161" t="s">
        <v>211</v>
      </c>
      <c r="J879" s="156">
        <f ca="1">IFERROR(IF(AND(J880:J883),0,1),0)</f>
        <v>1</v>
      </c>
      <c r="K879" s="167" t="s">
        <v>435</v>
      </c>
      <c r="L879" s="56" t="s">
        <v>1217</v>
      </c>
      <c r="M879" s="168">
        <f>IFERROR(VLOOKUP($A879,$P$6:$S$1048576,3,0),0)</f>
        <v>0</v>
      </c>
      <c r="N879" s="168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9" t="s">
        <v>152</v>
      </c>
      <c r="G880" s="100" t="s">
        <v>925</v>
      </c>
      <c r="H880" s="6" t="s">
        <v>152</v>
      </c>
      <c r="I880" s="66" t="s">
        <v>925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9" t="s">
        <v>150</v>
      </c>
      <c r="G881" s="100" t="s">
        <v>916</v>
      </c>
      <c r="H881" s="6" t="s">
        <v>150</v>
      </c>
      <c r="I881" s="66" t="s">
        <v>916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874</v>
      </c>
      <c r="F882" s="169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9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1198</v>
      </c>
      <c r="B885" s="165" t="s">
        <v>142</v>
      </c>
      <c r="C885" s="165" t="s">
        <v>143</v>
      </c>
      <c r="D885" s="166" t="s">
        <v>131</v>
      </c>
      <c r="E885" s="46" t="s">
        <v>148</v>
      </c>
      <c r="F885" s="166" t="s">
        <v>129</v>
      </c>
      <c r="G885" s="166" t="s">
        <v>130</v>
      </c>
      <c r="H885" s="166" t="s">
        <v>251</v>
      </c>
      <c r="I885" s="161" t="s">
        <v>211</v>
      </c>
      <c r="J885" s="156">
        <f ca="1">IFERROR(IF(AND(J886:J889),0,1),0)</f>
        <v>1</v>
      </c>
      <c r="K885" s="167" t="s">
        <v>435</v>
      </c>
      <c r="L885" s="56" t="s">
        <v>1218</v>
      </c>
      <c r="M885" s="168">
        <f>IFERROR(VLOOKUP($A885,$P$6:$S$1048576,3,0),0)</f>
        <v>0</v>
      </c>
      <c r="N885" s="168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9" t="s">
        <v>152</v>
      </c>
      <c r="G886" s="100" t="s">
        <v>934</v>
      </c>
      <c r="H886" s="6" t="s">
        <v>152</v>
      </c>
      <c r="I886" s="66" t="s">
        <v>934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9" t="s">
        <v>150</v>
      </c>
      <c r="G887" s="100" t="s">
        <v>934</v>
      </c>
      <c r="H887" s="6" t="s">
        <v>150</v>
      </c>
      <c r="I887" s="66" t="s">
        <v>934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874</v>
      </c>
      <c r="F888" s="169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9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1219</v>
      </c>
      <c r="B891" s="165" t="s">
        <v>142</v>
      </c>
      <c r="C891" s="165" t="s">
        <v>143</v>
      </c>
      <c r="D891" s="166" t="s">
        <v>131</v>
      </c>
      <c r="E891" s="46" t="s">
        <v>148</v>
      </c>
      <c r="F891" s="166" t="s">
        <v>129</v>
      </c>
      <c r="G891" s="166" t="s">
        <v>130</v>
      </c>
      <c r="H891" s="166" t="s">
        <v>251</v>
      </c>
      <c r="I891" s="161" t="s">
        <v>211</v>
      </c>
      <c r="J891" s="156">
        <f ca="1">IFERROR(IF(AND(J892:J895),0,1),0)</f>
        <v>0</v>
      </c>
      <c r="K891" s="167" t="s">
        <v>435</v>
      </c>
      <c r="L891" s="56" t="s">
        <v>1233</v>
      </c>
      <c r="M891" s="168">
        <f>IFERROR(VLOOKUP($A891,$P$6:$S$1048576,3,0),0)</f>
        <v>0</v>
      </c>
      <c r="N891" s="168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9" t="s">
        <v>152</v>
      </c>
      <c r="G892" s="100" t="s">
        <v>925</v>
      </c>
      <c r="H892" s="6" t="s">
        <v>152</v>
      </c>
      <c r="I892" s="66" t="s">
        <v>925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9" t="s">
        <v>925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9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9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1236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6" t="s">
        <v>435</v>
      </c>
      <c r="L897" s="68" t="s">
        <v>1237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0" priority="921" operator="equal">
      <formula>0</formula>
    </cfRule>
    <cfRule type="cellIs" dxfId="589" priority="922" operator="equal">
      <formula>1</formula>
    </cfRule>
  </conditionalFormatting>
  <conditionalFormatting sqref="J11:K11">
    <cfRule type="cellIs" dxfId="588" priority="919" operator="equal">
      <formula>0</formula>
    </cfRule>
    <cfRule type="cellIs" dxfId="587" priority="920" operator="equal">
      <formula>1</formula>
    </cfRule>
  </conditionalFormatting>
  <conditionalFormatting sqref="J16:K16">
    <cfRule type="cellIs" dxfId="586" priority="917" operator="equal">
      <formula>0</formula>
    </cfRule>
    <cfRule type="cellIs" dxfId="585" priority="918" operator="equal">
      <formula>1</formula>
    </cfRule>
  </conditionalFormatting>
  <conditionalFormatting sqref="J29:K29">
    <cfRule type="cellIs" dxfId="584" priority="913" operator="equal">
      <formula>0</formula>
    </cfRule>
    <cfRule type="cellIs" dxfId="583" priority="914" operator="equal">
      <formula>1</formula>
    </cfRule>
  </conditionalFormatting>
  <conditionalFormatting sqref="M4:N4">
    <cfRule type="cellIs" dxfId="582" priority="911" operator="equal">
      <formula>0</formula>
    </cfRule>
    <cfRule type="cellIs" dxfId="581" priority="912" operator="equal">
      <formula>1</formula>
    </cfRule>
  </conditionalFormatting>
  <conditionalFormatting sqref="J38:K38">
    <cfRule type="cellIs" dxfId="580" priority="901" operator="equal">
      <formula>0</formula>
    </cfRule>
    <cfRule type="cellIs" dxfId="579" priority="902" operator="equal">
      <formula>1</formula>
    </cfRule>
  </conditionalFormatting>
  <conditionalFormatting sqref="K49">
    <cfRule type="cellIs" dxfId="578" priority="897" operator="equal">
      <formula>0</formula>
    </cfRule>
    <cfRule type="cellIs" dxfId="577" priority="898" operator="equal">
      <formula>1</formula>
    </cfRule>
  </conditionalFormatting>
  <conditionalFormatting sqref="K66">
    <cfRule type="cellIs" dxfId="576" priority="889" operator="equal">
      <formula>0</formula>
    </cfRule>
    <cfRule type="cellIs" dxfId="575" priority="890" operator="equal">
      <formula>1</formula>
    </cfRule>
  </conditionalFormatting>
  <conditionalFormatting sqref="K57">
    <cfRule type="cellIs" dxfId="574" priority="885" operator="equal">
      <formula>0</formula>
    </cfRule>
    <cfRule type="cellIs" dxfId="573" priority="886" operator="equal">
      <formula>1</formula>
    </cfRule>
  </conditionalFormatting>
  <conditionalFormatting sqref="J49">
    <cfRule type="cellIs" dxfId="572" priority="881" operator="equal">
      <formula>0</formula>
    </cfRule>
    <cfRule type="cellIs" dxfId="571" priority="882" operator="equal">
      <formula>1</formula>
    </cfRule>
  </conditionalFormatting>
  <conditionalFormatting sqref="J57">
    <cfRule type="cellIs" dxfId="570" priority="879" operator="equal">
      <formula>0</formula>
    </cfRule>
    <cfRule type="cellIs" dxfId="569" priority="880" operator="equal">
      <formula>1</formula>
    </cfRule>
  </conditionalFormatting>
  <conditionalFormatting sqref="J66">
    <cfRule type="cellIs" dxfId="568" priority="877" operator="equal">
      <formula>0</formula>
    </cfRule>
    <cfRule type="cellIs" dxfId="567" priority="878" operator="equal">
      <formula>1</formula>
    </cfRule>
  </conditionalFormatting>
  <conditionalFormatting sqref="K74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74">
    <cfRule type="cellIs" dxfId="564" priority="871" operator="equal">
      <formula>0</formula>
    </cfRule>
    <cfRule type="cellIs" dxfId="563" priority="872" operator="equal">
      <formula>1</formula>
    </cfRule>
  </conditionalFormatting>
  <conditionalFormatting sqref="R6:R116">
    <cfRule type="cellIs" dxfId="562" priority="869" operator="equal">
      <formula>0</formula>
    </cfRule>
    <cfRule type="cellIs" dxfId="561" priority="870" operator="equal">
      <formula>1</formula>
    </cfRule>
  </conditionalFormatting>
  <conditionalFormatting sqref="K83">
    <cfRule type="cellIs" dxfId="560" priority="851" operator="equal">
      <formula>0</formula>
    </cfRule>
    <cfRule type="cellIs" dxfId="559" priority="852" operator="equal">
      <formula>1</formula>
    </cfRule>
  </conditionalFormatting>
  <conditionalFormatting sqref="J83">
    <cfRule type="cellIs" dxfId="558" priority="849" operator="equal">
      <formula>0</formula>
    </cfRule>
    <cfRule type="cellIs" dxfId="557" priority="850" operator="equal">
      <formula>1</formula>
    </cfRule>
  </conditionalFormatting>
  <conditionalFormatting sqref="K97">
    <cfRule type="cellIs" dxfId="556" priority="845" operator="equal">
      <formula>0</formula>
    </cfRule>
    <cfRule type="cellIs" dxfId="555" priority="846" operator="equal">
      <formula>1</formula>
    </cfRule>
  </conditionalFormatting>
  <conditionalFormatting sqref="J97">
    <cfRule type="cellIs" dxfId="554" priority="843" operator="equal">
      <formula>0</formula>
    </cfRule>
    <cfRule type="cellIs" dxfId="553" priority="844" operator="equal">
      <formula>1</formula>
    </cfRule>
  </conditionalFormatting>
  <conditionalFormatting sqref="K105">
    <cfRule type="cellIs" dxfId="552" priority="833" operator="equal">
      <formula>0</formula>
    </cfRule>
    <cfRule type="cellIs" dxfId="551" priority="834" operator="equal">
      <formula>1</formula>
    </cfRule>
  </conditionalFormatting>
  <conditionalFormatting sqref="J105">
    <cfRule type="cellIs" dxfId="550" priority="831" operator="equal">
      <formula>0</formula>
    </cfRule>
    <cfRule type="cellIs" dxfId="549" priority="832" operator="equal">
      <formula>1</formula>
    </cfRule>
  </conditionalFormatting>
  <conditionalFormatting sqref="K113">
    <cfRule type="cellIs" dxfId="548" priority="827" operator="equal">
      <formula>0</formula>
    </cfRule>
    <cfRule type="cellIs" dxfId="547" priority="828" operator="equal">
      <formula>1</formula>
    </cfRule>
  </conditionalFormatting>
  <conditionalFormatting sqref="K125">
    <cfRule type="cellIs" dxfId="546" priority="789" operator="equal">
      <formula>0</formula>
    </cfRule>
    <cfRule type="cellIs" dxfId="545" priority="790" operator="equal">
      <formula>1</formula>
    </cfRule>
  </conditionalFormatting>
  <conditionalFormatting sqref="K135">
    <cfRule type="cellIs" dxfId="544" priority="775" operator="equal">
      <formula>0</formula>
    </cfRule>
    <cfRule type="cellIs" dxfId="543" priority="776" operator="equal">
      <formula>1</formula>
    </cfRule>
  </conditionalFormatting>
  <conditionalFormatting sqref="J125">
    <cfRule type="cellIs" dxfId="542" priority="769" operator="equal">
      <formula>0</formula>
    </cfRule>
    <cfRule type="cellIs" dxfId="541" priority="770" operator="equal">
      <formula>1</formula>
    </cfRule>
  </conditionalFormatting>
  <conditionalFormatting sqref="J135">
    <cfRule type="cellIs" dxfId="540" priority="767" operator="equal">
      <formula>0</formula>
    </cfRule>
    <cfRule type="cellIs" dxfId="539" priority="768" operator="equal">
      <formula>1</formula>
    </cfRule>
  </conditionalFormatting>
  <conditionalFormatting sqref="J113">
    <cfRule type="cellIs" dxfId="538" priority="765" operator="equal">
      <formula>0</formula>
    </cfRule>
    <cfRule type="cellIs" dxfId="537" priority="766" operator="equal">
      <formula>1</formula>
    </cfRule>
  </conditionalFormatting>
  <conditionalFormatting sqref="K148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48">
    <cfRule type="cellIs" dxfId="534" priority="757" operator="equal">
      <formula>0</formula>
    </cfRule>
    <cfRule type="cellIs" dxfId="533" priority="758" operator="equal">
      <formula>1</formula>
    </cfRule>
  </conditionalFormatting>
  <conditionalFormatting sqref="K163">
    <cfRule type="cellIs" dxfId="532" priority="753" operator="equal">
      <formula>0</formula>
    </cfRule>
    <cfRule type="cellIs" dxfId="531" priority="754" operator="equal">
      <formula>1</formula>
    </cfRule>
  </conditionalFormatting>
  <conditionalFormatting sqref="J163">
    <cfRule type="cellIs" dxfId="530" priority="751" operator="equal">
      <formula>0</formula>
    </cfRule>
    <cfRule type="cellIs" dxfId="529" priority="752" operator="equal">
      <formula>1</formula>
    </cfRule>
  </conditionalFormatting>
  <conditionalFormatting sqref="K174">
    <cfRule type="cellIs" dxfId="528" priority="747" operator="equal">
      <formula>0</formula>
    </cfRule>
    <cfRule type="cellIs" dxfId="527" priority="748" operator="equal">
      <formula>1</formula>
    </cfRule>
  </conditionalFormatting>
  <conditionalFormatting sqref="J174">
    <cfRule type="cellIs" dxfId="526" priority="745" operator="equal">
      <formula>0</formula>
    </cfRule>
    <cfRule type="cellIs" dxfId="525" priority="746" operator="equal">
      <formula>1</formula>
    </cfRule>
  </conditionalFormatting>
  <conditionalFormatting sqref="K184">
    <cfRule type="cellIs" dxfId="524" priority="735" operator="equal">
      <formula>0</formula>
    </cfRule>
    <cfRule type="cellIs" dxfId="523" priority="736" operator="equal">
      <formula>1</formula>
    </cfRule>
  </conditionalFormatting>
  <conditionalFormatting sqref="J184">
    <cfRule type="cellIs" dxfId="522" priority="733" operator="equal">
      <formula>0</formula>
    </cfRule>
    <cfRule type="cellIs" dxfId="521" priority="734" operator="equal">
      <formula>1</formula>
    </cfRule>
  </conditionalFormatting>
  <conditionalFormatting sqref="K194">
    <cfRule type="cellIs" dxfId="520" priority="729" operator="equal">
      <formula>0</formula>
    </cfRule>
    <cfRule type="cellIs" dxfId="519" priority="730" operator="equal">
      <formula>1</formula>
    </cfRule>
  </conditionalFormatting>
  <conditionalFormatting sqref="J194">
    <cfRule type="cellIs" dxfId="518" priority="727" operator="equal">
      <formula>0</formula>
    </cfRule>
    <cfRule type="cellIs" dxfId="517" priority="728" operator="equal">
      <formula>1</formula>
    </cfRule>
  </conditionalFormatting>
  <conditionalFormatting sqref="K204">
    <cfRule type="cellIs" dxfId="516" priority="723" operator="equal">
      <formula>0</formula>
    </cfRule>
    <cfRule type="cellIs" dxfId="515" priority="724" operator="equal">
      <formula>1</formula>
    </cfRule>
  </conditionalFormatting>
  <conditionalFormatting sqref="J204">
    <cfRule type="cellIs" dxfId="514" priority="721" operator="equal">
      <formula>0</formula>
    </cfRule>
    <cfRule type="cellIs" dxfId="513" priority="722" operator="equal">
      <formula>1</formula>
    </cfRule>
  </conditionalFormatting>
  <conditionalFormatting sqref="K211">
    <cfRule type="cellIs" dxfId="512" priority="717" operator="equal">
      <formula>0</formula>
    </cfRule>
    <cfRule type="cellIs" dxfId="511" priority="718" operator="equal">
      <formula>1</formula>
    </cfRule>
  </conditionalFormatting>
  <conditionalFormatting sqref="J211">
    <cfRule type="cellIs" dxfId="510" priority="715" operator="equal">
      <formula>0</formula>
    </cfRule>
    <cfRule type="cellIs" dxfId="509" priority="716" operator="equal">
      <formula>1</formula>
    </cfRule>
  </conditionalFormatting>
  <conditionalFormatting sqref="K224">
    <cfRule type="cellIs" dxfId="508" priority="711" operator="equal">
      <formula>0</formula>
    </cfRule>
    <cfRule type="cellIs" dxfId="507" priority="712" operator="equal">
      <formula>1</formula>
    </cfRule>
  </conditionalFormatting>
  <conditionalFormatting sqref="J224">
    <cfRule type="cellIs" dxfId="506" priority="709" operator="equal">
      <formula>0</formula>
    </cfRule>
    <cfRule type="cellIs" dxfId="505" priority="710" operator="equal">
      <formula>1</formula>
    </cfRule>
  </conditionalFormatting>
  <conditionalFormatting sqref="K240">
    <cfRule type="cellIs" dxfId="504" priority="705" operator="equal">
      <formula>0</formula>
    </cfRule>
    <cfRule type="cellIs" dxfId="503" priority="706" operator="equal">
      <formula>1</formula>
    </cfRule>
  </conditionalFormatting>
  <conditionalFormatting sqref="J240">
    <cfRule type="cellIs" dxfId="502" priority="703" operator="equal">
      <formula>0</formula>
    </cfRule>
    <cfRule type="cellIs" dxfId="501" priority="704" operator="equal">
      <formula>1</formula>
    </cfRule>
  </conditionalFormatting>
  <conditionalFormatting sqref="K253">
    <cfRule type="cellIs" dxfId="500" priority="699" operator="equal">
      <formula>0</formula>
    </cfRule>
    <cfRule type="cellIs" dxfId="499" priority="700" operator="equal">
      <formula>1</formula>
    </cfRule>
  </conditionalFormatting>
  <conditionalFormatting sqref="J253">
    <cfRule type="cellIs" dxfId="498" priority="697" operator="equal">
      <formula>0</formula>
    </cfRule>
    <cfRule type="cellIs" dxfId="497" priority="698" operator="equal">
      <formula>1</formula>
    </cfRule>
  </conditionalFormatting>
  <conditionalFormatting sqref="K259">
    <cfRule type="cellIs" dxfId="496" priority="681" operator="equal">
      <formula>0</formula>
    </cfRule>
    <cfRule type="cellIs" dxfId="495" priority="682" operator="equal">
      <formula>1</formula>
    </cfRule>
  </conditionalFormatting>
  <conditionalFormatting sqref="J259">
    <cfRule type="cellIs" dxfId="494" priority="679" operator="equal">
      <formula>0</formula>
    </cfRule>
    <cfRule type="cellIs" dxfId="493" priority="680" operator="equal">
      <formula>1</formula>
    </cfRule>
  </conditionalFormatting>
  <conditionalFormatting sqref="K265">
    <cfRule type="cellIs" dxfId="492" priority="675" operator="equal">
      <formula>0</formula>
    </cfRule>
    <cfRule type="cellIs" dxfId="491" priority="676" operator="equal">
      <formula>1</formula>
    </cfRule>
  </conditionalFormatting>
  <conditionalFormatting sqref="J265">
    <cfRule type="cellIs" dxfId="490" priority="673" operator="equal">
      <formula>0</formula>
    </cfRule>
    <cfRule type="cellIs" dxfId="489" priority="674" operator="equal">
      <formula>1</formula>
    </cfRule>
  </conditionalFormatting>
  <conditionalFormatting sqref="K273">
    <cfRule type="cellIs" dxfId="488" priority="669" operator="equal">
      <formula>0</formula>
    </cfRule>
    <cfRule type="cellIs" dxfId="487" priority="670" operator="equal">
      <formula>1</formula>
    </cfRule>
  </conditionalFormatting>
  <conditionalFormatting sqref="J273">
    <cfRule type="cellIs" dxfId="486" priority="667" operator="equal">
      <formula>0</formula>
    </cfRule>
    <cfRule type="cellIs" dxfId="485" priority="668" operator="equal">
      <formula>1</formula>
    </cfRule>
  </conditionalFormatting>
  <conditionalFormatting sqref="K281">
    <cfRule type="cellIs" dxfId="484" priority="663" operator="equal">
      <formula>0</formula>
    </cfRule>
    <cfRule type="cellIs" dxfId="483" priority="664" operator="equal">
      <formula>1</formula>
    </cfRule>
  </conditionalFormatting>
  <conditionalFormatting sqref="J281">
    <cfRule type="cellIs" dxfId="482" priority="661" operator="equal">
      <formula>0</formula>
    </cfRule>
    <cfRule type="cellIs" dxfId="481" priority="662" operator="equal">
      <formula>1</formula>
    </cfRule>
  </conditionalFormatting>
  <conditionalFormatting sqref="K290">
    <cfRule type="cellIs" dxfId="480" priority="657" operator="equal">
      <formula>0</formula>
    </cfRule>
    <cfRule type="cellIs" dxfId="479" priority="658" operator="equal">
      <formula>1</formula>
    </cfRule>
  </conditionalFormatting>
  <conditionalFormatting sqref="J290">
    <cfRule type="cellIs" dxfId="478" priority="655" operator="equal">
      <formula>0</formula>
    </cfRule>
    <cfRule type="cellIs" dxfId="477" priority="656" operator="equal">
      <formula>1</formula>
    </cfRule>
  </conditionalFormatting>
  <conditionalFormatting sqref="K299">
    <cfRule type="cellIs" dxfId="476" priority="651" operator="equal">
      <formula>0</formula>
    </cfRule>
    <cfRule type="cellIs" dxfId="475" priority="652" operator="equal">
      <formula>1</formula>
    </cfRule>
  </conditionalFormatting>
  <conditionalFormatting sqref="J299">
    <cfRule type="cellIs" dxfId="474" priority="649" operator="equal">
      <formula>0</formula>
    </cfRule>
    <cfRule type="cellIs" dxfId="473" priority="650" operator="equal">
      <formula>1</formula>
    </cfRule>
  </conditionalFormatting>
  <conditionalFormatting sqref="K308">
    <cfRule type="cellIs" dxfId="472" priority="645" operator="equal">
      <formula>0</formula>
    </cfRule>
    <cfRule type="cellIs" dxfId="471" priority="646" operator="equal">
      <formula>1</formula>
    </cfRule>
  </conditionalFormatting>
  <conditionalFormatting sqref="J308">
    <cfRule type="cellIs" dxfId="470" priority="643" operator="equal">
      <formula>0</formula>
    </cfRule>
    <cfRule type="cellIs" dxfId="469" priority="644" operator="equal">
      <formula>1</formula>
    </cfRule>
  </conditionalFormatting>
  <conditionalFormatting sqref="K317">
    <cfRule type="cellIs" dxfId="468" priority="639" operator="equal">
      <formula>0</formula>
    </cfRule>
    <cfRule type="cellIs" dxfId="467" priority="640" operator="equal">
      <formula>1</formula>
    </cfRule>
  </conditionalFormatting>
  <conditionalFormatting sqref="K326">
    <cfRule type="cellIs" dxfId="466" priority="633" operator="equal">
      <formula>0</formula>
    </cfRule>
    <cfRule type="cellIs" dxfId="465" priority="634" operator="equal">
      <formula>1</formula>
    </cfRule>
  </conditionalFormatting>
  <conditionalFormatting sqref="K335">
    <cfRule type="cellIs" dxfId="464" priority="627" operator="equal">
      <formula>0</formula>
    </cfRule>
    <cfRule type="cellIs" dxfId="463" priority="628" operator="equal">
      <formula>1</formula>
    </cfRule>
  </conditionalFormatting>
  <conditionalFormatting sqref="K344">
    <cfRule type="cellIs" dxfId="462" priority="621" operator="equal">
      <formula>0</formula>
    </cfRule>
    <cfRule type="cellIs" dxfId="461" priority="622" operator="equal">
      <formula>1</formula>
    </cfRule>
  </conditionalFormatting>
  <conditionalFormatting sqref="K353">
    <cfRule type="cellIs" dxfId="460" priority="615" operator="equal">
      <formula>0</formula>
    </cfRule>
    <cfRule type="cellIs" dxfId="459" priority="616" operator="equal">
      <formula>1</formula>
    </cfRule>
  </conditionalFormatting>
  <conditionalFormatting sqref="K362">
    <cfRule type="cellIs" dxfId="458" priority="609" operator="equal">
      <formula>0</formula>
    </cfRule>
    <cfRule type="cellIs" dxfId="457" priority="610" operator="equal">
      <formula>1</formula>
    </cfRule>
  </conditionalFormatting>
  <conditionalFormatting sqref="K371">
    <cfRule type="cellIs" dxfId="456" priority="603" operator="equal">
      <formula>0</formula>
    </cfRule>
    <cfRule type="cellIs" dxfId="455" priority="604" operator="equal">
      <formula>1</formula>
    </cfRule>
  </conditionalFormatting>
  <conditionalFormatting sqref="J371">
    <cfRule type="cellIs" dxfId="454" priority="601" operator="equal">
      <formula>0</formula>
    </cfRule>
    <cfRule type="cellIs" dxfId="453" priority="602" operator="equal">
      <formula>1</formula>
    </cfRule>
  </conditionalFormatting>
  <conditionalFormatting sqref="K380">
    <cfRule type="cellIs" dxfId="452" priority="597" operator="equal">
      <formula>0</formula>
    </cfRule>
    <cfRule type="cellIs" dxfId="451" priority="598" operator="equal">
      <formula>1</formula>
    </cfRule>
  </conditionalFormatting>
  <conditionalFormatting sqref="J380">
    <cfRule type="cellIs" dxfId="450" priority="595" operator="equal">
      <formula>0</formula>
    </cfRule>
    <cfRule type="cellIs" dxfId="449" priority="596" operator="equal">
      <formula>1</formula>
    </cfRule>
  </conditionalFormatting>
  <conditionalFormatting sqref="K389">
    <cfRule type="cellIs" dxfId="448" priority="591" operator="equal">
      <formula>0</formula>
    </cfRule>
    <cfRule type="cellIs" dxfId="447" priority="592" operator="equal">
      <formula>1</formula>
    </cfRule>
  </conditionalFormatting>
  <conditionalFormatting sqref="K398">
    <cfRule type="cellIs" dxfId="446" priority="585" operator="equal">
      <formula>0</formula>
    </cfRule>
    <cfRule type="cellIs" dxfId="445" priority="586" operator="equal">
      <formula>1</formula>
    </cfRule>
  </conditionalFormatting>
  <conditionalFormatting sqref="K407">
    <cfRule type="cellIs" dxfId="444" priority="579" operator="equal">
      <formula>0</formula>
    </cfRule>
    <cfRule type="cellIs" dxfId="443" priority="580" operator="equal">
      <formula>1</formula>
    </cfRule>
  </conditionalFormatting>
  <conditionalFormatting sqref="K416">
    <cfRule type="cellIs" dxfId="442" priority="573" operator="equal">
      <formula>0</formula>
    </cfRule>
    <cfRule type="cellIs" dxfId="441" priority="574" operator="equal">
      <formula>1</formula>
    </cfRule>
  </conditionalFormatting>
  <conditionalFormatting sqref="J416">
    <cfRule type="cellIs" dxfId="440" priority="571" operator="equal">
      <formula>0</formula>
    </cfRule>
    <cfRule type="cellIs" dxfId="439" priority="572" operator="equal">
      <formula>1</formula>
    </cfRule>
  </conditionalFormatting>
  <conditionalFormatting sqref="K427">
    <cfRule type="cellIs" dxfId="438" priority="567" operator="equal">
      <formula>0</formula>
    </cfRule>
    <cfRule type="cellIs" dxfId="437" priority="568" operator="equal">
      <formula>1</formula>
    </cfRule>
  </conditionalFormatting>
  <conditionalFormatting sqref="K436">
    <cfRule type="cellIs" dxfId="436" priority="561" operator="equal">
      <formula>0</formula>
    </cfRule>
    <cfRule type="cellIs" dxfId="435" priority="562" operator="equal">
      <formula>1</formula>
    </cfRule>
  </conditionalFormatting>
  <conditionalFormatting sqref="K445">
    <cfRule type="cellIs" dxfId="434" priority="555" operator="equal">
      <formula>0</formula>
    </cfRule>
    <cfRule type="cellIs" dxfId="433" priority="556" operator="equal">
      <formula>1</formula>
    </cfRule>
  </conditionalFormatting>
  <conditionalFormatting sqref="J445">
    <cfRule type="cellIs" dxfId="432" priority="553" operator="equal">
      <formula>0</formula>
    </cfRule>
    <cfRule type="cellIs" dxfId="431" priority="554" operator="equal">
      <formula>1</formula>
    </cfRule>
  </conditionalFormatting>
  <conditionalFormatting sqref="K460">
    <cfRule type="cellIs" dxfId="430" priority="549" operator="equal">
      <formula>0</formula>
    </cfRule>
    <cfRule type="cellIs" dxfId="429" priority="550" operator="equal">
      <formula>1</formula>
    </cfRule>
  </conditionalFormatting>
  <conditionalFormatting sqref="J460">
    <cfRule type="cellIs" dxfId="428" priority="547" operator="equal">
      <formula>0</formula>
    </cfRule>
    <cfRule type="cellIs" dxfId="427" priority="548" operator="equal">
      <formula>1</formula>
    </cfRule>
  </conditionalFormatting>
  <conditionalFormatting sqref="K467">
    <cfRule type="cellIs" dxfId="426" priority="543" operator="equal">
      <formula>0</formula>
    </cfRule>
    <cfRule type="cellIs" dxfId="425" priority="544" operator="equal">
      <formula>1</formula>
    </cfRule>
  </conditionalFormatting>
  <conditionalFormatting sqref="J467">
    <cfRule type="cellIs" dxfId="424" priority="541" operator="equal">
      <formula>0</formula>
    </cfRule>
    <cfRule type="cellIs" dxfId="423" priority="542" operator="equal">
      <formula>1</formula>
    </cfRule>
  </conditionalFormatting>
  <conditionalFormatting sqref="K478">
    <cfRule type="cellIs" dxfId="422" priority="537" operator="equal">
      <formula>0</formula>
    </cfRule>
    <cfRule type="cellIs" dxfId="421" priority="538" operator="equal">
      <formula>1</formula>
    </cfRule>
  </conditionalFormatting>
  <conditionalFormatting sqref="J478">
    <cfRule type="cellIs" dxfId="420" priority="535" operator="equal">
      <formula>0</formula>
    </cfRule>
    <cfRule type="cellIs" dxfId="419" priority="536" operator="equal">
      <formula>1</formula>
    </cfRule>
  </conditionalFormatting>
  <conditionalFormatting sqref="K483">
    <cfRule type="cellIs" dxfId="418" priority="531" operator="equal">
      <formula>0</formula>
    </cfRule>
    <cfRule type="cellIs" dxfId="417" priority="532" operator="equal">
      <formula>1</formula>
    </cfRule>
  </conditionalFormatting>
  <conditionalFormatting sqref="J483">
    <cfRule type="cellIs" dxfId="416" priority="529" operator="equal">
      <formula>0</formula>
    </cfRule>
    <cfRule type="cellIs" dxfId="415" priority="530" operator="equal">
      <formula>1</formula>
    </cfRule>
  </conditionalFormatting>
  <conditionalFormatting sqref="K490">
    <cfRule type="cellIs" dxfId="414" priority="525" operator="equal">
      <formula>0</formula>
    </cfRule>
    <cfRule type="cellIs" dxfId="413" priority="526" operator="equal">
      <formula>1</formula>
    </cfRule>
  </conditionalFormatting>
  <conditionalFormatting sqref="J490">
    <cfRule type="cellIs" dxfId="412" priority="523" operator="equal">
      <formula>0</formula>
    </cfRule>
    <cfRule type="cellIs" dxfId="411" priority="524" operator="equal">
      <formula>1</formula>
    </cfRule>
  </conditionalFormatting>
  <conditionalFormatting sqref="K500">
    <cfRule type="cellIs" dxfId="410" priority="519" operator="equal">
      <formula>0</formula>
    </cfRule>
    <cfRule type="cellIs" dxfId="409" priority="520" operator="equal">
      <formula>1</formula>
    </cfRule>
  </conditionalFormatting>
  <conditionalFormatting sqref="J500">
    <cfRule type="cellIs" dxfId="408" priority="517" operator="equal">
      <formula>0</formula>
    </cfRule>
    <cfRule type="cellIs" dxfId="407" priority="518" operator="equal">
      <formula>1</formula>
    </cfRule>
  </conditionalFormatting>
  <conditionalFormatting sqref="E518:G528">
    <cfRule type="expression" dxfId="406" priority="514">
      <formula>$N518=$E$13</formula>
    </cfRule>
  </conditionalFormatting>
  <conditionalFormatting sqref="D518:G528">
    <cfRule type="containsText" dxfId="405" priority="513" operator="containsText" text=" ">
      <formula>NOT(ISERROR(SEARCH(" ",D518)))</formula>
    </cfRule>
  </conditionalFormatting>
  <conditionalFormatting sqref="D518:G528">
    <cfRule type="expression" dxfId="404" priority="512">
      <formula>$E$13=$N518</formula>
    </cfRule>
  </conditionalFormatting>
  <conditionalFormatting sqref="K530">
    <cfRule type="cellIs" dxfId="403" priority="510" operator="equal">
      <formula>0</formula>
    </cfRule>
    <cfRule type="cellIs" dxfId="402" priority="511" operator="equal">
      <formula>1</formula>
    </cfRule>
  </conditionalFormatting>
  <conditionalFormatting sqref="J530">
    <cfRule type="cellIs" dxfId="401" priority="508" operator="equal">
      <formula>0</formula>
    </cfRule>
    <cfRule type="cellIs" dxfId="400" priority="509" operator="equal">
      <formula>1</formula>
    </cfRule>
  </conditionalFormatting>
  <conditionalFormatting sqref="S6:S116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M11:N11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M16:N16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M29:N29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38:N38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49:N49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57:N57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66:N66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74:N74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83:N83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97:N97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105:N105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113:N11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125:N125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35:N13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48:N148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63:N163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74:N174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84:N184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94:N194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204:N20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211:N211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224:N22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40:N240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53:N253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59:N259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65:N265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73:N27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81:N281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90:N290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99:N299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308:N308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317:N317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326:N326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35:N335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44:N344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53:N353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62:N362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71:N371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80:N380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89:N389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98:N398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407:N407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416:N416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427:N427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36:N436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45:N445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60:N460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67:N467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78:N478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83:N483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90:N490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500:N500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530:N53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Y1:AF3">
    <cfRule type="cellIs" dxfId="291" priority="392" operator="equal">
      <formula>0</formula>
    </cfRule>
    <cfRule type="cellIs" dxfId="290" priority="393" operator="equal">
      <formula>1</formula>
    </cfRule>
  </conditionalFormatting>
  <conditionalFormatting sqref="K545">
    <cfRule type="cellIs" dxfId="289" priority="390" operator="equal">
      <formula>0</formula>
    </cfRule>
    <cfRule type="cellIs" dxfId="288" priority="391" operator="equal">
      <formula>1</formula>
    </cfRule>
  </conditionalFormatting>
  <conditionalFormatting sqref="J545">
    <cfRule type="cellIs" dxfId="287" priority="388" operator="equal">
      <formula>0</formula>
    </cfRule>
    <cfRule type="cellIs" dxfId="286" priority="389" operator="equal">
      <formula>1</formula>
    </cfRule>
  </conditionalFormatting>
  <conditionalFormatting sqref="M545:N545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64">
    <cfRule type="cellIs" dxfId="283" priority="375" operator="equal">
      <formula>0</formula>
    </cfRule>
    <cfRule type="cellIs" dxfId="282" priority="376" operator="equal">
      <formula>1</formula>
    </cfRule>
  </conditionalFormatting>
  <conditionalFormatting sqref="J564">
    <cfRule type="cellIs" dxfId="281" priority="373" operator="equal">
      <formula>0</formula>
    </cfRule>
    <cfRule type="cellIs" dxfId="280" priority="374" operator="equal">
      <formula>1</formula>
    </cfRule>
  </conditionalFormatting>
  <conditionalFormatting sqref="M564:N564">
    <cfRule type="cellIs" dxfId="279" priority="371" operator="equal">
      <formula>0</formula>
    </cfRule>
    <cfRule type="cellIs" dxfId="278" priority="372" operator="equal">
      <formula>1</formula>
    </cfRule>
  </conditionalFormatting>
  <conditionalFormatting sqref="K575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75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75:N575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86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86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86:N586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J317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32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J335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44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53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62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89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98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407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427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436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K593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593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M593:N593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600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600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600:N600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7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7">
    <cfRule type="cellIs" dxfId="229" priority="317" operator="equal">
      <formula>0</formula>
    </cfRule>
    <cfRule type="cellIs" dxfId="228" priority="318" operator="equal">
      <formula>1</formula>
    </cfRule>
  </conditionalFormatting>
  <conditionalFormatting sqref="M607:N607">
    <cfRule type="cellIs" dxfId="227" priority="315" operator="equal">
      <formula>0</formula>
    </cfRule>
    <cfRule type="cellIs" dxfId="226" priority="316" operator="equal">
      <formula>1</formula>
    </cfRule>
  </conditionalFormatting>
  <conditionalFormatting sqref="K614">
    <cfRule type="cellIs" dxfId="225" priority="313" operator="equal">
      <formula>0</formula>
    </cfRule>
    <cfRule type="cellIs" dxfId="224" priority="314" operator="equal">
      <formula>1</formula>
    </cfRule>
  </conditionalFormatting>
  <conditionalFormatting sqref="J614">
    <cfRule type="cellIs" dxfId="223" priority="307" operator="equal">
      <formula>0</formula>
    </cfRule>
    <cfRule type="cellIs" dxfId="222" priority="308" operator="equal">
      <formula>1</formula>
    </cfRule>
  </conditionalFormatting>
  <conditionalFormatting sqref="M614:N614">
    <cfRule type="cellIs" dxfId="221" priority="305" operator="equal">
      <formula>0</formula>
    </cfRule>
    <cfRule type="cellIs" dxfId="220" priority="306" operator="equal">
      <formula>1</formula>
    </cfRule>
  </conditionalFormatting>
  <conditionalFormatting sqref="K621">
    <cfRule type="cellIs" dxfId="219" priority="303" operator="equal">
      <formula>0</formula>
    </cfRule>
    <cfRule type="cellIs" dxfId="218" priority="304" operator="equal">
      <formula>1</formula>
    </cfRule>
  </conditionalFormatting>
  <conditionalFormatting sqref="J621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M621:N621">
    <cfRule type="cellIs" dxfId="215" priority="295" operator="equal">
      <formula>0</formula>
    </cfRule>
    <cfRule type="cellIs" dxfId="214" priority="296" operator="equal">
      <formula>1</formula>
    </cfRule>
  </conditionalFormatting>
  <conditionalFormatting sqref="K629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K647">
    <cfRule type="cellIs" dxfId="211" priority="281" operator="equal">
      <formula>0</formula>
    </cfRule>
    <cfRule type="cellIs" dxfId="210" priority="282" operator="equal">
      <formula>1</formula>
    </cfRule>
  </conditionalFormatting>
  <conditionalFormatting sqref="K655">
    <cfRule type="cellIs" dxfId="209" priority="275" operator="equal">
      <formula>0</formula>
    </cfRule>
    <cfRule type="cellIs" dxfId="208" priority="276" operator="equal">
      <formula>1</formula>
    </cfRule>
  </conditionalFormatting>
  <conditionalFormatting sqref="K663">
    <cfRule type="cellIs" dxfId="207" priority="269" operator="equal">
      <formula>0</formula>
    </cfRule>
    <cfRule type="cellIs" dxfId="206" priority="270" operator="equal">
      <formula>1</formula>
    </cfRule>
  </conditionalFormatting>
  <conditionalFormatting sqref="K672">
    <cfRule type="cellIs" dxfId="205" priority="263" operator="equal">
      <formula>0</formula>
    </cfRule>
    <cfRule type="cellIs" dxfId="204" priority="264" operator="equal">
      <formula>1</formula>
    </cfRule>
  </conditionalFormatting>
  <conditionalFormatting sqref="K681">
    <cfRule type="cellIs" dxfId="203" priority="257" operator="equal">
      <formula>0</formula>
    </cfRule>
    <cfRule type="cellIs" dxfId="202" priority="258" operator="equal">
      <formula>1</formula>
    </cfRule>
  </conditionalFormatting>
  <conditionalFormatting sqref="K690">
    <cfRule type="cellIs" dxfId="201" priority="251" operator="equal">
      <formula>0</formula>
    </cfRule>
    <cfRule type="cellIs" dxfId="200" priority="252" operator="equal">
      <formula>1</formula>
    </cfRule>
  </conditionalFormatting>
  <conditionalFormatting sqref="K699">
    <cfRule type="cellIs" dxfId="199" priority="245" operator="equal">
      <formula>0</formula>
    </cfRule>
    <cfRule type="cellIs" dxfId="198" priority="246" operator="equal">
      <formula>1</formula>
    </cfRule>
  </conditionalFormatting>
  <conditionalFormatting sqref="K708">
    <cfRule type="cellIs" dxfId="197" priority="239" operator="equal">
      <formula>0</formula>
    </cfRule>
    <cfRule type="cellIs" dxfId="196" priority="240" operator="equal">
      <formula>1</formula>
    </cfRule>
  </conditionalFormatting>
  <conditionalFormatting sqref="K717">
    <cfRule type="cellIs" dxfId="195" priority="233" operator="equal">
      <formula>0</formula>
    </cfRule>
    <cfRule type="cellIs" dxfId="194" priority="234" operator="equal">
      <formula>1</formula>
    </cfRule>
  </conditionalFormatting>
  <conditionalFormatting sqref="K726">
    <cfRule type="cellIs" dxfId="193" priority="227" operator="equal">
      <formula>0</formula>
    </cfRule>
    <cfRule type="cellIs" dxfId="192" priority="228" operator="equal">
      <formula>1</formula>
    </cfRule>
  </conditionalFormatting>
  <conditionalFormatting sqref="K735">
    <cfRule type="cellIs" dxfId="191" priority="221" operator="equal">
      <formula>0</formula>
    </cfRule>
    <cfRule type="cellIs" dxfId="190" priority="222" operator="equal">
      <formula>1</formula>
    </cfRule>
  </conditionalFormatting>
  <conditionalFormatting sqref="K744">
    <cfRule type="cellIs" dxfId="189" priority="215" operator="equal">
      <formula>0</formula>
    </cfRule>
    <cfRule type="cellIs" dxfId="188" priority="216" operator="equal">
      <formula>1</formula>
    </cfRule>
  </conditionalFormatting>
  <conditionalFormatting sqref="K753">
    <cfRule type="cellIs" dxfId="187" priority="209" operator="equal">
      <formula>0</formula>
    </cfRule>
    <cfRule type="cellIs" dxfId="186" priority="210" operator="equal">
      <formula>1</formula>
    </cfRule>
  </conditionalFormatting>
  <conditionalFormatting sqref="K762">
    <cfRule type="cellIs" dxfId="185" priority="203" operator="equal">
      <formula>0</formula>
    </cfRule>
    <cfRule type="cellIs" dxfId="184" priority="204" operator="equal">
      <formula>1</formula>
    </cfRule>
  </conditionalFormatting>
  <conditionalFormatting sqref="K770">
    <cfRule type="cellIs" dxfId="183" priority="197" operator="equal">
      <formula>0</formula>
    </cfRule>
    <cfRule type="cellIs" dxfId="182" priority="198" operator="equal">
      <formula>1</formula>
    </cfRule>
  </conditionalFormatting>
  <conditionalFormatting sqref="K782">
    <cfRule type="cellIs" dxfId="181" priority="191" operator="equal">
      <formula>0</formula>
    </cfRule>
    <cfRule type="cellIs" dxfId="180" priority="192" operator="equal">
      <formula>1</formula>
    </cfRule>
  </conditionalFormatting>
  <conditionalFormatting sqref="K793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K63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J629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629:N629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637:N637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M647:N647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55:N655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63:N66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72:N672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81:N68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90:N690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99:N699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708:N708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717:N717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726:N726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35:N735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44:N744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53:N7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62:N762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70:N770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82:N782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93:N79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637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J647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J655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63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J672">
    <cfRule type="cellIs" dxfId="127" priority="123" operator="equal">
      <formula>0</formula>
    </cfRule>
    <cfRule type="cellIs" dxfId="126" priority="124" operator="equal">
      <formula>1</formula>
    </cfRule>
  </conditionalFormatting>
  <conditionalFormatting sqref="J681">
    <cfRule type="cellIs" dxfId="125" priority="121" operator="equal">
      <formula>0</formula>
    </cfRule>
    <cfRule type="cellIs" dxfId="124" priority="122" operator="equal">
      <formula>1</formula>
    </cfRule>
  </conditionalFormatting>
  <conditionalFormatting sqref="J690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99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708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717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726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35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44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53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93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62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70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82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K801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801:N801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801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10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10:N810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10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5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5:N815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5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21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21:N821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21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7:N827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7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3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33:N833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33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43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M843:N843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843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84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M849:N84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84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85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855:N85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85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861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861:N861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861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67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67:N867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67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7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73:N873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73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7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79:N87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7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85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85:N885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8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91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91:N891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91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97">
    <cfRule type="cellIs" dxfId="5" priority="5" operator="equal">
      <formula>0</formula>
    </cfRule>
    <cfRule type="cellIs" dxfId="4" priority="6" operator="equal">
      <formula>1</formula>
    </cfRule>
  </conditionalFormatting>
  <conditionalFormatting sqref="J897">
    <cfRule type="cellIs" dxfId="3" priority="3" operator="equal">
      <formula>0</formula>
    </cfRule>
    <cfRule type="cellIs" dxfId="2" priority="4" operator="equal">
      <formula>1</formula>
    </cfRule>
  </conditionalFormatting>
  <conditionalFormatting sqref="M897:N897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180" activePane="bottomRight" state="frozen"/>
      <selection pane="topRight" activeCell="C1" sqref="C1"/>
      <selection pane="bottomLeft" activeCell="A2" sqref="A2"/>
      <selection pane="bottomRight" activeCell="A197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110</v>
      </c>
      <c r="B2" s="55" t="s">
        <v>221</v>
      </c>
      <c r="C2" s="55">
        <f t="shared" ref="C2:C65" si="0">COUNTA(D2:E2)</f>
        <v>0</v>
      </c>
      <c r="D2" s="6"/>
      <c r="E2" s="6"/>
      <c r="F2" s="6">
        <v>1</v>
      </c>
      <c r="G2" s="6">
        <v>4</v>
      </c>
      <c r="H2" s="6" t="s">
        <v>507</v>
      </c>
    </row>
    <row r="3" spans="1:8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</row>
    <row r="4" spans="1:8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</row>
    <row r="5" spans="1:8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</row>
    <row r="6" spans="1:8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</row>
    <row r="7" spans="1:8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</row>
    <row r="8" spans="1:8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</row>
    <row r="9" spans="1:8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</row>
    <row r="10" spans="1:8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</row>
    <row r="11" spans="1:8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</row>
    <row r="12" spans="1:8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</row>
    <row r="13" spans="1:8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</row>
    <row r="14" spans="1:8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</row>
    <row r="15" spans="1:8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</row>
    <row r="16" spans="1:8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</row>
    <row r="17" spans="1:8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</row>
    <row r="18" spans="1:8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</row>
    <row r="19" spans="1:8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</row>
    <row r="20" spans="1:8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</row>
    <row r="21" spans="1:8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</row>
    <row r="22" spans="1:8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</row>
    <row r="23" spans="1:8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</row>
    <row r="24" spans="1:8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</row>
    <row r="25" spans="1:8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</row>
    <row r="26" spans="1:8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</row>
    <row r="27" spans="1:8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</row>
    <row r="28" spans="1:8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</row>
    <row r="29" spans="1:8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</row>
    <row r="30" spans="1:8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</row>
    <row r="31" spans="1:8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</row>
    <row r="32" spans="1:8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</row>
    <row r="33" spans="1:8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</row>
    <row r="34" spans="1:8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</row>
    <row r="35" spans="1:8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</row>
    <row r="36" spans="1:8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</row>
    <row r="37" spans="1:8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</row>
    <row r="38" spans="1:8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</row>
    <row r="39" spans="1:8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</row>
    <row r="40" spans="1:8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</row>
    <row r="41" spans="1:8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</row>
    <row r="42" spans="1:8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</row>
    <row r="43" spans="1:8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</row>
    <row r="44" spans="1:8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</row>
    <row r="45" spans="1:8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</row>
    <row r="46" spans="1:8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</row>
    <row r="47" spans="1:8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</row>
    <row r="48" spans="1:8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</row>
    <row r="49" spans="1:8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</row>
    <row r="50" spans="1:8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</row>
    <row r="51" spans="1:8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</row>
    <row r="52" spans="1:8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</row>
    <row r="53" spans="1:8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</row>
    <row r="54" spans="1:8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</row>
    <row r="55" spans="1:8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</row>
    <row r="56" spans="1:8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</row>
    <row r="57" spans="1:8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</row>
    <row r="58" spans="1:8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</row>
    <row r="59" spans="1:8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</row>
    <row r="60" spans="1:8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</row>
    <row r="61" spans="1:8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</row>
    <row r="62" spans="1:8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</row>
    <row r="65" spans="1:8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</row>
    <row r="66" spans="1:8">
      <c r="A66" s="6" t="s">
        <v>187</v>
      </c>
      <c r="B66" s="55" t="s">
        <v>916</v>
      </c>
      <c r="C66" s="55">
        <f t="shared" ref="C66:C129" si="1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</row>
    <row r="67" spans="1:8">
      <c r="A67" s="6" t="s">
        <v>187</v>
      </c>
      <c r="B67" s="55" t="s">
        <v>917</v>
      </c>
      <c r="C67" s="55">
        <f t="shared" si="1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</row>
    <row r="68" spans="1:8">
      <c r="A68" s="6" t="s">
        <v>187</v>
      </c>
      <c r="B68" s="55" t="s">
        <v>491</v>
      </c>
      <c r="C68" s="55">
        <f t="shared" si="1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</row>
    <row r="69" spans="1:8">
      <c r="A69" s="6" t="s">
        <v>187</v>
      </c>
      <c r="B69" s="55" t="s">
        <v>918</v>
      </c>
      <c r="C69" s="55">
        <f t="shared" si="1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</row>
    <row r="70" spans="1:8">
      <c r="A70" s="6" t="s">
        <v>187</v>
      </c>
      <c r="B70" s="55" t="s">
        <v>919</v>
      </c>
      <c r="C70" s="55">
        <f t="shared" si="1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</row>
    <row r="71" spans="1:8">
      <c r="A71" s="6" t="s">
        <v>187</v>
      </c>
      <c r="B71" s="55" t="s">
        <v>920</v>
      </c>
      <c r="C71" s="55">
        <f t="shared" si="1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</row>
    <row r="72" spans="1:8">
      <c r="A72" s="6" t="s">
        <v>187</v>
      </c>
      <c r="B72" s="55" t="s">
        <v>921</v>
      </c>
      <c r="C72" s="55">
        <f t="shared" si="1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</row>
    <row r="73" spans="1:8">
      <c r="A73" s="6" t="s">
        <v>187</v>
      </c>
      <c r="B73" s="55" t="s">
        <v>922</v>
      </c>
      <c r="C73" s="55">
        <f t="shared" si="1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</row>
    <row r="74" spans="1:8">
      <c r="A74" s="6" t="s">
        <v>187</v>
      </c>
      <c r="B74" s="55" t="s">
        <v>923</v>
      </c>
      <c r="C74" s="55">
        <f t="shared" si="1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</row>
    <row r="75" spans="1:8">
      <c r="A75" s="6" t="s">
        <v>187</v>
      </c>
      <c r="B75" s="55" t="s">
        <v>924</v>
      </c>
      <c r="C75" s="55">
        <f t="shared" si="1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</row>
    <row r="76" spans="1:8">
      <c r="A76" s="6" t="s">
        <v>187</v>
      </c>
      <c r="B76" s="55" t="s">
        <v>591</v>
      </c>
      <c r="C76" s="55">
        <f t="shared" si="1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</row>
    <row r="77" spans="1:8">
      <c r="A77" s="6" t="s">
        <v>187</v>
      </c>
      <c r="B77" s="55" t="s">
        <v>593</v>
      </c>
      <c r="C77" s="55">
        <f t="shared" si="1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</row>
    <row r="78" spans="1:8">
      <c r="A78" s="6" t="s">
        <v>187</v>
      </c>
      <c r="B78" s="55" t="s">
        <v>595</v>
      </c>
      <c r="C78" s="55">
        <f t="shared" si="1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</row>
    <row r="79" spans="1:8">
      <c r="A79" s="6" t="s">
        <v>187</v>
      </c>
      <c r="B79" s="55" t="s">
        <v>597</v>
      </c>
      <c r="C79" s="55">
        <f t="shared" si="1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</row>
    <row r="80" spans="1:8">
      <c r="A80" s="6" t="s">
        <v>187</v>
      </c>
      <c r="B80" s="55" t="s">
        <v>599</v>
      </c>
      <c r="C80" s="55">
        <f t="shared" si="1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</row>
    <row r="81" spans="1:8">
      <c r="A81" s="6" t="s">
        <v>187</v>
      </c>
      <c r="B81" s="55" t="s">
        <v>601</v>
      </c>
      <c r="C81" s="55">
        <f t="shared" si="1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</row>
    <row r="82" spans="1:8">
      <c r="A82" s="6" t="s">
        <v>187</v>
      </c>
      <c r="B82" s="55" t="s">
        <v>925</v>
      </c>
      <c r="C82" s="55">
        <f t="shared" si="1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</row>
    <row r="83" spans="1:8">
      <c r="A83" s="6" t="s">
        <v>187</v>
      </c>
      <c r="B83" s="55" t="s">
        <v>926</v>
      </c>
      <c r="C83" s="55">
        <f t="shared" si="1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</row>
    <row r="84" spans="1:8">
      <c r="A84" s="6" t="s">
        <v>187</v>
      </c>
      <c r="B84" s="55" t="s">
        <v>927</v>
      </c>
      <c r="C84" s="55">
        <f t="shared" si="1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</row>
    <row r="85" spans="1:8">
      <c r="A85" s="6" t="s">
        <v>187</v>
      </c>
      <c r="B85" s="55" t="s">
        <v>928</v>
      </c>
      <c r="C85" s="55">
        <f t="shared" si="1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</row>
    <row r="86" spans="1:8">
      <c r="A86" s="6" t="s">
        <v>187</v>
      </c>
      <c r="B86" s="55" t="s">
        <v>929</v>
      </c>
      <c r="C86" s="55">
        <f t="shared" si="1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</row>
    <row r="87" spans="1:8">
      <c r="A87" s="6" t="s">
        <v>187</v>
      </c>
      <c r="B87" s="55" t="s">
        <v>191</v>
      </c>
      <c r="C87" s="55">
        <f t="shared" si="1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</row>
    <row r="88" spans="1:8">
      <c r="A88" s="6" t="s">
        <v>187</v>
      </c>
      <c r="B88" s="55" t="s">
        <v>930</v>
      </c>
      <c r="C88" s="55">
        <f t="shared" si="1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</row>
    <row r="89" spans="1:8">
      <c r="A89" s="6" t="s">
        <v>187</v>
      </c>
      <c r="B89" s="55" t="s">
        <v>931</v>
      </c>
      <c r="C89" s="55">
        <f t="shared" si="1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</row>
    <row r="90" spans="1:8">
      <c r="A90" s="6" t="s">
        <v>187</v>
      </c>
      <c r="B90" s="55" t="s">
        <v>932</v>
      </c>
      <c r="C90" s="55">
        <f t="shared" si="1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</row>
    <row r="91" spans="1:8">
      <c r="A91" s="6" t="s">
        <v>187</v>
      </c>
      <c r="B91" s="55" t="s">
        <v>933</v>
      </c>
      <c r="C91" s="55">
        <f t="shared" si="1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</row>
    <row r="92" spans="1:8">
      <c r="A92" s="6" t="s">
        <v>187</v>
      </c>
      <c r="B92" s="55" t="s">
        <v>364</v>
      </c>
      <c r="C92" s="55">
        <f t="shared" si="1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</row>
    <row r="93" spans="1:8">
      <c r="A93" s="6" t="s">
        <v>187</v>
      </c>
      <c r="B93" s="55" t="s">
        <v>614</v>
      </c>
      <c r="C93" s="55">
        <f t="shared" si="1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</row>
    <row r="94" spans="1:8">
      <c r="A94" s="6" t="s">
        <v>187</v>
      </c>
      <c r="B94" s="55" t="s">
        <v>616</v>
      </c>
      <c r="C94" s="55">
        <f t="shared" si="1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</row>
    <row r="95" spans="1:8">
      <c r="A95" s="6" t="s">
        <v>187</v>
      </c>
      <c r="B95" s="55" t="s">
        <v>618</v>
      </c>
      <c r="C95" s="55">
        <f t="shared" si="1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</row>
    <row r="96" spans="1:8">
      <c r="A96" s="6" t="s">
        <v>187</v>
      </c>
      <c r="B96" s="55" t="s">
        <v>620</v>
      </c>
      <c r="C96" s="55">
        <f t="shared" si="1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</row>
    <row r="97" spans="1:8">
      <c r="A97" s="6" t="s">
        <v>187</v>
      </c>
      <c r="B97" s="55" t="s">
        <v>622</v>
      </c>
      <c r="C97" s="55">
        <f t="shared" si="1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</row>
    <row r="98" spans="1:8">
      <c r="A98" s="6" t="s">
        <v>187</v>
      </c>
      <c r="B98" s="55" t="s">
        <v>934</v>
      </c>
      <c r="C98" s="55">
        <f t="shared" si="1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</row>
    <row r="99" spans="1:8">
      <c r="A99" s="6" t="s">
        <v>187</v>
      </c>
      <c r="B99" s="55" t="s">
        <v>935</v>
      </c>
      <c r="C99" s="55">
        <f t="shared" si="1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</row>
    <row r="100" spans="1:8">
      <c r="A100" s="6" t="s">
        <v>187</v>
      </c>
      <c r="B100" s="55" t="s">
        <v>936</v>
      </c>
      <c r="C100" s="55">
        <f t="shared" si="1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</row>
    <row r="101" spans="1:8">
      <c r="A101" s="6" t="s">
        <v>187</v>
      </c>
      <c r="B101" s="55" t="s">
        <v>937</v>
      </c>
      <c r="C101" s="55">
        <f t="shared" si="1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</row>
    <row r="102" spans="1:8">
      <c r="A102" s="6" t="s">
        <v>187</v>
      </c>
      <c r="B102" s="55" t="s">
        <v>938</v>
      </c>
      <c r="C102" s="55">
        <f t="shared" si="1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</row>
    <row r="103" spans="1:8">
      <c r="A103" s="6" t="s">
        <v>187</v>
      </c>
      <c r="B103" s="55" t="s">
        <v>939</v>
      </c>
      <c r="C103" s="55">
        <f t="shared" si="1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</row>
    <row r="104" spans="1:8">
      <c r="A104" s="6" t="s">
        <v>187</v>
      </c>
      <c r="B104" s="55" t="s">
        <v>940</v>
      </c>
      <c r="C104" s="55">
        <f t="shared" si="1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</row>
    <row r="105" spans="1:8">
      <c r="A105" s="6" t="s">
        <v>187</v>
      </c>
      <c r="B105" s="55" t="s">
        <v>941</v>
      </c>
      <c r="C105" s="55">
        <f t="shared" si="1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</row>
    <row r="106" spans="1:8">
      <c r="A106" s="6" t="s">
        <v>187</v>
      </c>
      <c r="B106" s="55" t="s">
        <v>942</v>
      </c>
      <c r="C106" s="55">
        <f t="shared" si="1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</row>
    <row r="107" spans="1:8">
      <c r="A107" s="6" t="s">
        <v>187</v>
      </c>
      <c r="B107" s="55" t="s">
        <v>943</v>
      </c>
      <c r="C107" s="55">
        <f t="shared" si="1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</row>
    <row r="108" spans="1:8">
      <c r="A108" s="6" t="s">
        <v>187</v>
      </c>
      <c r="B108" s="55" t="s">
        <v>634</v>
      </c>
      <c r="C108" s="55">
        <f t="shared" si="1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</row>
    <row r="109" spans="1:8">
      <c r="A109" s="6" t="s">
        <v>187</v>
      </c>
      <c r="B109" s="55" t="s">
        <v>636</v>
      </c>
      <c r="C109" s="55">
        <f t="shared" si="1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</row>
    <row r="110" spans="1:8">
      <c r="A110" s="6" t="s">
        <v>187</v>
      </c>
      <c r="B110" s="55" t="s">
        <v>638</v>
      </c>
      <c r="C110" s="55">
        <f t="shared" si="1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</row>
    <row r="111" spans="1:8">
      <c r="A111" s="6" t="s">
        <v>187</v>
      </c>
      <c r="B111" s="55" t="s">
        <v>640</v>
      </c>
      <c r="C111" s="55">
        <f t="shared" si="1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</row>
    <row r="112" spans="1:8">
      <c r="A112" s="6" t="s">
        <v>187</v>
      </c>
      <c r="B112" s="55" t="s">
        <v>642</v>
      </c>
      <c r="C112" s="55">
        <f t="shared" si="1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</row>
    <row r="113" spans="1:8">
      <c r="A113" s="6" t="s">
        <v>187</v>
      </c>
      <c r="B113" s="55" t="s">
        <v>644</v>
      </c>
      <c r="C113" s="55">
        <f t="shared" si="1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</row>
    <row r="114" spans="1:8">
      <c r="A114" s="6" t="s">
        <v>187</v>
      </c>
      <c r="B114" s="55" t="s">
        <v>944</v>
      </c>
      <c r="C114" s="55">
        <f t="shared" si="1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</row>
    <row r="115" spans="1:8">
      <c r="A115" s="6" t="s">
        <v>187</v>
      </c>
      <c r="B115" s="55" t="s">
        <v>945</v>
      </c>
      <c r="C115" s="55">
        <f t="shared" si="1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</row>
    <row r="116" spans="1:8">
      <c r="A116" s="6" t="s">
        <v>187</v>
      </c>
      <c r="B116" s="55" t="s">
        <v>946</v>
      </c>
      <c r="C116" s="55">
        <f t="shared" si="1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</row>
    <row r="117" spans="1:8">
      <c r="A117" s="6" t="s">
        <v>187</v>
      </c>
      <c r="B117" s="55" t="s">
        <v>947</v>
      </c>
      <c r="C117" s="55">
        <f t="shared" si="1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</row>
    <row r="118" spans="1:8">
      <c r="A118" s="6" t="s">
        <v>187</v>
      </c>
      <c r="B118" s="55" t="s">
        <v>948</v>
      </c>
      <c r="C118" s="55">
        <f t="shared" si="1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</row>
    <row r="119" spans="1:8">
      <c r="A119" s="6" t="s">
        <v>187</v>
      </c>
      <c r="B119" s="55" t="s">
        <v>949</v>
      </c>
      <c r="C119" s="55">
        <f t="shared" si="1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</row>
    <row r="120" spans="1:8">
      <c r="A120" s="6" t="s">
        <v>108</v>
      </c>
      <c r="B120" s="55" t="s">
        <v>950</v>
      </c>
      <c r="C120" s="55">
        <f t="shared" si="1"/>
        <v>0</v>
      </c>
      <c r="D120" s="6"/>
      <c r="E120" s="6"/>
      <c r="F120" s="6">
        <v>1</v>
      </c>
      <c r="G120" s="6">
        <v>7</v>
      </c>
      <c r="H120" s="6" t="s">
        <v>652</v>
      </c>
    </row>
    <row r="121" spans="1:8">
      <c r="A121" s="6" t="s">
        <v>187</v>
      </c>
      <c r="B121" s="55" t="s">
        <v>951</v>
      </c>
      <c r="C121" s="55">
        <f t="shared" si="1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</row>
    <row r="122" spans="1:8">
      <c r="A122" s="6" t="s">
        <v>187</v>
      </c>
      <c r="B122" s="55" t="s">
        <v>952</v>
      </c>
      <c r="C122" s="55">
        <f t="shared" si="1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</row>
    <row r="123" spans="1:8">
      <c r="A123" s="6" t="s">
        <v>187</v>
      </c>
      <c r="B123" s="55" t="s">
        <v>953</v>
      </c>
      <c r="C123" s="55">
        <f t="shared" si="1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</row>
    <row r="124" spans="1:8">
      <c r="A124" s="6" t="s">
        <v>187</v>
      </c>
      <c r="B124" s="55" t="s">
        <v>656</v>
      </c>
      <c r="C124" s="55">
        <f t="shared" si="1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</row>
    <row r="125" spans="1:8">
      <c r="A125" s="6" t="s">
        <v>187</v>
      </c>
      <c r="B125" s="55" t="s">
        <v>658</v>
      </c>
      <c r="C125" s="55">
        <f t="shared" si="1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</row>
    <row r="126" spans="1:8">
      <c r="A126" s="6" t="s">
        <v>187</v>
      </c>
      <c r="B126" s="55" t="s">
        <v>660</v>
      </c>
      <c r="C126" s="55">
        <f t="shared" si="1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</row>
    <row r="127" spans="1:8">
      <c r="A127" s="6" t="s">
        <v>187</v>
      </c>
      <c r="B127" s="55" t="s">
        <v>662</v>
      </c>
      <c r="C127" s="55">
        <f t="shared" si="1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</row>
    <row r="128" spans="1:8">
      <c r="A128" s="6" t="s">
        <v>187</v>
      </c>
      <c r="B128" s="55" t="s">
        <v>339</v>
      </c>
      <c r="C128" s="55">
        <f t="shared" si="1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</row>
    <row r="129" spans="1:8">
      <c r="A129" s="6" t="s">
        <v>187</v>
      </c>
      <c r="B129" s="55" t="s">
        <v>220</v>
      </c>
      <c r="C129" s="55">
        <f t="shared" si="1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</row>
    <row r="130" spans="1:8">
      <c r="A130" s="6" t="s">
        <v>398</v>
      </c>
      <c r="B130" s="55" t="s">
        <v>222</v>
      </c>
      <c r="C130" s="55">
        <f t="shared" ref="C130:C193" si="2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</row>
    <row r="131" spans="1:8">
      <c r="A131" s="6" t="s">
        <v>398</v>
      </c>
      <c r="B131" s="55" t="s">
        <v>458</v>
      </c>
      <c r="C131" s="55">
        <f t="shared" si="2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</row>
    <row r="132" spans="1:8">
      <c r="A132" s="6" t="s">
        <v>398</v>
      </c>
      <c r="B132" s="55" t="s">
        <v>282</v>
      </c>
      <c r="C132" s="55">
        <f t="shared" si="2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</row>
    <row r="133" spans="1:8">
      <c r="A133" s="6" t="s">
        <v>398</v>
      </c>
      <c r="B133" s="55" t="s">
        <v>954</v>
      </c>
      <c r="C133" s="55">
        <f t="shared" si="2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</row>
    <row r="134" spans="1:8">
      <c r="A134" s="6" t="s">
        <v>398</v>
      </c>
      <c r="B134" s="55" t="s">
        <v>955</v>
      </c>
      <c r="C134" s="55">
        <f t="shared" si="2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</row>
    <row r="135" spans="1:8">
      <c r="A135" s="6" t="s">
        <v>398</v>
      </c>
      <c r="B135" s="55" t="s">
        <v>956</v>
      </c>
      <c r="C135" s="55">
        <f t="shared" si="2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</row>
    <row r="136" spans="1:8">
      <c r="A136" s="6" t="s">
        <v>398</v>
      </c>
      <c r="B136" s="55" t="s">
        <v>957</v>
      </c>
      <c r="C136" s="55">
        <f t="shared" si="2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</row>
    <row r="137" spans="1:8">
      <c r="A137" s="6" t="s">
        <v>398</v>
      </c>
      <c r="B137" s="55" t="s">
        <v>958</v>
      </c>
      <c r="C137" s="55">
        <f t="shared" si="2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</row>
    <row r="138" spans="1:8">
      <c r="A138" s="6" t="s">
        <v>434</v>
      </c>
      <c r="B138" s="55" t="s">
        <v>959</v>
      </c>
      <c r="C138" s="55">
        <f t="shared" si="2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</row>
    <row r="139" spans="1:8">
      <c r="A139" s="6" t="s">
        <v>434</v>
      </c>
      <c r="B139" s="55" t="s">
        <v>960</v>
      </c>
      <c r="C139" s="55">
        <f t="shared" si="2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</row>
    <row r="140" spans="1:8">
      <c r="A140" s="6" t="s">
        <v>434</v>
      </c>
      <c r="B140" s="55" t="s">
        <v>676</v>
      </c>
      <c r="C140" s="55">
        <f t="shared" si="2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</row>
    <row r="141" spans="1:8">
      <c r="A141" s="6" t="s">
        <v>434</v>
      </c>
      <c r="B141" s="55" t="s">
        <v>678</v>
      </c>
      <c r="C141" s="55">
        <f t="shared" si="2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</row>
    <row r="142" spans="1:8">
      <c r="A142" s="6" t="s">
        <v>434</v>
      </c>
      <c r="B142" s="55" t="s">
        <v>680</v>
      </c>
      <c r="C142" s="55">
        <f t="shared" si="2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</row>
    <row r="143" spans="1:8">
      <c r="A143" s="6" t="s">
        <v>434</v>
      </c>
      <c r="B143" s="55" t="s">
        <v>682</v>
      </c>
      <c r="C143" s="55">
        <f t="shared" si="2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</row>
    <row r="144" spans="1:8">
      <c r="A144" s="6" t="s">
        <v>434</v>
      </c>
      <c r="B144" s="55" t="s">
        <v>684</v>
      </c>
      <c r="C144" s="55">
        <f t="shared" si="2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</row>
    <row r="145" spans="1:8">
      <c r="A145" s="6" t="s">
        <v>434</v>
      </c>
      <c r="B145" s="55" t="s">
        <v>686</v>
      </c>
      <c r="C145" s="55">
        <f t="shared" si="2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</row>
    <row r="146" spans="1:8">
      <c r="A146" s="6" t="s">
        <v>439</v>
      </c>
      <c r="B146" s="55" t="s">
        <v>961</v>
      </c>
      <c r="C146" s="55">
        <f t="shared" si="2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</row>
    <row r="147" spans="1:8">
      <c r="A147" s="6" t="s">
        <v>439</v>
      </c>
      <c r="B147" s="55" t="s">
        <v>962</v>
      </c>
      <c r="C147" s="55">
        <f t="shared" si="2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</row>
    <row r="148" spans="1:8">
      <c r="A148" s="6" t="s">
        <v>439</v>
      </c>
      <c r="B148" s="55" t="s">
        <v>963</v>
      </c>
      <c r="C148" s="55">
        <f t="shared" si="2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</row>
    <row r="149" spans="1:8">
      <c r="A149" s="6" t="s">
        <v>439</v>
      </c>
      <c r="B149" s="55" t="s">
        <v>964</v>
      </c>
      <c r="C149" s="55">
        <f t="shared" si="2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</row>
    <row r="150" spans="1:8">
      <c r="A150" s="6" t="s">
        <v>439</v>
      </c>
      <c r="B150" s="55" t="s">
        <v>965</v>
      </c>
      <c r="C150" s="55">
        <f t="shared" si="2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</row>
    <row r="151" spans="1:8">
      <c r="A151" s="6" t="s">
        <v>439</v>
      </c>
      <c r="B151" s="55" t="s">
        <v>966</v>
      </c>
      <c r="C151" s="55">
        <f t="shared" si="2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</row>
    <row r="152" spans="1:8">
      <c r="A152" s="6" t="s">
        <v>439</v>
      </c>
      <c r="B152" s="55" t="s">
        <v>967</v>
      </c>
      <c r="C152" s="55">
        <f t="shared" si="2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</row>
    <row r="153" spans="1:8">
      <c r="A153" s="6" t="s">
        <v>439</v>
      </c>
      <c r="B153" s="55" t="s">
        <v>968</v>
      </c>
      <c r="C153" s="55">
        <f t="shared" si="2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</row>
    <row r="154" spans="1:8">
      <c r="A154" s="6" t="s">
        <v>452</v>
      </c>
      <c r="B154" s="55" t="s">
        <v>969</v>
      </c>
      <c r="C154" s="55">
        <f t="shared" si="2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</row>
    <row r="155" spans="1:8">
      <c r="A155" s="6" t="s">
        <v>452</v>
      </c>
      <c r="B155" s="55" t="s">
        <v>367</v>
      </c>
      <c r="C155" s="55">
        <f t="shared" si="2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</row>
    <row r="156" spans="1:8">
      <c r="A156" s="6" t="s">
        <v>452</v>
      </c>
      <c r="B156" s="55" t="s">
        <v>698</v>
      </c>
      <c r="C156" s="55">
        <f t="shared" si="2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</row>
    <row r="157" spans="1:8">
      <c r="A157" s="6" t="s">
        <v>452</v>
      </c>
      <c r="B157" s="55" t="s">
        <v>700</v>
      </c>
      <c r="C157" s="55">
        <f t="shared" si="2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</row>
    <row r="158" spans="1:8">
      <c r="A158" s="6" t="s">
        <v>452</v>
      </c>
      <c r="B158" s="55" t="s">
        <v>702</v>
      </c>
      <c r="C158" s="55">
        <f t="shared" si="2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</row>
    <row r="159" spans="1:8">
      <c r="A159" s="6" t="s">
        <v>452</v>
      </c>
      <c r="B159" s="55" t="s">
        <v>704</v>
      </c>
      <c r="C159" s="55">
        <f t="shared" si="2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</row>
    <row r="160" spans="1:8">
      <c r="A160" s="6" t="s">
        <v>452</v>
      </c>
      <c r="B160" s="55" t="s">
        <v>706</v>
      </c>
      <c r="C160" s="55">
        <f t="shared" si="2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</row>
    <row r="161" spans="1:8">
      <c r="A161" s="6" t="s">
        <v>452</v>
      </c>
      <c r="B161" s="55" t="s">
        <v>708</v>
      </c>
      <c r="C161" s="55">
        <f t="shared" si="2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</row>
    <row r="162" spans="1:8">
      <c r="A162" s="6" t="s">
        <v>407</v>
      </c>
      <c r="B162" s="55" t="s">
        <v>710</v>
      </c>
      <c r="C162" s="55">
        <f t="shared" si="2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</row>
    <row r="163" spans="1:8">
      <c r="A163" s="6" t="s">
        <v>407</v>
      </c>
      <c r="B163" s="55" t="s">
        <v>712</v>
      </c>
      <c r="C163" s="55">
        <f t="shared" si="2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</row>
    <row r="164" spans="1:8">
      <c r="A164" s="6" t="s">
        <v>407</v>
      </c>
      <c r="B164" s="55" t="s">
        <v>714</v>
      </c>
      <c r="C164" s="55">
        <f t="shared" si="2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</row>
    <row r="165" spans="1:8">
      <c r="A165" s="6" t="s">
        <v>407</v>
      </c>
      <c r="B165" s="55" t="s">
        <v>716</v>
      </c>
      <c r="C165" s="55">
        <f t="shared" si="2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</row>
    <row r="166" spans="1:8">
      <c r="A166" s="6" t="s">
        <v>407</v>
      </c>
      <c r="B166" s="55" t="s">
        <v>718</v>
      </c>
      <c r="C166" s="55">
        <f t="shared" si="2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</row>
    <row r="167" spans="1:8">
      <c r="A167" s="6" t="s">
        <v>407</v>
      </c>
      <c r="B167" s="55" t="s">
        <v>720</v>
      </c>
      <c r="C167" s="55">
        <f t="shared" si="2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</row>
    <row r="168" spans="1:8">
      <c r="A168" s="6" t="s">
        <v>407</v>
      </c>
      <c r="B168" s="55" t="s">
        <v>722</v>
      </c>
      <c r="C168" s="55">
        <f t="shared" si="2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</row>
    <row r="169" spans="1:8">
      <c r="A169" s="6" t="s">
        <v>407</v>
      </c>
      <c r="B169" s="55" t="s">
        <v>724</v>
      </c>
      <c r="C169" s="55">
        <f t="shared" si="2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</row>
    <row r="170" spans="1:8">
      <c r="A170" s="6" t="s">
        <v>457</v>
      </c>
      <c r="B170" s="55" t="s">
        <v>726</v>
      </c>
      <c r="C170" s="55">
        <f t="shared" si="2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</row>
    <row r="171" spans="1:8">
      <c r="A171" s="6" t="s">
        <v>457</v>
      </c>
      <c r="B171" s="55" t="s">
        <v>728</v>
      </c>
      <c r="C171" s="55">
        <f t="shared" si="2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</row>
    <row r="172" spans="1:8">
      <c r="A172" s="6" t="s">
        <v>457</v>
      </c>
      <c r="B172" s="55" t="s">
        <v>186</v>
      </c>
      <c r="C172" s="55">
        <f t="shared" si="2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</row>
    <row r="173" spans="1:8">
      <c r="A173" s="6" t="s">
        <v>457</v>
      </c>
      <c r="B173" s="55" t="s">
        <v>332</v>
      </c>
      <c r="C173" s="55">
        <f t="shared" si="2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</row>
    <row r="174" spans="1:8">
      <c r="A174" s="6" t="s">
        <v>457</v>
      </c>
      <c r="B174" s="55" t="s">
        <v>128</v>
      </c>
      <c r="C174" s="55">
        <f t="shared" si="2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</row>
    <row r="175" spans="1:8">
      <c r="A175" s="6" t="s">
        <v>457</v>
      </c>
      <c r="B175" s="55" t="s">
        <v>733</v>
      </c>
      <c r="C175" s="55">
        <f t="shared" si="2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</row>
    <row r="176" spans="1:8">
      <c r="A176" s="6" t="s">
        <v>457</v>
      </c>
      <c r="B176" s="55" t="s">
        <v>735</v>
      </c>
      <c r="C176" s="55">
        <f t="shared" si="2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</row>
    <row r="177" spans="1:8">
      <c r="A177" s="6" t="s">
        <v>457</v>
      </c>
      <c r="B177" s="55" t="s">
        <v>737</v>
      </c>
      <c r="C177" s="55">
        <f t="shared" si="2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874</v>
      </c>
      <c r="B186" s="55" t="s">
        <v>747</v>
      </c>
      <c r="C186" s="55">
        <f t="shared" si="2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</row>
    <row r="187" spans="1:8">
      <c r="A187" s="6" t="s">
        <v>874</v>
      </c>
      <c r="B187" s="55" t="s">
        <v>749</v>
      </c>
      <c r="C187" s="55">
        <f t="shared" si="2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</row>
    <row r="188" spans="1:8">
      <c r="A188" s="6" t="s">
        <v>874</v>
      </c>
      <c r="B188" s="55" t="s">
        <v>751</v>
      </c>
      <c r="C188" s="55">
        <f t="shared" si="2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</row>
    <row r="189" spans="1:8">
      <c r="A189" s="6" t="s">
        <v>874</v>
      </c>
      <c r="B189" s="55" t="s">
        <v>753</v>
      </c>
      <c r="C189" s="55">
        <f t="shared" si="2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</row>
    <row r="190" spans="1:8">
      <c r="A190" s="6" t="s">
        <v>874</v>
      </c>
      <c r="B190" s="55" t="s">
        <v>342</v>
      </c>
      <c r="C190" s="55">
        <f t="shared" si="2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</row>
    <row r="191" spans="1:8">
      <c r="A191" s="6" t="s">
        <v>874</v>
      </c>
      <c r="B191" s="55" t="s">
        <v>756</v>
      </c>
      <c r="C191" s="55">
        <f t="shared" si="2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</row>
    <row r="192" spans="1:8">
      <c r="A192" s="6" t="s">
        <v>874</v>
      </c>
      <c r="B192" s="55" t="s">
        <v>758</v>
      </c>
      <c r="C192" s="55">
        <f t="shared" si="2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</row>
    <row r="193" spans="1:8">
      <c r="A193" s="6" t="s">
        <v>874</v>
      </c>
      <c r="B193" s="55" t="s">
        <v>760</v>
      </c>
      <c r="C193" s="55">
        <f t="shared" si="2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</row>
    <row r="194" spans="1:8">
      <c r="A194" s="6" t="s">
        <v>763</v>
      </c>
      <c r="B194" s="55" t="s">
        <v>762</v>
      </c>
      <c r="C194" s="55">
        <f t="shared" ref="C194:C253" si="3">COUNTA(D194:E194)</f>
        <v>0</v>
      </c>
      <c r="D194" s="6"/>
      <c r="E194" s="6"/>
      <c r="F194" s="6">
        <v>1</v>
      </c>
      <c r="G194" s="6">
        <v>11</v>
      </c>
      <c r="H194" s="6" t="s">
        <v>764</v>
      </c>
    </row>
    <row r="195" spans="1:8">
      <c r="A195" s="6" t="s">
        <v>281</v>
      </c>
      <c r="B195" s="55" t="s">
        <v>765</v>
      </c>
      <c r="C195" s="55">
        <f t="shared" si="3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</row>
    <row r="196" spans="1:8">
      <c r="A196" s="6" t="s">
        <v>358</v>
      </c>
      <c r="B196" s="55" t="s">
        <v>767</v>
      </c>
      <c r="C196" s="55">
        <f t="shared" si="3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</row>
    <row r="197" spans="1:8">
      <c r="A197" s="6" t="s">
        <v>353</v>
      </c>
      <c r="B197" s="55" t="s">
        <v>769</v>
      </c>
      <c r="C197" s="55">
        <f t="shared" si="3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</row>
    <row r="198" spans="1:8">
      <c r="A198" s="6" t="s">
        <v>875</v>
      </c>
      <c r="B198" s="55" t="s">
        <v>771</v>
      </c>
      <c r="C198" s="55">
        <f t="shared" si="3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</row>
    <row r="199" spans="1:8">
      <c r="A199" s="6" t="s">
        <v>149</v>
      </c>
      <c r="B199" s="55" t="s">
        <v>773</v>
      </c>
      <c r="C199" s="55">
        <f t="shared" si="3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</row>
    <row r="200" spans="1:8">
      <c r="A200" s="6" t="s">
        <v>401</v>
      </c>
      <c r="B200" s="55" t="s">
        <v>775</v>
      </c>
      <c r="C200" s="55">
        <f t="shared" si="3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</row>
    <row r="201" spans="1:8">
      <c r="A201" s="6" t="s">
        <v>876</v>
      </c>
      <c r="B201" s="55" t="s">
        <v>777</v>
      </c>
      <c r="C201" s="55">
        <f t="shared" si="3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</row>
    <row r="202" spans="1:8">
      <c r="A202" s="6" t="s">
        <v>494</v>
      </c>
      <c r="B202" s="55" t="s">
        <v>779</v>
      </c>
      <c r="C202" s="55">
        <f t="shared" si="3"/>
        <v>0</v>
      </c>
      <c r="D202" s="6"/>
      <c r="E202" s="6"/>
      <c r="F202" s="6">
        <v>1</v>
      </c>
      <c r="G202" s="6">
        <v>11</v>
      </c>
      <c r="H202" s="6" t="s">
        <v>780</v>
      </c>
    </row>
    <row r="203" spans="1:8">
      <c r="A203" s="6" t="s">
        <v>84</v>
      </c>
      <c r="B203" s="55" t="s">
        <v>781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254</v>
      </c>
      <c r="B204" s="55" t="s">
        <v>783</v>
      </c>
      <c r="C204" s="55">
        <f t="shared" si="3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</row>
    <row r="205" spans="1:8">
      <c r="A205" s="6" t="s">
        <v>353</v>
      </c>
      <c r="B205" s="55" t="s">
        <v>785</v>
      </c>
      <c r="C205" s="55">
        <f t="shared" si="3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</row>
    <row r="206" spans="1:8">
      <c r="A206" s="6" t="s">
        <v>493</v>
      </c>
      <c r="B206" s="55" t="s">
        <v>786</v>
      </c>
      <c r="C206" s="55">
        <f t="shared" si="3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</row>
    <row r="207" spans="1:8">
      <c r="A207" s="6" t="s">
        <v>196</v>
      </c>
      <c r="B207" s="55" t="s">
        <v>487</v>
      </c>
      <c r="C207" s="55">
        <f t="shared" si="3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</row>
    <row r="208" spans="1:8">
      <c r="A208" s="6" t="s">
        <v>437</v>
      </c>
      <c r="B208" s="55" t="s">
        <v>789</v>
      </c>
      <c r="C208" s="55">
        <f t="shared" si="3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</row>
    <row r="209" spans="1:8">
      <c r="A209" s="6" t="s">
        <v>876</v>
      </c>
      <c r="B209" s="55" t="s">
        <v>791</v>
      </c>
      <c r="C209" s="55">
        <f t="shared" si="3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</row>
    <row r="210" spans="1:8">
      <c r="A210" s="6" t="s">
        <v>794</v>
      </c>
      <c r="B210" s="55" t="s">
        <v>793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795</v>
      </c>
    </row>
    <row r="211" spans="1:8">
      <c r="A211" s="6" t="s">
        <v>281</v>
      </c>
      <c r="B211" s="55" t="s">
        <v>796</v>
      </c>
      <c r="C211" s="55">
        <f t="shared" si="3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</row>
    <row r="212" spans="1:8">
      <c r="A212" s="6" t="s">
        <v>877</v>
      </c>
      <c r="B212" s="55" t="s">
        <v>798</v>
      </c>
      <c r="C212" s="55">
        <f t="shared" si="3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</row>
    <row r="213" spans="1:8">
      <c r="A213" s="6" t="s">
        <v>878</v>
      </c>
      <c r="B213" s="55" t="s">
        <v>800</v>
      </c>
      <c r="C213" s="55">
        <f t="shared" si="3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</row>
    <row r="214" spans="1:8">
      <c r="A214" s="6" t="s">
        <v>879</v>
      </c>
      <c r="B214" s="55" t="s">
        <v>802</v>
      </c>
      <c r="C214" s="55">
        <f t="shared" si="3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</row>
    <row r="215" spans="1:8">
      <c r="A215" s="6" t="s">
        <v>149</v>
      </c>
      <c r="B215" s="55" t="s">
        <v>804</v>
      </c>
      <c r="C215" s="55">
        <f t="shared" si="3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</row>
    <row r="216" spans="1:8">
      <c r="A216" s="6" t="s">
        <v>441</v>
      </c>
      <c r="B216" s="55" t="s">
        <v>806</v>
      </c>
      <c r="C216" s="55">
        <f t="shared" si="3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</row>
    <row r="217" spans="1:8">
      <c r="A217" s="6" t="s">
        <v>876</v>
      </c>
      <c r="B217" s="55" t="s">
        <v>808</v>
      </c>
      <c r="C217" s="55">
        <f t="shared" si="3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</row>
    <row r="218" spans="1:8">
      <c r="A218" s="6" t="s">
        <v>811</v>
      </c>
      <c r="B218" s="55" t="s">
        <v>810</v>
      </c>
      <c r="C218" s="55">
        <f t="shared" si="3"/>
        <v>0</v>
      </c>
      <c r="D218" s="6"/>
      <c r="E218" s="6"/>
      <c r="F218" s="6">
        <v>1</v>
      </c>
      <c r="G218" s="6">
        <v>5</v>
      </c>
      <c r="H218" s="6" t="s">
        <v>812</v>
      </c>
    </row>
    <row r="219" spans="1:8">
      <c r="A219" s="6" t="s">
        <v>84</v>
      </c>
      <c r="B219" s="55" t="s">
        <v>813</v>
      </c>
      <c r="C219" s="55">
        <f t="shared" si="3"/>
        <v>0</v>
      </c>
      <c r="D219" s="6"/>
      <c r="E219" s="6"/>
      <c r="F219" s="6">
        <v>1</v>
      </c>
      <c r="G219" s="6">
        <v>10</v>
      </c>
      <c r="H219" s="6" t="s">
        <v>782</v>
      </c>
    </row>
    <row r="220" spans="1:8">
      <c r="A220" s="6" t="s">
        <v>880</v>
      </c>
      <c r="B220" s="55" t="s">
        <v>814</v>
      </c>
      <c r="C220" s="55">
        <f t="shared" si="3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</row>
    <row r="221" spans="1:8">
      <c r="A221" s="6" t="s">
        <v>881</v>
      </c>
      <c r="B221" s="55" t="s">
        <v>298</v>
      </c>
      <c r="C221" s="55">
        <f t="shared" si="3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</row>
    <row r="222" spans="1:8">
      <c r="A222" s="6" t="s">
        <v>786</v>
      </c>
      <c r="B222" s="55" t="s">
        <v>817</v>
      </c>
      <c r="C222" s="55">
        <f t="shared" si="3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</row>
    <row r="223" spans="1:8">
      <c r="A223" s="6" t="s">
        <v>196</v>
      </c>
      <c r="B223" s="55" t="s">
        <v>819</v>
      </c>
      <c r="C223" s="55">
        <f t="shared" si="3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</row>
    <row r="224" spans="1:8">
      <c r="A224" s="6" t="s">
        <v>455</v>
      </c>
      <c r="B224" s="55" t="s">
        <v>820</v>
      </c>
      <c r="C224" s="55">
        <f t="shared" si="3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</row>
    <row r="225" spans="1:8">
      <c r="A225" s="6" t="s">
        <v>876</v>
      </c>
      <c r="B225" s="55" t="s">
        <v>822</v>
      </c>
      <c r="C225" s="55">
        <f t="shared" si="3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</row>
    <row r="226" spans="1:8">
      <c r="A226" s="6" t="s">
        <v>825</v>
      </c>
      <c r="B226" s="55" t="s">
        <v>824</v>
      </c>
      <c r="C226" s="55">
        <f t="shared" si="3"/>
        <v>0</v>
      </c>
      <c r="D226" s="6"/>
      <c r="E226" s="6"/>
      <c r="F226" s="6">
        <v>1</v>
      </c>
      <c r="G226" s="6">
        <v>5</v>
      </c>
      <c r="H226" s="6" t="s">
        <v>826</v>
      </c>
    </row>
    <row r="227" spans="1:8">
      <c r="A227" s="6" t="s">
        <v>281</v>
      </c>
      <c r="B227" s="55" t="s">
        <v>827</v>
      </c>
      <c r="C227" s="55">
        <f t="shared" si="3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</row>
    <row r="228" spans="1:8">
      <c r="A228" s="6" t="s">
        <v>373</v>
      </c>
      <c r="B228" s="55" t="s">
        <v>829</v>
      </c>
      <c r="C228" s="55">
        <f t="shared" si="3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</row>
    <row r="229" spans="1:8">
      <c r="A229" s="6" t="s">
        <v>98</v>
      </c>
      <c r="B229" s="55" t="s">
        <v>831</v>
      </c>
      <c r="C229" s="55">
        <f t="shared" si="3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882</v>
      </c>
      <c r="B230" s="55" t="s">
        <v>832</v>
      </c>
      <c r="C230" s="55">
        <f t="shared" si="3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</row>
    <row r="231" spans="1:8">
      <c r="A231" s="6" t="s">
        <v>149</v>
      </c>
      <c r="B231" s="55" t="s">
        <v>834</v>
      </c>
      <c r="C231" s="55">
        <f t="shared" si="3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</row>
    <row r="232" spans="1:8">
      <c r="A232" s="6" t="s">
        <v>153</v>
      </c>
      <c r="B232" s="55" t="s">
        <v>836</v>
      </c>
      <c r="C232" s="55">
        <f t="shared" si="3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</row>
    <row r="233" spans="1:8">
      <c r="A233" s="6" t="s">
        <v>876</v>
      </c>
      <c r="B233" s="55" t="s">
        <v>838</v>
      </c>
      <c r="C233" s="55">
        <f t="shared" si="3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</row>
    <row r="234" spans="1:8">
      <c r="A234" s="6" t="s">
        <v>841</v>
      </c>
      <c r="B234" s="55" t="s">
        <v>840</v>
      </c>
      <c r="C234" s="55">
        <f t="shared" si="3"/>
        <v>0</v>
      </c>
      <c r="D234" s="6"/>
      <c r="E234" s="6"/>
      <c r="F234" s="6">
        <v>1</v>
      </c>
      <c r="G234" s="6">
        <v>5</v>
      </c>
      <c r="H234" s="6" t="s">
        <v>842</v>
      </c>
    </row>
    <row r="235" spans="1:8">
      <c r="A235" s="6" t="s">
        <v>88</v>
      </c>
      <c r="B235" s="55" t="s">
        <v>843</v>
      </c>
      <c r="C235" s="55">
        <f t="shared" si="3"/>
        <v>0</v>
      </c>
      <c r="D235" s="6"/>
      <c r="E235" s="6"/>
      <c r="F235" s="6">
        <v>1</v>
      </c>
      <c r="G235" s="6">
        <v>5</v>
      </c>
      <c r="H235" s="6" t="s">
        <v>844</v>
      </c>
    </row>
    <row r="236" spans="1:8">
      <c r="A236" s="6" t="s">
        <v>371</v>
      </c>
      <c r="B236" s="55" t="s">
        <v>845</v>
      </c>
      <c r="C236" s="55">
        <f t="shared" si="3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</row>
    <row r="237" spans="1:8">
      <c r="A237" s="6" t="s">
        <v>22</v>
      </c>
      <c r="B237" s="55" t="s">
        <v>847</v>
      </c>
      <c r="C237" s="55">
        <f t="shared" si="3"/>
        <v>0</v>
      </c>
      <c r="D237" s="6"/>
      <c r="E237" s="6"/>
      <c r="F237" s="6">
        <v>1</v>
      </c>
      <c r="G237" s="6">
        <v>4</v>
      </c>
      <c r="H237" s="6" t="s">
        <v>848</v>
      </c>
    </row>
    <row r="238" spans="1:8">
      <c r="A238" s="6" t="s">
        <v>883</v>
      </c>
      <c r="B238" s="55" t="s">
        <v>849</v>
      </c>
      <c r="C238" s="55">
        <f t="shared" si="3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</row>
    <row r="239" spans="1:8">
      <c r="A239" s="6" t="s">
        <v>196</v>
      </c>
      <c r="B239" s="55" t="s">
        <v>851</v>
      </c>
      <c r="C239" s="55">
        <f t="shared" si="3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</row>
    <row r="240" spans="1:8">
      <c r="A240" s="6" t="s">
        <v>161</v>
      </c>
      <c r="B240" s="55" t="s">
        <v>206</v>
      </c>
      <c r="C240" s="55">
        <f t="shared" si="3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</row>
    <row r="241" spans="1:8">
      <c r="A241" s="6" t="s">
        <v>876</v>
      </c>
      <c r="B241" s="55" t="s">
        <v>853</v>
      </c>
      <c r="C241" s="55">
        <f t="shared" si="3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</row>
    <row r="242" spans="1:8">
      <c r="A242" s="6" t="s">
        <v>855</v>
      </c>
      <c r="B242" s="55" t="s">
        <v>270</v>
      </c>
      <c r="C242" s="55">
        <f t="shared" si="3"/>
        <v>0</v>
      </c>
      <c r="D242" s="6"/>
      <c r="E242" s="6"/>
      <c r="F242" s="6">
        <v>1</v>
      </c>
      <c r="G242" s="6">
        <v>5</v>
      </c>
      <c r="H242" s="6" t="s">
        <v>856</v>
      </c>
    </row>
    <row r="243" spans="1:8">
      <c r="A243" s="6" t="s">
        <v>281</v>
      </c>
      <c r="B243" s="55" t="s">
        <v>857</v>
      </c>
      <c r="C243" s="55">
        <f t="shared" si="3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</row>
    <row r="244" spans="1:8">
      <c r="A244" s="6" t="s">
        <v>365</v>
      </c>
      <c r="B244" s="55" t="s">
        <v>859</v>
      </c>
      <c r="C244" s="55">
        <f t="shared" si="3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</row>
    <row r="245" spans="1:8">
      <c r="A245" s="6" t="s">
        <v>862</v>
      </c>
      <c r="B245" s="55" t="s">
        <v>861</v>
      </c>
      <c r="C245" s="55">
        <f t="shared" si="3"/>
        <v>0</v>
      </c>
      <c r="D245" s="6"/>
      <c r="E245" s="6"/>
      <c r="F245" s="6">
        <v>1</v>
      </c>
      <c r="G245" s="6">
        <v>4</v>
      </c>
      <c r="H245" s="6" t="s">
        <v>863</v>
      </c>
    </row>
    <row r="246" spans="1:8">
      <c r="A246" s="6" t="s">
        <v>884</v>
      </c>
      <c r="B246" s="55" t="s">
        <v>864</v>
      </c>
      <c r="C246" s="55">
        <f t="shared" si="3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</row>
    <row r="247" spans="1:8">
      <c r="A247" s="6" t="s">
        <v>149</v>
      </c>
      <c r="B247" s="55" t="s">
        <v>866</v>
      </c>
      <c r="C247" s="55">
        <f t="shared" si="3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</row>
    <row r="248" spans="1:8">
      <c r="A248" s="6" t="s">
        <v>155</v>
      </c>
      <c r="B248" s="55" t="s">
        <v>985</v>
      </c>
      <c r="C248" s="55">
        <f t="shared" si="3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</row>
    <row r="249" spans="1:8">
      <c r="A249" s="6" t="s">
        <v>1118</v>
      </c>
      <c r="B249" s="55" t="s">
        <v>1126</v>
      </c>
      <c r="C249" s="55">
        <f t="shared" si="3"/>
        <v>1</v>
      </c>
      <c r="D249" s="6" t="s">
        <v>495</v>
      </c>
      <c r="E249" s="6"/>
      <c r="F249" s="6">
        <v>1</v>
      </c>
      <c r="G249" s="6">
        <v>10</v>
      </c>
      <c r="H249" s="6" t="s">
        <v>1127</v>
      </c>
    </row>
    <row r="250" spans="1:8">
      <c r="A250" s="6" t="s">
        <v>100</v>
      </c>
      <c r="B250" s="55" t="s">
        <v>987</v>
      </c>
      <c r="C250" s="55">
        <f t="shared" si="3"/>
        <v>0</v>
      </c>
      <c r="D250" s="6"/>
      <c r="E250" s="6"/>
      <c r="F250" s="6">
        <v>1</v>
      </c>
      <c r="G250" s="6">
        <v>10</v>
      </c>
      <c r="H250" s="6" t="s">
        <v>988</v>
      </c>
    </row>
    <row r="251" spans="1:8">
      <c r="A251" s="6" t="s">
        <v>362</v>
      </c>
      <c r="B251" s="55" t="s">
        <v>983</v>
      </c>
      <c r="C251" s="55">
        <f t="shared" si="3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</row>
    <row r="252" spans="1:8">
      <c r="A252" s="6" t="s">
        <v>1111</v>
      </c>
      <c r="B252" s="55" t="s">
        <v>1037</v>
      </c>
      <c r="C252" s="55">
        <f t="shared" si="3"/>
        <v>1</v>
      </c>
      <c r="D252" s="6" t="s">
        <v>495</v>
      </c>
      <c r="E252" s="6"/>
      <c r="F252" s="6">
        <v>1</v>
      </c>
      <c r="G252" s="6">
        <v>10</v>
      </c>
      <c r="H252" s="6" t="s">
        <v>1125</v>
      </c>
    </row>
    <row r="253" spans="1:8">
      <c r="A253" s="6" t="s">
        <v>163</v>
      </c>
      <c r="B253" s="55" t="s">
        <v>433</v>
      </c>
      <c r="C253" s="55">
        <f t="shared" si="3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</row>
    <row r="254" spans="1:8">
      <c r="A254" s="185" t="s">
        <v>1170</v>
      </c>
      <c r="B254" s="51" t="s">
        <v>146</v>
      </c>
      <c r="H254" s="185" t="s">
        <v>1181</v>
      </c>
    </row>
    <row r="255" spans="1:8">
      <c r="A255" s="185" t="s">
        <v>1180</v>
      </c>
      <c r="B255" s="51" t="s">
        <v>146</v>
      </c>
      <c r="H255" s="185" t="s">
        <v>1181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6" t="s">
        <v>1141</v>
      </c>
      <c r="B1" s="176" t="s">
        <v>1144</v>
      </c>
      <c r="C1" s="176" t="s">
        <v>431</v>
      </c>
      <c r="D1" s="176" t="s">
        <v>1145</v>
      </c>
      <c r="E1" s="176" t="s">
        <v>1142</v>
      </c>
      <c r="F1" s="176" t="s">
        <v>1143</v>
      </c>
    </row>
    <row r="2" spans="1:6">
      <c r="A2" s="177" t="s">
        <v>187</v>
      </c>
      <c r="B2" t="s">
        <v>170</v>
      </c>
    </row>
    <row r="3" spans="1:6">
      <c r="A3" s="177" t="s">
        <v>147</v>
      </c>
      <c r="B3" t="s">
        <v>170</v>
      </c>
    </row>
    <row r="4" spans="1:6">
      <c r="A4" s="177" t="s">
        <v>295</v>
      </c>
      <c r="B4" t="s">
        <v>170</v>
      </c>
    </row>
    <row r="5" spans="1:6">
      <c r="A5" s="177" t="s">
        <v>873</v>
      </c>
      <c r="B5" t="s">
        <v>170</v>
      </c>
    </row>
    <row r="6" spans="1:6">
      <c r="A6" s="177" t="s">
        <v>872</v>
      </c>
      <c r="B6" t="s">
        <v>170</v>
      </c>
    </row>
    <row r="7" spans="1:6">
      <c r="A7" s="177" t="s">
        <v>871</v>
      </c>
      <c r="B7" t="s">
        <v>170</v>
      </c>
    </row>
    <row r="8" spans="1:6">
      <c r="A8" s="177" t="s">
        <v>870</v>
      </c>
      <c r="B8" t="s">
        <v>170</v>
      </c>
    </row>
    <row r="9" spans="1:6">
      <c r="A9" s="177" t="s">
        <v>869</v>
      </c>
      <c r="B9" t="s">
        <v>170</v>
      </c>
    </row>
    <row r="10" spans="1:6">
      <c r="A10" s="177" t="s">
        <v>868</v>
      </c>
      <c r="B10" t="s">
        <v>170</v>
      </c>
    </row>
    <row r="11" spans="1:6">
      <c r="A11" s="177" t="s">
        <v>22</v>
      </c>
      <c r="B11" t="s">
        <v>170</v>
      </c>
    </row>
    <row r="12" spans="1:6">
      <c r="A12" s="177" t="s">
        <v>100</v>
      </c>
      <c r="B12" t="s">
        <v>170</v>
      </c>
    </row>
    <row r="13" spans="1:6">
      <c r="A13" s="177" t="s">
        <v>88</v>
      </c>
      <c r="B13" t="s">
        <v>170</v>
      </c>
    </row>
    <row r="14" spans="1:6">
      <c r="A14" s="177" t="s">
        <v>398</v>
      </c>
      <c r="B14" t="s">
        <v>1146</v>
      </c>
    </row>
    <row r="15" spans="1:6">
      <c r="A15" s="177" t="s">
        <v>434</v>
      </c>
      <c r="B15" t="s">
        <v>1146</v>
      </c>
    </row>
    <row r="16" spans="1:6">
      <c r="A16" s="177" t="s">
        <v>401</v>
      </c>
      <c r="B16" t="s">
        <v>1146</v>
      </c>
    </row>
    <row r="17" spans="1:2">
      <c r="A17" s="177" t="s">
        <v>437</v>
      </c>
      <c r="B17" t="s">
        <v>1146</v>
      </c>
    </row>
    <row r="18" spans="1:2">
      <c r="A18" s="177" t="s">
        <v>439</v>
      </c>
      <c r="B18" t="s">
        <v>1146</v>
      </c>
    </row>
    <row r="19" spans="1:2">
      <c r="A19" s="177" t="s">
        <v>452</v>
      </c>
      <c r="B19" t="s">
        <v>1146</v>
      </c>
    </row>
    <row r="20" spans="1:2">
      <c r="A20" s="177" t="s">
        <v>441</v>
      </c>
      <c r="B20" t="s">
        <v>1146</v>
      </c>
    </row>
    <row r="21" spans="1:2">
      <c r="A21" s="177" t="s">
        <v>455</v>
      </c>
      <c r="B21" t="s">
        <v>1146</v>
      </c>
    </row>
    <row r="22" spans="1:2">
      <c r="A22" s="177" t="s">
        <v>214</v>
      </c>
      <c r="B22" t="s">
        <v>1146</v>
      </c>
    </row>
    <row r="23" spans="1:2">
      <c r="A23" s="177" t="s">
        <v>238</v>
      </c>
      <c r="B23" t="s">
        <v>1146</v>
      </c>
    </row>
    <row r="24" spans="1:2">
      <c r="A24" s="177" t="s">
        <v>470</v>
      </c>
      <c r="B24" t="s">
        <v>1146</v>
      </c>
    </row>
    <row r="25" spans="1:2">
      <c r="A25" s="177" t="s">
        <v>471</v>
      </c>
      <c r="B25" t="s">
        <v>1146</v>
      </c>
    </row>
    <row r="26" spans="1:2">
      <c r="A26" s="177" t="s">
        <v>474</v>
      </c>
      <c r="B26" t="s">
        <v>1146</v>
      </c>
    </row>
    <row r="27" spans="1:2">
      <c r="A27" s="177" t="s">
        <v>52</v>
      </c>
      <c r="B27" t="s">
        <v>1146</v>
      </c>
    </row>
    <row r="28" spans="1:2">
      <c r="A28" s="177" t="s">
        <v>874</v>
      </c>
      <c r="B28" t="s">
        <v>1146</v>
      </c>
    </row>
    <row r="29" spans="1:2">
      <c r="A29" s="177" t="s">
        <v>163</v>
      </c>
      <c r="B29" t="s">
        <v>1146</v>
      </c>
    </row>
    <row r="30" spans="1:2">
      <c r="A30" s="177" t="s">
        <v>407</v>
      </c>
      <c r="B30" t="s">
        <v>224</v>
      </c>
    </row>
    <row r="31" spans="1:2">
      <c r="A31" s="177" t="s">
        <v>153</v>
      </c>
      <c r="B31" t="s">
        <v>224</v>
      </c>
    </row>
    <row r="32" spans="1:2">
      <c r="A32" s="177" t="s">
        <v>268</v>
      </c>
      <c r="B32" t="s">
        <v>224</v>
      </c>
    </row>
    <row r="33" spans="1:2">
      <c r="A33" s="177" t="s">
        <v>155</v>
      </c>
      <c r="B33" t="s">
        <v>224</v>
      </c>
    </row>
    <row r="34" spans="1:2">
      <c r="A34" s="177" t="s">
        <v>457</v>
      </c>
      <c r="B34" t="s">
        <v>224</v>
      </c>
    </row>
    <row r="35" spans="1:2">
      <c r="A35" s="177" t="s">
        <v>161</v>
      </c>
      <c r="B35" t="s">
        <v>224</v>
      </c>
    </row>
    <row r="36" spans="1:2">
      <c r="A36" s="177" t="s">
        <v>68</v>
      </c>
      <c r="B36" t="s">
        <v>224</v>
      </c>
    </row>
    <row r="37" spans="1:2">
      <c r="A37" s="177" t="s">
        <v>461</v>
      </c>
      <c r="B37" t="s">
        <v>1147</v>
      </c>
    </row>
    <row r="38" spans="1:2">
      <c r="A38" s="177" t="s">
        <v>159</v>
      </c>
      <c r="B38" t="s">
        <v>1147</v>
      </c>
    </row>
    <row r="39" spans="1:2">
      <c r="A39" s="177" t="s">
        <v>463</v>
      </c>
      <c r="B39" t="s">
        <v>1147</v>
      </c>
    </row>
    <row r="40" spans="1:2">
      <c r="A40" s="177" t="s">
        <v>157</v>
      </c>
      <c r="B40" t="s">
        <v>1147</v>
      </c>
    </row>
    <row r="41" spans="1:2">
      <c r="A41" s="177" t="s">
        <v>72</v>
      </c>
      <c r="B41" t="s">
        <v>117</v>
      </c>
    </row>
    <row r="42" spans="1:2">
      <c r="A42" s="177" t="s">
        <v>70</v>
      </c>
      <c r="B42" t="s">
        <v>117</v>
      </c>
    </row>
    <row r="43" spans="1:2">
      <c r="A43" s="177" t="s">
        <v>353</v>
      </c>
      <c r="B43" t="s">
        <v>1149</v>
      </c>
    </row>
    <row r="44" spans="1:2">
      <c r="A44" s="177" t="s">
        <v>880</v>
      </c>
      <c r="B44" t="s">
        <v>1149</v>
      </c>
    </row>
    <row r="45" spans="1:2">
      <c r="A45" s="177" t="s">
        <v>877</v>
      </c>
      <c r="B45" t="s">
        <v>1149</v>
      </c>
    </row>
    <row r="46" spans="1:2">
      <c r="A46" s="177" t="s">
        <v>254</v>
      </c>
      <c r="B46" t="s">
        <v>1149</v>
      </c>
    </row>
    <row r="47" spans="1:2">
      <c r="A47" s="177" t="s">
        <v>358</v>
      </c>
      <c r="B47" t="s">
        <v>1149</v>
      </c>
    </row>
    <row r="48" spans="1:2">
      <c r="A48" s="177" t="s">
        <v>365</v>
      </c>
      <c r="B48" t="s">
        <v>1149</v>
      </c>
    </row>
    <row r="49" spans="1:2">
      <c r="A49" s="177" t="s">
        <v>362</v>
      </c>
      <c r="B49" t="s">
        <v>1149</v>
      </c>
    </row>
    <row r="50" spans="1:2">
      <c r="A50" s="177" t="s">
        <v>371</v>
      </c>
      <c r="B50" t="s">
        <v>1149</v>
      </c>
    </row>
    <row r="51" spans="1:2">
      <c r="A51" s="177" t="s">
        <v>373</v>
      </c>
      <c r="B51" t="s">
        <v>1149</v>
      </c>
    </row>
    <row r="52" spans="1:2">
      <c r="A52" s="177" t="s">
        <v>196</v>
      </c>
      <c r="B52" t="s">
        <v>1149</v>
      </c>
    </row>
    <row r="53" spans="1:2">
      <c r="A53" s="177" t="s">
        <v>84</v>
      </c>
      <c r="B53" t="s">
        <v>1149</v>
      </c>
    </row>
    <row r="54" spans="1:2">
      <c r="A54" s="177" t="s">
        <v>493</v>
      </c>
      <c r="B54" t="s">
        <v>1149</v>
      </c>
    </row>
    <row r="55" spans="1:2">
      <c r="A55" s="177" t="s">
        <v>875</v>
      </c>
      <c r="B55" t="s">
        <v>1149</v>
      </c>
    </row>
    <row r="56" spans="1:2">
      <c r="A56" s="177" t="s">
        <v>786</v>
      </c>
      <c r="B56" t="s">
        <v>1149</v>
      </c>
    </row>
    <row r="57" spans="1:2">
      <c r="A57" s="177" t="s">
        <v>879</v>
      </c>
      <c r="B57" t="s">
        <v>1149</v>
      </c>
    </row>
    <row r="58" spans="1:2">
      <c r="A58" s="177" t="s">
        <v>884</v>
      </c>
      <c r="B58" t="s">
        <v>1149</v>
      </c>
    </row>
    <row r="59" spans="1:2">
      <c r="A59" s="177" t="s">
        <v>1111</v>
      </c>
      <c r="B59" t="s">
        <v>1149</v>
      </c>
    </row>
    <row r="60" spans="1:2">
      <c r="A60" s="177" t="s">
        <v>883</v>
      </c>
      <c r="B60" t="s">
        <v>1149</v>
      </c>
    </row>
    <row r="61" spans="1:2">
      <c r="A61" s="177" t="s">
        <v>882</v>
      </c>
      <c r="B61" t="s">
        <v>1149</v>
      </c>
    </row>
    <row r="62" spans="1:2">
      <c r="A62" s="177" t="s">
        <v>494</v>
      </c>
      <c r="B62" t="s">
        <v>1149</v>
      </c>
    </row>
    <row r="63" spans="1:2">
      <c r="A63" s="177" t="s">
        <v>763</v>
      </c>
      <c r="B63" t="s">
        <v>1149</v>
      </c>
    </row>
    <row r="64" spans="1:2">
      <c r="A64" s="177" t="s">
        <v>811</v>
      </c>
      <c r="B64" t="s">
        <v>1149</v>
      </c>
    </row>
    <row r="65" spans="1:2">
      <c r="A65" s="177" t="s">
        <v>794</v>
      </c>
      <c r="B65" t="s">
        <v>1149</v>
      </c>
    </row>
    <row r="66" spans="1:2">
      <c r="A66" s="177" t="s">
        <v>855</v>
      </c>
      <c r="B66" t="s">
        <v>1149</v>
      </c>
    </row>
    <row r="67" spans="1:2">
      <c r="A67" s="177" t="s">
        <v>1118</v>
      </c>
      <c r="B67" t="s">
        <v>1149</v>
      </c>
    </row>
    <row r="68" spans="1:2">
      <c r="A68" s="177" t="s">
        <v>841</v>
      </c>
      <c r="B68" t="s">
        <v>1149</v>
      </c>
    </row>
    <row r="69" spans="1:2">
      <c r="A69" s="177" t="s">
        <v>825</v>
      </c>
      <c r="B69" t="s">
        <v>1149</v>
      </c>
    </row>
    <row r="70" spans="1:2">
      <c r="A70" s="177" t="s">
        <v>149</v>
      </c>
      <c r="B70" t="s">
        <v>136</v>
      </c>
    </row>
    <row r="71" spans="1:2">
      <c r="A71" s="177" t="s">
        <v>281</v>
      </c>
      <c r="B71" t="s">
        <v>136</v>
      </c>
    </row>
    <row r="72" spans="1:2">
      <c r="A72" s="177" t="s">
        <v>98</v>
      </c>
      <c r="B72" t="s">
        <v>136</v>
      </c>
    </row>
    <row r="73" spans="1:2">
      <c r="A73" s="177" t="s">
        <v>881</v>
      </c>
      <c r="B73" t="s">
        <v>1150</v>
      </c>
    </row>
    <row r="74" spans="1:2">
      <c r="A74" s="177" t="s">
        <v>878</v>
      </c>
      <c r="B74" t="s">
        <v>1150</v>
      </c>
    </row>
    <row r="75" spans="1:2">
      <c r="A75" s="177" t="s">
        <v>110</v>
      </c>
      <c r="B75" t="s">
        <v>1148</v>
      </c>
    </row>
    <row r="76" spans="1:2">
      <c r="A76" s="177" t="s">
        <v>108</v>
      </c>
      <c r="B76" t="s">
        <v>1148</v>
      </c>
    </row>
    <row r="77" spans="1:2">
      <c r="A77" s="177" t="s">
        <v>1151</v>
      </c>
      <c r="B77" t="s">
        <v>1148</v>
      </c>
    </row>
    <row r="78" spans="1:2">
      <c r="A78" s="177" t="s">
        <v>862</v>
      </c>
      <c r="B78" t="s">
        <v>1148</v>
      </c>
    </row>
    <row r="79" spans="1:2">
      <c r="A79" s="177" t="s">
        <v>876</v>
      </c>
      <c r="B79" t="s">
        <v>1148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1" t="s">
        <v>1208</v>
      </c>
      <c r="B1" s="202"/>
      <c r="C1" s="202"/>
      <c r="D1" s="203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1207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878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1207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1" t="s">
        <v>1030</v>
      </c>
      <c r="B24" s="202"/>
      <c r="C24" s="202"/>
      <c r="D24" s="203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1033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1034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1031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1035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1031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1032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1032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201" t="s">
        <v>1039</v>
      </c>
      <c r="B49" s="202"/>
      <c r="C49" s="202"/>
      <c r="D49" s="203"/>
    </row>
    <row r="50" spans="1:4">
      <c r="A50" s="95"/>
      <c r="B50" s="96" t="s">
        <v>295</v>
      </c>
      <c r="C50" s="154" t="s">
        <v>309</v>
      </c>
      <c r="D50" s="98" t="s">
        <v>1036</v>
      </c>
    </row>
    <row r="51" spans="1:4">
      <c r="A51" s="95" t="s">
        <v>1036</v>
      </c>
      <c r="B51" s="96" t="s">
        <v>298</v>
      </c>
      <c r="C51" s="154" t="s">
        <v>1038</v>
      </c>
      <c r="D51" s="98"/>
    </row>
    <row r="52" spans="1:4">
      <c r="A52" s="95"/>
      <c r="B52" s="96" t="s">
        <v>878</v>
      </c>
      <c r="C52" s="154" t="s">
        <v>1037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201" t="s">
        <v>1044</v>
      </c>
      <c r="B56" s="202"/>
      <c r="C56" s="202"/>
      <c r="D56" s="203"/>
    </row>
    <row r="57" spans="1:4">
      <c r="A57" s="95"/>
      <c r="B57" s="96" t="s">
        <v>1025</v>
      </c>
      <c r="C57" s="154" t="s">
        <v>1042</v>
      </c>
      <c r="D57" s="98"/>
    </row>
    <row r="58" spans="1:4">
      <c r="A58" s="95" t="s">
        <v>1040</v>
      </c>
      <c r="B58" s="96" t="s">
        <v>164</v>
      </c>
      <c r="C58" s="154" t="s">
        <v>1043</v>
      </c>
      <c r="D58" s="98"/>
    </row>
    <row r="59" spans="1:4">
      <c r="A59" s="95"/>
      <c r="B59" s="96" t="s">
        <v>295</v>
      </c>
      <c r="C59" s="154" t="s">
        <v>309</v>
      </c>
      <c r="D59" s="98" t="s">
        <v>1036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1035</v>
      </c>
      <c r="D61" s="98"/>
    </row>
    <row r="62" spans="1:4">
      <c r="A62" s="95"/>
      <c r="B62" s="96" t="s">
        <v>878</v>
      </c>
      <c r="C62" s="154" t="s">
        <v>1037</v>
      </c>
      <c r="D62" s="98"/>
    </row>
    <row r="63" spans="1:4">
      <c r="A63" s="95"/>
      <c r="B63" s="96" t="s">
        <v>982</v>
      </c>
      <c r="C63" s="154"/>
      <c r="D63" s="98"/>
    </row>
    <row r="64" spans="1:4">
      <c r="A64" s="95"/>
      <c r="B64" s="96" t="s">
        <v>147</v>
      </c>
      <c r="C64" s="154" t="s">
        <v>152</v>
      </c>
      <c r="D64" s="98" t="s">
        <v>370</v>
      </c>
    </row>
    <row r="65" spans="1:4">
      <c r="A65" s="95"/>
      <c r="B65" s="96" t="s">
        <v>970</v>
      </c>
      <c r="C65" s="154" t="s">
        <v>1040</v>
      </c>
      <c r="D65" s="98"/>
    </row>
    <row r="66" spans="1:4">
      <c r="A66" s="95"/>
      <c r="B66" s="96" t="s">
        <v>190</v>
      </c>
      <c r="C66" s="154"/>
      <c r="D66" s="98"/>
    </row>
    <row r="67" spans="1:4">
      <c r="A67" s="95"/>
      <c r="B67" s="96"/>
      <c r="C67" s="154"/>
      <c r="D67" s="98"/>
    </row>
    <row r="68" spans="1:4">
      <c r="A68" s="95" t="s">
        <v>1036</v>
      </c>
      <c r="B68" s="96" t="s">
        <v>298</v>
      </c>
      <c r="C68" s="154" t="s">
        <v>1041</v>
      </c>
      <c r="D68" s="98"/>
    </row>
    <row r="69" spans="1:4" ht="15.75" thickBot="1"/>
    <row r="70" spans="1:4" ht="15.75" thickBot="1">
      <c r="A70" s="201" t="s">
        <v>1047</v>
      </c>
      <c r="B70" s="202"/>
      <c r="C70" s="202"/>
      <c r="D70" s="203"/>
    </row>
    <row r="71" spans="1:4">
      <c r="A71" s="95"/>
      <c r="B71" s="96" t="s">
        <v>295</v>
      </c>
      <c r="C71" s="154" t="s">
        <v>309</v>
      </c>
      <c r="D71" s="98" t="s">
        <v>1045</v>
      </c>
    </row>
    <row r="72" spans="1:4">
      <c r="A72" s="95"/>
      <c r="B72" s="96" t="s">
        <v>878</v>
      </c>
      <c r="C72" s="154" t="s">
        <v>1035</v>
      </c>
      <c r="D72" s="98"/>
    </row>
    <row r="73" spans="1:4">
      <c r="A73" s="95"/>
      <c r="B73" s="96" t="s">
        <v>878</v>
      </c>
      <c r="C73" s="154" t="s">
        <v>1037</v>
      </c>
      <c r="D73" s="98"/>
    </row>
    <row r="74" spans="1:4">
      <c r="A74" s="95"/>
      <c r="B74" s="96" t="s">
        <v>881</v>
      </c>
      <c r="C74" s="154" t="s">
        <v>433</v>
      </c>
      <c r="D74" s="98"/>
    </row>
    <row r="75" spans="1:4">
      <c r="A75" s="95"/>
      <c r="B75" s="96" t="s">
        <v>147</v>
      </c>
      <c r="C75" s="154" t="s">
        <v>152</v>
      </c>
      <c r="D75" s="98" t="s">
        <v>887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295</v>
      </c>
      <c r="C77" s="154" t="s">
        <v>309</v>
      </c>
      <c r="D77" s="98" t="s">
        <v>1036</v>
      </c>
    </row>
    <row r="78" spans="1:4">
      <c r="A78" s="95"/>
      <c r="B78" s="96" t="s">
        <v>982</v>
      </c>
      <c r="C78" s="154"/>
      <c r="D78" s="98"/>
    </row>
    <row r="79" spans="1:4">
      <c r="A79" s="95"/>
      <c r="B79" s="96" t="s">
        <v>190</v>
      </c>
      <c r="C79" s="154"/>
      <c r="D79" s="98"/>
    </row>
    <row r="80" spans="1:4">
      <c r="A80" s="95" t="s">
        <v>1045</v>
      </c>
      <c r="B80" s="96" t="s">
        <v>1046</v>
      </c>
      <c r="C80" s="154">
        <v>50</v>
      </c>
      <c r="D80" s="98"/>
    </row>
    <row r="81" spans="1:4">
      <c r="A81" s="95" t="s">
        <v>1036</v>
      </c>
      <c r="B81" s="96" t="s">
        <v>298</v>
      </c>
      <c r="C81" s="154" t="s">
        <v>1048</v>
      </c>
      <c r="D81" s="98"/>
    </row>
    <row r="82" spans="1:4" ht="15.75" thickBot="1"/>
    <row r="83" spans="1:4" ht="15.75" thickBot="1">
      <c r="A83" s="201" t="s">
        <v>1059</v>
      </c>
      <c r="B83" s="202"/>
      <c r="C83" s="202"/>
      <c r="D83" s="203"/>
    </row>
    <row r="84" spans="1:4">
      <c r="A84" s="95" t="s">
        <v>1054</v>
      </c>
      <c r="B84" s="96" t="s">
        <v>878</v>
      </c>
      <c r="C84" s="154" t="s">
        <v>1035</v>
      </c>
      <c r="D84" s="98"/>
    </row>
    <row r="85" spans="1:4">
      <c r="A85" s="95"/>
      <c r="B85" s="96" t="s">
        <v>878</v>
      </c>
      <c r="C85" s="154" t="s">
        <v>1037</v>
      </c>
      <c r="D85" s="98"/>
    </row>
    <row r="86" spans="1:4">
      <c r="A86" s="95"/>
      <c r="B86" s="96" t="s">
        <v>295</v>
      </c>
      <c r="C86" s="154" t="s">
        <v>309</v>
      </c>
      <c r="D86" s="98" t="s">
        <v>1055</v>
      </c>
    </row>
    <row r="87" spans="1:4">
      <c r="A87" s="95"/>
      <c r="B87" s="96" t="s">
        <v>147</v>
      </c>
      <c r="C87" s="154" t="s">
        <v>152</v>
      </c>
      <c r="D87" s="98" t="s">
        <v>887</v>
      </c>
    </row>
    <row r="88" spans="1:4">
      <c r="A88" s="95"/>
      <c r="B88" s="96" t="s">
        <v>982</v>
      </c>
      <c r="C88" s="154"/>
      <c r="D88" s="98"/>
    </row>
    <row r="89" spans="1:4">
      <c r="A89" s="95"/>
      <c r="B89" s="96" t="s">
        <v>147</v>
      </c>
      <c r="C89" s="154" t="s">
        <v>150</v>
      </c>
      <c r="D89" s="98" t="s">
        <v>259</v>
      </c>
    </row>
    <row r="90" spans="1:4">
      <c r="A90" s="95" t="s">
        <v>1051</v>
      </c>
      <c r="B90" s="96" t="s">
        <v>238</v>
      </c>
      <c r="C90" s="154" t="s">
        <v>150</v>
      </c>
      <c r="D90" s="98"/>
    </row>
    <row r="91" spans="1:4">
      <c r="A91" s="95"/>
      <c r="B91" s="96" t="s">
        <v>187</v>
      </c>
      <c r="C91" s="154" t="s">
        <v>152</v>
      </c>
      <c r="D91" s="98" t="s">
        <v>150</v>
      </c>
    </row>
    <row r="92" spans="1:4">
      <c r="A92" s="95"/>
      <c r="B92" s="96" t="s">
        <v>254</v>
      </c>
      <c r="C92" s="154" t="s">
        <v>1049</v>
      </c>
      <c r="D92" s="98"/>
    </row>
    <row r="93" spans="1:4">
      <c r="A93" s="95"/>
      <c r="B93" s="96" t="s">
        <v>147</v>
      </c>
      <c r="C93" s="154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4"/>
      <c r="D94" s="98"/>
    </row>
    <row r="95" spans="1:4">
      <c r="A95" s="95"/>
      <c r="B95" s="96" t="s">
        <v>878</v>
      </c>
      <c r="C95" s="154" t="s">
        <v>146</v>
      </c>
      <c r="D95" s="98"/>
    </row>
    <row r="96" spans="1:4">
      <c r="A96" s="95"/>
      <c r="B96" s="96" t="s">
        <v>163</v>
      </c>
      <c r="C96" s="154" t="s">
        <v>301</v>
      </c>
      <c r="D96" s="98"/>
    </row>
    <row r="97" spans="1:4">
      <c r="A97" s="95"/>
      <c r="B97" s="96" t="s">
        <v>254</v>
      </c>
      <c r="C97" s="154" t="s">
        <v>1053</v>
      </c>
      <c r="D97" s="98"/>
    </row>
    <row r="98" spans="1:4">
      <c r="A98" s="95"/>
      <c r="B98" s="96" t="s">
        <v>149</v>
      </c>
      <c r="C98" s="154" t="s">
        <v>165</v>
      </c>
      <c r="D98" s="98"/>
    </row>
    <row r="99" spans="1:4">
      <c r="A99" s="95"/>
      <c r="B99" s="96" t="s">
        <v>147</v>
      </c>
      <c r="C99" s="154" t="s">
        <v>152</v>
      </c>
      <c r="D99" s="98" t="s">
        <v>237</v>
      </c>
    </row>
    <row r="100" spans="1:4">
      <c r="A100" s="95"/>
      <c r="B100" s="96" t="s">
        <v>878</v>
      </c>
      <c r="C100" s="154" t="s">
        <v>983</v>
      </c>
      <c r="D100" s="98"/>
    </row>
    <row r="101" spans="1:4">
      <c r="A101" s="95"/>
      <c r="B101" s="96" t="s">
        <v>281</v>
      </c>
      <c r="C101" s="154" t="s">
        <v>165</v>
      </c>
      <c r="D101" s="98"/>
    </row>
    <row r="102" spans="1:4">
      <c r="A102" s="95"/>
      <c r="B102" s="96" t="s">
        <v>353</v>
      </c>
      <c r="C102" s="154" t="s">
        <v>1027</v>
      </c>
      <c r="D102" s="98"/>
    </row>
    <row r="103" spans="1:4">
      <c r="A103" s="95"/>
      <c r="B103" s="96"/>
      <c r="C103" s="154"/>
      <c r="D103" s="98"/>
    </row>
    <row r="104" spans="1:4">
      <c r="A104" s="95"/>
      <c r="B104" s="96"/>
      <c r="C104" s="154"/>
      <c r="D104" s="98"/>
    </row>
    <row r="105" spans="1:4">
      <c r="A105" s="95" t="s">
        <v>1053</v>
      </c>
      <c r="B105" s="96" t="s">
        <v>149</v>
      </c>
      <c r="C105" s="154" t="s">
        <v>165</v>
      </c>
      <c r="D105" s="98"/>
    </row>
    <row r="106" spans="1:4">
      <c r="A106" s="95"/>
      <c r="B106" s="96" t="s">
        <v>147</v>
      </c>
      <c r="C106" s="154" t="s">
        <v>152</v>
      </c>
      <c r="D106" s="98" t="s">
        <v>237</v>
      </c>
    </row>
    <row r="107" spans="1:4">
      <c r="A107" s="95"/>
      <c r="B107" s="96" t="s">
        <v>878</v>
      </c>
      <c r="C107" s="154" t="s">
        <v>983</v>
      </c>
      <c r="D107" s="98"/>
    </row>
    <row r="108" spans="1:4">
      <c r="A108" s="95"/>
      <c r="B108" s="96" t="s">
        <v>281</v>
      </c>
      <c r="C108" s="154" t="s">
        <v>165</v>
      </c>
      <c r="D108" s="98"/>
    </row>
    <row r="109" spans="1:4">
      <c r="A109" s="95"/>
      <c r="B109" s="96" t="s">
        <v>353</v>
      </c>
      <c r="C109" s="154" t="s">
        <v>1051</v>
      </c>
      <c r="D109" s="98"/>
    </row>
    <row r="110" spans="1:4">
      <c r="A110" s="95"/>
      <c r="B110" s="96"/>
      <c r="C110" s="154"/>
      <c r="D110" s="98"/>
    </row>
    <row r="111" spans="1:4">
      <c r="A111" s="95" t="s">
        <v>1049</v>
      </c>
      <c r="B111" s="96" t="s">
        <v>295</v>
      </c>
      <c r="C111" s="154" t="s">
        <v>309</v>
      </c>
      <c r="D111" s="98" t="s">
        <v>1056</v>
      </c>
    </row>
    <row r="112" spans="1:4">
      <c r="A112" s="95"/>
      <c r="B112" s="96" t="s">
        <v>147</v>
      </c>
      <c r="C112" s="154" t="s">
        <v>152</v>
      </c>
      <c r="D112" s="98" t="s">
        <v>887</v>
      </c>
    </row>
    <row r="113" spans="1:4">
      <c r="A113" s="95"/>
      <c r="B113" s="96" t="s">
        <v>982</v>
      </c>
      <c r="C113" s="154"/>
      <c r="D113" s="98"/>
    </row>
    <row r="114" spans="1:4">
      <c r="A114" s="95"/>
      <c r="B114" s="96" t="s">
        <v>190</v>
      </c>
      <c r="C114" s="154"/>
      <c r="D114" s="98"/>
    </row>
    <row r="115" spans="1:4">
      <c r="A115" s="95" t="s">
        <v>1055</v>
      </c>
      <c r="B115" s="96" t="s">
        <v>298</v>
      </c>
      <c r="C115" s="154" t="s">
        <v>1057</v>
      </c>
      <c r="D115" s="98"/>
    </row>
    <row r="116" spans="1:4">
      <c r="A116" s="95" t="s">
        <v>1056</v>
      </c>
      <c r="B116" s="96" t="s">
        <v>298</v>
      </c>
      <c r="C116" s="154" t="s">
        <v>1058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63" priority="4" operator="containsText" text=" ">
      <formula>NOT(ISERROR(SEARCH(" ",A116)))</formula>
    </cfRule>
  </conditionalFormatting>
  <conditionalFormatting sqref="A116">
    <cfRule type="expression" dxfId="62" priority="3">
      <formula>$E$13=$N116</formula>
    </cfRule>
  </conditionalFormatting>
  <conditionalFormatting sqref="A91">
    <cfRule type="containsText" dxfId="61" priority="2" operator="containsText" text=" ">
      <formula>NOT(ISERROR(SEARCH(" ",A91)))</formula>
    </cfRule>
  </conditionalFormatting>
  <conditionalFormatting sqref="A91">
    <cfRule type="expression" dxfId="6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108</vt:i4>
      </vt:variant>
    </vt:vector>
  </HeadingPairs>
  <TitlesOfParts>
    <vt:vector size="116" baseType="lpstr">
      <vt:lpstr>CPU</vt:lpstr>
      <vt:lpstr>Trace</vt:lpstr>
      <vt:lpstr>Unit Tests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2026-03-08T10:58:43Z</dcterms:modified>
</cp:coreProperties>
</file>