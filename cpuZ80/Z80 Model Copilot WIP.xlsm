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79519326-1FE9-4906-9D88-48FC900A74A6}" xr6:coauthVersionLast="47" xr6:coauthVersionMax="47" xr10:uidLastSave="{00000000-0000-0000-0000-000000000000}"/>
  <bookViews>
    <workbookView xWindow="3828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CPU!$H$22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TraceMemReads">CPU!$H$21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6" i="2" a="1"/>
  <c r="AB17" i="2" a="1"/>
  <c r="AB15" i="2" a="1"/>
  <c r="J195" i="5" a="1"/>
  <c r="J311" i="5" a="1"/>
  <c r="J130" i="5" a="1"/>
  <c r="J438" i="5" a="1"/>
  <c r="J260" i="5" a="1"/>
  <c r="J403" i="5" a="1"/>
  <c r="J393" i="5" a="1"/>
  <c r="J349" i="5" a="1"/>
  <c r="J165" i="5" a="1"/>
  <c r="J408" i="5" a="1"/>
  <c r="J235" i="5" a="1"/>
  <c r="J472" i="5" a="1"/>
  <c r="J151" i="5" a="1"/>
  <c r="J351" i="5" a="1"/>
  <c r="J383" i="5" a="1"/>
  <c r="J267" i="5" a="1"/>
  <c r="J392" i="5" a="1"/>
  <c r="J601" i="5" a="1"/>
  <c r="J424" i="5" a="1"/>
  <c r="J565" i="5" a="1"/>
  <c r="J372" i="5" a="1"/>
  <c r="J480" i="5" a="1"/>
  <c r="J197" i="5" a="1"/>
  <c r="J315" i="5" a="1"/>
  <c r="J473" i="5" a="1"/>
  <c r="J327" i="5" a="1"/>
  <c r="J464" i="5" a="1"/>
  <c r="J236" i="5" a="1"/>
  <c r="J560" i="5" a="1"/>
  <c r="J276" i="5" a="1"/>
  <c r="J710" i="5" a="1"/>
  <c r="J365" i="5" a="1"/>
  <c r="J128" i="5" a="1"/>
  <c r="J138" i="5" a="1"/>
  <c r="J247" i="5" a="1"/>
  <c r="J309" i="5" a="1"/>
  <c r="J249" i="5" a="1"/>
  <c r="J167" i="5" a="1"/>
  <c r="J746" i="5" a="1"/>
  <c r="J404" i="5" a="1"/>
  <c r="J668" i="5" a="1"/>
  <c r="J242" i="5" a="1"/>
  <c r="J695" i="5" a="1"/>
  <c r="J126" i="5" a="1"/>
  <c r="J300" i="5" a="1"/>
  <c r="J387" i="5" a="1"/>
  <c r="J129" i="5" a="1"/>
  <c r="J580" i="5" a="1"/>
  <c r="J142" i="5" a="1"/>
  <c r="J577" i="5" a="1"/>
  <c r="J324" i="5" a="1"/>
  <c r="J191" i="5" a="1"/>
  <c r="J677" i="5" a="1"/>
  <c r="J175" i="5" a="1"/>
  <c r="J256" i="5" a="1"/>
  <c r="J405" i="5" a="1"/>
  <c r="J557" i="5" a="1"/>
  <c r="J496" i="5" a="1"/>
  <c r="J305" i="5" a="1"/>
  <c r="J318" i="5" a="1"/>
  <c r="J227" i="5" a="1"/>
  <c r="J287" i="5" a="1"/>
  <c r="J295" i="5" a="1"/>
  <c r="J341" i="5" a="1"/>
  <c r="J367" i="5" a="1"/>
  <c r="J177" i="5" a="1"/>
  <c r="J342" i="5" a="1"/>
  <c r="J340" i="5" a="1"/>
  <c r="J166" i="5" a="1"/>
  <c r="J357" i="5" a="1"/>
  <c r="J323" i="5" a="1"/>
  <c r="J385" i="5" a="1"/>
  <c r="J487" i="5" a="1"/>
  <c r="J402" i="5" a="1"/>
  <c r="J206" i="5" a="1"/>
  <c r="J212" i="5" a="1"/>
  <c r="J728" i="5" a="1"/>
  <c r="J551" i="5" a="1"/>
  <c r="J417" i="5" a="1"/>
  <c r="J153" i="5" a="1"/>
  <c r="J199" i="5" a="1"/>
  <c r="J561" i="5" a="1"/>
  <c r="J200" i="5" a="1"/>
  <c r="J288" i="5" a="1"/>
  <c r="J234" i="5" a="1"/>
  <c r="J320" i="5" a="1"/>
  <c r="J428" i="5" a="1"/>
  <c r="J588" i="5" a="1"/>
  <c r="J492" i="5" a="1"/>
  <c r="J431" i="5" a="1"/>
  <c r="J602" i="5" a="1"/>
  <c r="J201" i="5" a="1"/>
  <c r="J788" i="5" a="1"/>
  <c r="J294" i="5" a="1"/>
  <c r="J330" i="5" a="1"/>
  <c r="J377" i="5" a="1"/>
  <c r="J282" i="5" a="1"/>
  <c r="J179" i="5" a="1"/>
  <c r="J562" i="5" a="1"/>
  <c r="J188" i="5" a="1"/>
  <c r="J608" i="5" a="1"/>
  <c r="J275" i="5" a="1"/>
  <c r="J176" i="5" a="1"/>
  <c r="J150" i="5" a="1"/>
  <c r="J595" i="5" a="1"/>
  <c r="J339" i="5" a="1"/>
  <c r="J453" i="5" a="1"/>
  <c r="J391" i="5" a="1"/>
  <c r="J178" i="5" a="1"/>
  <c r="J225" i="5" a="1"/>
  <c r="J127" i="5" a="1"/>
  <c r="J245" i="5" a="1"/>
  <c r="J555" i="5" a="1"/>
  <c r="J755" i="5" a="1"/>
  <c r="J474" i="5" a="1"/>
  <c r="J558" i="5" a="1"/>
  <c r="J132" i="5" a="1"/>
  <c r="J579" i="5" a="1"/>
  <c r="J576" i="5" a="1"/>
  <c r="J297" i="5" a="1"/>
  <c r="J626" i="5" a="1"/>
  <c r="J446" i="5" a="1"/>
  <c r="J158" i="5" a="1"/>
  <c r="J321" i="5" a="1"/>
  <c r="J141" i="5" a="1"/>
  <c r="J618" i="5" a="1"/>
  <c r="J171" i="5" a="1"/>
  <c r="J338" i="5" a="1"/>
  <c r="J550" i="5" a="1"/>
  <c r="J313" i="5" a="1"/>
  <c r="J350" i="5" a="1"/>
  <c r="J345" i="5" a="1"/>
  <c r="J303" i="5" a="1"/>
  <c r="J363" i="5" a="1"/>
  <c r="J283" i="5" a="1"/>
  <c r="J285" i="5" a="1"/>
  <c r="J799" i="5" a="1"/>
  <c r="J44" i="5" a="1"/>
  <c r="J634" i="5" a="1"/>
  <c r="J292" i="5" a="1"/>
  <c r="J719" i="5" a="1"/>
  <c r="J395" i="5" a="1"/>
  <c r="J237" i="5" a="1"/>
  <c r="J218" i="5" a="1"/>
  <c r="J189" i="5" a="1"/>
  <c r="J266" i="5" a="1"/>
  <c r="J332" i="5" a="1"/>
  <c r="J378" i="5" a="1"/>
  <c r="J246" i="5" a="1"/>
  <c r="J296" i="5" a="1"/>
  <c r="J331" i="5" a="1"/>
  <c r="J375" i="5" a="1"/>
  <c r="J798" i="5" a="1"/>
  <c r="J333" i="5" a="1"/>
  <c r="J243" i="5" a="1"/>
  <c r="J255" i="5" a="1"/>
  <c r="J261" i="5" a="1"/>
  <c r="J773" i="5" a="1"/>
  <c r="J196" i="5" a="1"/>
  <c r="J619" i="5" a="1"/>
  <c r="J376" i="5" a="1"/>
  <c r="J137" i="5" a="1"/>
  <c r="J347" i="5" a="1"/>
  <c r="J219" i="5" a="1"/>
  <c r="J168" i="5" a="1"/>
  <c r="J369" i="5" a="1"/>
  <c r="J228" i="5" a="1"/>
  <c r="J185" i="5" a="1"/>
  <c r="J278" i="5" a="1"/>
  <c r="J310" i="5" a="1"/>
  <c r="J271" i="5" a="1"/>
  <c r="J170" i="5" a="1"/>
  <c r="J155" i="5" a="1"/>
  <c r="J578" i="5" a="1"/>
  <c r="J274" i="5" a="1"/>
  <c r="J396" i="5" a="1"/>
  <c r="J306" i="5" a="1"/>
  <c r="J447" i="5" a="1"/>
  <c r="J360" i="5" a="1"/>
  <c r="J198" i="5" a="1"/>
  <c r="J644" i="5" a="1"/>
  <c r="J651" i="5" a="1"/>
  <c r="J766" i="5" a="1"/>
  <c r="J284" i="5" a="1"/>
  <c r="J286" i="5" a="1"/>
  <c r="J312" i="5" a="1"/>
  <c r="J493" i="5" a="1"/>
  <c r="J348" i="5" a="1"/>
  <c r="J556" i="5" a="1"/>
  <c r="J226" i="5" a="1"/>
  <c r="J143" i="5" a="1"/>
  <c r="J686" i="5" a="1"/>
  <c r="J552" i="5" a="1"/>
  <c r="J241" i="5" a="1"/>
  <c r="J269" i="5" a="1"/>
  <c r="J268" i="5" a="1"/>
  <c r="J449" i="5" a="1"/>
  <c r="J546" i="5" a="1"/>
  <c r="J494" i="5" a="1"/>
  <c r="J475" i="5" a="1"/>
  <c r="J131" i="5" a="1"/>
  <c r="J279" i="5" a="1"/>
  <c r="J594" i="5" a="1"/>
  <c r="J145" i="5" a="1"/>
  <c r="J559" i="5" a="1"/>
  <c r="J399" i="5" a="1"/>
  <c r="J314" i="5" a="1"/>
  <c r="J359" i="5" a="1"/>
  <c r="J737" i="5" a="1"/>
  <c r="J547" i="5" a="1"/>
  <c r="J304" i="5" a="1"/>
  <c r="J390" i="5" a="1"/>
  <c r="J776" i="5" a="1"/>
  <c r="J215" i="5" a="1"/>
  <c r="J368" i="5" a="1"/>
  <c r="J386" i="5" a="1"/>
  <c r="J186" i="5" a="1"/>
  <c r="J463" i="5" a="1"/>
  <c r="J366" i="5" a="1"/>
  <c r="J553" i="5" a="1"/>
  <c r="J413" i="5" a="1"/>
  <c r="J374" i="5" a="1"/>
  <c r="J248" i="5" a="1"/>
  <c r="J152" i="5" a="1"/>
  <c r="J329" i="5" a="1"/>
  <c r="J554" i="5" a="1"/>
  <c r="J302" i="5" a="1"/>
  <c r="J356" i="5" a="1"/>
  <c r="J262" i="5" a="1"/>
  <c r="J581" i="5" a="1"/>
  <c r="J144" i="5" a="1"/>
  <c r="J779" i="5" a="1"/>
  <c r="J548" i="5" a="1"/>
  <c r="J448" i="5" a="1"/>
  <c r="J293" i="5" a="1"/>
  <c r="J187" i="5" a="1"/>
  <c r="J322" i="5" a="1"/>
  <c r="J645" i="5" a="1"/>
  <c r="J394" i="5" a="1"/>
  <c r="J181" i="5" a="1"/>
  <c r="J384" i="5" a="1"/>
  <c r="J381" i="5" a="1"/>
  <c r="J549" i="5" a="1"/>
  <c r="J659" i="5" a="1"/>
  <c r="J156" i="5" a="1"/>
  <c r="J587" i="5" a="1"/>
  <c r="J336" i="5" a="1"/>
  <c r="J704" i="5" a="1"/>
  <c r="J291" i="5" a="1"/>
  <c r="J46" i="5" a="1"/>
  <c r="J263" i="5" a="1"/>
  <c r="J277" i="5" a="1"/>
  <c r="J270" i="5" a="1"/>
  <c r="J136" i="5" a="1"/>
  <c r="J354" i="5" a="1"/>
  <c r="J401" i="5" a="1"/>
  <c r="J358" i="5" a="1"/>
  <c r="AB53" i="2" l="1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100" i="5" a="1"/>
  <c r="J85" i="5" a="1"/>
  <c r="J86" i="5" a="1"/>
  <c r="J80" i="5" a="1"/>
  <c r="J108" i="5" a="1"/>
  <c r="J87" i="5" a="1"/>
  <c r="J109" i="5" a="1"/>
  <c r="J99" i="5" a="1"/>
  <c r="J91" i="5" a="1"/>
  <c r="J84" i="5" a="1"/>
  <c r="J88" i="5" a="1"/>
  <c r="J90" i="5" a="1"/>
  <c r="J107" i="5" a="1"/>
  <c r="J102" i="5" a="1"/>
  <c r="J101" i="5" a="1"/>
  <c r="J89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61" i="5" a="1"/>
  <c r="J26" i="5" a="1"/>
  <c r="J33" i="5" a="1"/>
  <c r="J42" i="5" a="1"/>
  <c r="J59" i="5" a="1"/>
  <c r="J22" i="5" a="1"/>
  <c r="J63" i="5" a="1"/>
  <c r="J12" i="5" a="1"/>
  <c r="J69" i="5" a="1"/>
  <c r="J52" i="5" a="1"/>
  <c r="J51" i="5" a="1"/>
  <c r="J77" i="5" a="1"/>
  <c r="J72" i="5" a="1"/>
  <c r="J19" i="5" a="1"/>
  <c r="J70" i="5" a="1"/>
  <c r="J79" i="5" a="1"/>
  <c r="J40" i="5" a="1"/>
  <c r="J31" i="5" a="1"/>
  <c r="J35" i="5" a="1"/>
  <c r="J78" i="5" a="1"/>
  <c r="J60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6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<sst xmlns="http://schemas.openxmlformats.org/spreadsheetml/2006/main" count="4790" uniqueCount="1161">
  <si>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</si>
  <si>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</si>
  <si>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</si>
  <si>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</si>
  <si>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</si>
  <si>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</si>
  <si>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</si>
  <si>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</si>
  <si>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</si>
  <si>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</si>
  <si>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</si>
  <si>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</si>
  <si>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</si>
  <si>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</si>
  <si>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</si>
  <si>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</si>
  <si>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</si>
  <si>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</si>
  <si>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</si>
  <si>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</si>
  <si>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</si>
  <si>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</si>
  <si>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</si>
  <si>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</si>
  <si>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</si>
  <si>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</si>
  <si>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</si>
  <si>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</si>
  <si>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</si>
  <si>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</si>
  <si>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</si>
  <si>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</si>
  <si>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</si>
  <si>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</si>
  <si>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</si>
  <si>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</si>
  <si>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</si>
  <si>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</si>
  <si>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</si>
  <si>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</si>
  <si>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</si>
  <si>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</si>
  <si>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</si>
  <si>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</si>
  <si>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</si>
  <si>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</si>
  <si>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</si>
  <si>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</si>
  <si>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</si>
  <si>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</si>
  <si>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</si>
  <si>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</si>
  <si>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</si>
  <si>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</si>
  <si>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</si>
  <si>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</si>
  <si>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</si>
  <si>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</si>
  <si>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</si>
  <si>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</si>
  <si>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</si>
  <si>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</si>
  <si>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</si>
  <si>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</si>
  <si>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</si>
  <si>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</si>
  <si>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</si>
  <si>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</si>
  <si>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</si>
  <si>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</si>
  <si>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</si>
  <si>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</si>
  <si>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</si>
  <si>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</si>
  <si>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</si>
  <si>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</si>
  <si>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</si>
  <si>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</si>
  <si>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</si>
  <si>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</si>
  <si>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</si>
  <si>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</si>
  <si>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</si>
  <si>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</si>
  <si>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</si>
  <si>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</si>
  <si>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</si>
  <si>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</si>
  <si>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</si>
  <si>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</si>
  <si>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</si>
  <si>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</si>
  <si>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</si>
  <si>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</si>
  <si>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</si>
  <si>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</si>
  <si>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</si>
  <si>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</si>
  <si>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</si>
  <si>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</si>
  <si>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</si>
  <si>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</si>
  <si>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</si>
  <si>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</si>
  <si>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</si>
  <si>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</si>
  <si>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</si>
  <si>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</si>
  <si>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</si>
  <si>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</si>
  <si>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</si>
  <si>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</si>
  <si>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</si>
  <si>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</si>
  <si>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</si>
  <si>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</si>
  <si>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</si>
  <si>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</si>
  <si>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</si>
  <si>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</si>
  <si>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</si>
  <si>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</si>
  <si>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</si>
  <si>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</si>
  <si>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</si>
  <si>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</si>
  <si>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</si>
  <si>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</si>
  <si>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</si>
  <si>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</si>
  <si>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</si>
  <si>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</si>
  <si>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</si>
  <si>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</si>
  <si>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</si>
  <si>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</si>
  <si>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</si>
  <si>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</si>
  <si>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</si>
  <si>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</si>
  <si>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</si>
  <si>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</si>
  <si>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</si>
  <si>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</si>
  <si>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</si>
  <si>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</si>
  <si>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</si>
  <si>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</si>
  <si>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</si>
  <si>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</si>
  <si>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</si>
  <si>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</si>
  <si>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</si>
  <si>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</si>
  <si>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</si>
  <si>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</si>
  <si>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</si>
  <si>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</si>
  <si>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</si>
  <si>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</si>
  <si>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</si>
  <si>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</si>
  <si>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</si>
  <si>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</si>
  <si>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</si>
  <si>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</si>
  <si>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</si>
  <si>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</si>
  <si>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</si>
  <si>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</si>
  <si>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</si>
  <si>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</si>
  <si>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</si>
  <si>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</si>
  <si>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</si>
  <si>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</si>
  <si>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</si>
  <si>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</si>
  <si>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</si>
  <si>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</si>
  <si>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</si>
  <si>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</si>
  <si>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</si>
  <si>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</si>
  <si>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</si>
  <si>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</si>
  <si>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</si>
  <si>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</si>
  <si>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</si>
  <si>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</si>
  <si>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</si>
  <si>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</si>
  <si>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</si>
  <si>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</si>
  <si>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</si>
  <si>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</si>
  <si>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</si>
  <si>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</si>
  <si>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</si>
  <si>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</si>
  <si>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</si>
  <si>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</si>
  <si>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</si>
  <si>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</si>
  <si>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</si>
  <si>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</si>
  <si>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</si>
  <si>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</si>
  <si>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</si>
  <si>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</si>
  <si>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</si>
  <si>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</si>
  <si>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</si>
  <si>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</si>
  <si>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</si>
  <si>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</si>
  <si>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</si>
  <si>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</si>
  <si>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</si>
  <si>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</si>
  <si>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</si>
  <si>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</si>
  <si>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</si>
  <si>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</si>
  <si>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</si>
  <si>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</si>
  <si>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</si>
  <si>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</si>
  <si>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</si>
  <si>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</si>
  <si>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</si>
  <si>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</si>
  <si>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</si>
  <si>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</si>
  <si>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</si>
  <si>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</si>
  <si>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</si>
  <si>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</si>
  <si>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</si>
  <si>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</si>
  <si>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</si>
  <si>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</si>
  <si>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</si>
  <si>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</si>
  <si>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</si>
  <si>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</si>
  <si>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</si>
  <si>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</si>
  <si>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</si>
  <si>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</si>
  <si>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</si>
  <si>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</si>
  <si>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</si>
  <si>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</si>
  <si>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</si>
  <si>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</si>
  <si>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</si>
  <si>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</si>
  <si>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</si>
  <si>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</si>
  <si>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</si>
  <si>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</si>
  <si>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</si>
  <si>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</si>
  <si>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</si>
  <si>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</si>
  <si>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</si>
  <si>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</si>
  <si>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</si>
  <si>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</si>
  <si>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</si>
  <si>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</si>
  <si>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</si>
  <si>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</si>
  <si>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</si>
  <si>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</si>
  <si>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</si>
  <si>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</si>
  <si>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</si>
  <si>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</si>
  <si>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</si>
  <si>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</si>
  <si>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</si>
  <si>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</si>
  <si>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</si>
  <si>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</si>
  <si>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</si>
  <si>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</si>
  <si>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</si>
  <si>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</si>
  <si>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</si>
  <si>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</si>
  <si>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</si>
  <si>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</si>
  <si>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</si>
  <si>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</si>
  <si>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</si>
  <si>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</si>
  <si>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</si>
  <si>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</si>
  <si>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</si>
  <si>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</si>
  <si>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</si>
  <si>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</si>
  <si>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</si>
  <si>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</si>
  <si>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</si>
  <si>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</si>
  <si>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</si>
  <si>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</si>
  <si>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</si>
  <si>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</si>
  <si>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</si>
  <si>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</si>
  <si>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</si>
  <si>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</si>
  <si>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</si>
  <si>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</si>
  <si>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</si>
  <si>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</si>
  <si>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</si>
  <si>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</si>
  <si>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</si>
  <si>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</si>
  <si>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</si>
  <si>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</si>
  <si>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</si>
  <si>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</si>
  <si>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</si>
  <si>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</si>
  <si>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</si>
  <si>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</si>
  <si>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</si>
  <si>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</si>
  <si>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</si>
  <si>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</si>
  <si>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</si>
  <si>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</si>
  <si>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</si>
  <si>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</si>
  <si>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</si>
  <si>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</si>
  <si>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</si>
  <si>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</si>
  <si>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</si>
  <si>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</si>
  <si>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</si>
  <si>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</si>
  <si>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</si>
  <si>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</si>
  <si>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</si>
  <si>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</si>
  <si>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</si>
  <si>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</si>
  <si>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</si>
  <si>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</si>
  <si>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</si>
  <si>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</si>
  <si>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</si>
  <si>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</si>
  <si>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</si>
  <si>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</si>
  <si>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</si>
  <si>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</si>
  <si>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</si>
  <si>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</si>
  <si>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</si>
  <si>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</si>
  <si>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</si>
  <si>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</si>
  <si>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</si>
  <si>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</si>
  <si>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</si>
  <si>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</si>
  <si>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</si>
  <si>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</si>
  <si>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</si>
  <si>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</si>
  <si>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</si>
  <si>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</si>
  <si>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</si>
  <si>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</si>
  <si>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</si>
  <si>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</si>
  <si>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</si>
  <si>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</si>
  <si>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</si>
  <si>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</si>
  <si>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</si>
  <si>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</si>
  <si>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</si>
  <si>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</si>
  <si>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</si>
  <si>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</si>
  <si>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</si>
  <si>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</si>
  <si>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</si>
  <si>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</si>
  <si>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</si>
  <si>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</si>
  <si>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</si>
  <si>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</si>
  <si>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</si>
  <si>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</si>
  <si>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</si>
  <si>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</si>
  <si>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</si>
  <si>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</si>
  <si>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</si>
  <si>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</si>
  <si>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</si>
  <si>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</si>
  <si>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</si>
  <si>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</si>
  <si>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</si>
  <si>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</si>
  <si>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</si>
  <si>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</si>
  <si>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</si>
  <si>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</si>
  <si>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</si>
  <si>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</si>
  <si>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</si>
  <si>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</si>
  <si>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</si>
  <si>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</si>
  <si>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</si>
  <si>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</si>
  <si>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</si>
  <si>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</si>
  <si>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</si>
  <si>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</si>
  <si>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</si>
  <si>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</si>
  <si>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</si>
  <si>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</si>
  <si>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</si>
  <si>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</si>
  <si>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</si>
  <si>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</si>
  <si>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</si>
  <si>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</si>
  <si>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</si>
  <si>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</si>
  <si>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</si>
  <si>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</si>
  <si>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</si>
  <si>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</si>
  <si>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</si>
  <si>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</si>
  <si>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</si>
  <si>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</si>
  <si>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</si>
  <si>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</si>
  <si>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</si>
  <si>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</si>
  <si>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</si>
  <si>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</si>
  <si>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</si>
  <si>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</si>
  <si>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</si>
  <si>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</si>
  <si>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</si>
  <si>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</si>
  <si>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</si>
  <si>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</si>
  <si>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</si>
  <si>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</si>
  <si>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</si>
  <si>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</si>
  <si>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</si>
  <si>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</si>
  <si>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</si>
  <si>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</si>
  <si>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</si>
  <si>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</si>
  <si>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</si>
  <si>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</si>
  <si>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</si>
  <si>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</si>
  <si>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</si>
  <si>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</si>
  <si>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</si>
  <si>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</si>
  <si>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</si>
  <si>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</si>
  <si>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</si>
  <si>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</si>
  <si>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</si>
  <si>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</si>
  <si>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</si>
  <si>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</si>
  <si>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</si>
  <si>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</si>
  <si>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</si>
  <si>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</si>
  <si>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</si>
  <si>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</si>
  <si>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</si>
  <si>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</si>
  <si>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</si>
  <si>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</si>
  <si>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</si>
  <si>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</si>
  <si>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</si>
  <si>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</si>
  <si>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</si>
  <si>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</si>
  <si>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</si>
  <si>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</si>
  <si>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</si>
  <si>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</si>
  <si>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</si>
  <si>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</si>
  <si>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</si>
  <si>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</si>
  <si>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</si>
  <si>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</si>
  <si>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</si>
  <si>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</si>
  <si>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</si>
  <si>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</si>
  <si>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</si>
  <si>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</si>
  <si>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</si>
  <si>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</si>
  <si>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</si>
  <si>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</si>
  <si>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</si>
  <si>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</si>
  <si>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</si>
  <si>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</si>
  <si>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</si>
  <si>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</si>
  <si>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</si>
  <si>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</si>
  <si>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</si>
  <si>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</si>
  <si>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</si>
  <si>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</si>
  <si>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</si>
  <si>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</si>
  <si>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</si>
  <si>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</si>
  <si>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</si>
  <si>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</si>
  <si>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</si>
  <si>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</si>
  <si>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</si>
  <si>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</si>
  <si>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</si>
  <si>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</si>
  <si>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</si>
  <si>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</si>
  <si>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</si>
  <si>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</si>
  <si>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</si>
  <si>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</si>
  <si>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</si>
  <si>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</si>
  <si>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</si>
  <si>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</si>
  <si>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</si>
  <si>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</si>
  <si>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</si>
  <si>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</si>
  <si>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</si>
  <si>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</si>
  <si>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</si>
  <si>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</si>
  <si>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</si>
  <si>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</si>
  <si>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</si>
  <si>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</si>
  <si>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</si>
  <si>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</si>
  <si>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</si>
  <si>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</si>
  <si>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</si>
  <si>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</si>
  <si>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</si>
  <si>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</si>
  <si>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</si>
  <si>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</si>
  <si>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</si>
  <si>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</si>
  <si>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</si>
  <si>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</si>
  <si>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</si>
  <si>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</si>
  <si>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</si>
  <si>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</si>
  <si>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</si>
  <si>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</si>
  <si>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</si>
  <si>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</si>
  <si>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</si>
  <si>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</si>
  <si>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</si>
  <si>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</si>
  <si>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</si>
  <si>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</si>
  <si>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</si>
  <si>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</si>
  <si>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</si>
  <si>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</si>
  <si>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</si>
  <si>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</si>
  <si>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</si>
  <si>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</si>
  <si>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</si>
  <si>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</si>
  <si>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</si>
  <si>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</si>
  <si>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</si>
  <si>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</si>
  <si>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</si>
  <si>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</si>
  <si>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</si>
  <si>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</si>
  <si>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</si>
  <si>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</si>
  <si>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</si>
  <si>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</si>
  <si>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</si>
  <si>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</si>
  <si>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</si>
  <si>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</si>
  <si>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</si>
  <si>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</si>
  <si>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</si>
  <si>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</si>
  <si>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</si>
  <si>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</si>
  <si>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</si>
  <si>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</si>
  <si>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</si>
  <si>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</si>
  <si>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</si>
  <si>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</si>
  <si>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</si>
  <si>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</si>
  <si>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</si>
  <si>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</si>
  <si>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</si>
  <si>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</si>
  <si>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</si>
  <si>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</si>
  <si>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</si>
  <si>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</si>
  <si>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</si>
  <si>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</si>
  <si>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</si>
  <si>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</si>
  <si>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</si>
  <si>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</si>
  <si>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</si>
  <si>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</si>
  <si>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</si>
  <si>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</si>
  <si>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</si>
  <si>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</si>
  <si>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</si>
  <si>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</si>
  <si>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</si>
  <si>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</si>
  <si>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</si>
  <si>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</si>
  <si>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</si>
  <si>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</si>
  <si>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</si>
  <si>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</si>
  <si>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</si>
  <si>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</si>
  <si>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</si>
  <si>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</si>
  <si>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</si>
  <si>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</si>
  <si>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</si>
  <si>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</si>
  <si>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</si>
  <si>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</si>
  <si>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</si>
  <si>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</si>
  <si>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</si>
  <si>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</si>
  <si>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</si>
  <si>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</si>
  <si>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</si>
  <si>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</si>
  <si>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</si>
  <si>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</si>
  <si>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</si>
  <si>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</si>
  <si>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</si>
  <si>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</si>
  <si>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</si>
  <si>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</si>
  <si>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</si>
  <si>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</si>
  <si>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</si>
  <si>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</si>
  <si>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</si>
  <si>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</si>
  <si>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</si>
  <si>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</si>
  <si>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</si>
  <si>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</si>
  <si>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</si>
  <si>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</si>
  <si>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</si>
  <si>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</si>
  <si>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</si>
  <si>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</si>
  <si>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</si>
  <si>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</si>
  <si>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</si>
  <si>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</si>
  <si>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</si>
  <si>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</si>
  <si>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</si>
  <si>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</si>
  <si>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</si>
  <si>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</si>
  <si>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</si>
  <si>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</si>
  <si>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</si>
  <si>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</si>
  <si>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</si>
  <si>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</si>
  <si>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</si>
  <si>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</si>
  <si>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</si>
  <si>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</si>
  <si>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</si>
  <si>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</si>
  <si>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</si>
  <si>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</si>
  <si>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</si>
  <si>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</si>
  <si>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</si>
  <si>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</si>
  <si>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</si>
  <si>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</si>
  <si>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</si>
  <si>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</si>
  <si>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</si>
  <si>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</si>
  <si>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</si>
  <si>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</si>
  <si>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</si>
  <si>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</si>
  <si>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</si>
  <si>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</si>
  <si>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</si>
  <si>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</si>
  <si>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</si>
  <si>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</si>
  <si>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</si>
  <si>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</si>
  <si>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</si>
  <si>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</si>
  <si>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</si>
  <si>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</si>
  <si>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</si>
  <si>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</si>
  <si>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</si>
  <si>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</si>
  <si>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</si>
  <si>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</si>
  <si>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</si>
  <si>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</si>
  <si>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</si>
  <si>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</si>
  <si>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</si>
  <si>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</si>
  <si>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</si>
  <si>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</si>
  <si>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</si>
  <si>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</si>
  <si>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</si>
  <si>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</si>
  <si>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</si>
  <si>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</si>
  <si>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</si>
  <si>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</si>
  <si>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</si>
  <si>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</si>
  <si>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</si>
  <si>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</si>
  <si>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</si>
  <si>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</si>
  <si>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</si>
  <si>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</si>
  <si>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</si>
  <si>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</si>
  <si>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</si>
  <si>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</si>
  <si>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</si>
  <si>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</si>
  <si>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</si>
  <si>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</si>
  <si>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</si>
  <si>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</si>
  <si>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</si>
  <si>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</si>
  <si>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</si>
  <si>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</si>
  <si>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</si>
  <si>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</si>
  <si>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</si>
  <si>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</si>
  <si>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</si>
  <si>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</si>
  <si>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</si>
  <si>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</si>
  <si>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</si>
  <si>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</si>
  <si>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</si>
  <si>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</si>
  <si>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</si>
  <si>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</si>
  <si>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</si>
  <si>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</si>
  <si>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</si>
  <si>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</si>
  <si>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</si>
  <si>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</si>
  <si>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</si>
  <si>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</si>
  <si>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</si>
  <si>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</si>
  <si>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</si>
  <si>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</si>
  <si>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</si>
  <si>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</si>
  <si>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</si>
  <si>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</si>
  <si>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</si>
  <si>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</si>
  <si>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</si>
  <si>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</si>
  <si>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</si>
  <si>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</si>
  <si>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</si>
  <si>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</si>
  <si>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</si>
  <si>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</si>
  <si>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</si>
  <si>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</si>
  <si>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</si>
  <si>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</si>
  <si>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</si>
  <si>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</si>
  <si>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</si>
  <si>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</si>
  <si>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</si>
  <si>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</si>
  <si>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</si>
  <si>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</si>
  <si>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</si>
  <si>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</si>
  <si>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</si>
  <si>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</si>
  <si>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</si>
  <si>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</si>
  <si>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</si>
  <si>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</si>
  <si>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</si>
  <si>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</si>
  <si>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</si>
  <si>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</si>
  <si>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</si>
  <si>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</si>
  <si>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</si>
  <si>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</si>
  <si>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</si>
  <si>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</si>
  <si>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</si>
  <si>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</si>
  <si>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</si>
  <si>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</si>
  <si>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</si>
  <si>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</si>
  <si>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</si>
  <si>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</si>
  <si>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</si>
  <si>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</si>
  <si>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</si>
  <si>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</si>
  <si>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</si>
  <si>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</si>
  <si>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</si>
  <si>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</si>
  <si>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</si>
  <si>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</si>
  <si>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</si>
  <si>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</si>
  <si>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</si>
  <si>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</si>
  <si>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</si>
  <si>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</si>
  <si>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</si>
  <si>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</si>
  <si>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</si>
  <si>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</si>
  <si>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</si>
  <si>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</si>
  <si>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</si>
  <si>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</si>
  <si>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</si>
  <si>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</si>
  <si>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</si>
  <si>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</si>
  <si>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</si>
  <si>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</si>
  <si>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</si>
  <si>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</si>
  <si>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</si>
  <si>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</si>
  <si>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</si>
  <si>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</si>
  <si>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</si>
  <si>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</si>
  <si>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</si>
  <si>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</si>
  <si>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</si>
  <si>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</si>
  <si>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</si>
  <si>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</si>
  <si>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</si>
  <si>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</si>
  <si>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</si>
  <si>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</si>
  <si>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</si>
  <si>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</si>
  <si>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</si>
  <si>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</si>
  <si>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</si>
  <si>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</si>
  <si>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</si>
  <si>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</si>
  <si>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</si>
  <si>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</si>
  <si>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</si>
  <si>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</si>
  <si>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</si>
  <si>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</si>
  <si>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</si>
  <si>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</si>
  <si>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</si>
  <si>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</si>
  <si>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</si>
  <si>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</si>
  <si>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</si>
  <si>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</si>
  <si>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</si>
  <si>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</si>
  <si>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</si>
  <si>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</si>
  <si>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</si>
  <si>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</si>
  <si>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</si>
  <si>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</si>
  <si>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</si>
  <si>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</si>
  <si>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</si>
  <si>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</si>
  <si>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</si>
  <si>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</si>
  <si>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</si>
  <si>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</si>
  <si>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</si>
  <si>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</si>
  <si>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</si>
  <si>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</si>
  <si>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</si>
  <si>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</si>
  <si>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</si>
  <si>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</si>
  <si>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</si>
  <si>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</si>
  <si>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</si>
  <si>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</si>
  <si>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</si>
  <si>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</si>
  <si>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</si>
  <si>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</si>
  <si>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</si>
  <si>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</si>
  <si>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</si>
  <si>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</si>
  <si>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</si>
  <si>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</si>
  <si>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</si>
  <si>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</si>
  <si>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</si>
  <si>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</si>
  <si>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</si>
  <si>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</si>
  <si>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</si>
  <si>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</si>
  <si>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</si>
  <si>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</si>
  <si>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</si>
  <si>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</si>
  <si>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</si>
  <si>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</si>
  <si>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</si>
  <si>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</si>
  <si>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</si>
  <si>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</si>
  <si>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</si>
  <si>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</si>
  <si>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</si>
  <si>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</si>
  <si>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</si>
  <si>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</si>
  <si>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</si>
  <si>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</si>
  <si>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</si>
  <si>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</si>
  <si>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</si>
  <si>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</si>
  <si>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</si>
  <si>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</si>
  <si>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</si>
  <si>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</si>
  <si>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</si>
  <si>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</si>
  <si>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</si>
  <si>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</si>
  <si>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</si>
  <si>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</si>
  <si>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</si>
  <si>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</si>
  <si>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</si>
  <si>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</si>
  <si>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</si>
  <si>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</si>
  <si>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</si>
  <si>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</si>
  <si>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</si>
  <si>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</si>
  <si>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</si>
  <si>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</si>
  <si>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</si>
  <si>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</si>
  <si>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</si>
  <si>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</si>
  <si>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</si>
  <si>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</si>
  <si>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</si>
  <si>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</si>
  <si>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</si>
  <si>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</si>
  <si>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</si>
  <si>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</si>
  <si>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</si>
  <si>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</si>
  <si>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</si>
  <si>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</si>
  <si>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</si>
  <si>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</si>
  <si>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</si>
  <si>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</si>
  <si>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</si>
  <si>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</si>
  <si>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</si>
  <si>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</si>
  <si>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</si>
  <si>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</si>
  <si>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</si>
  <si>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</si>
  <si>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</si>
  <si>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</si>
  <si>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</si>
  <si>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</si>
  <si>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</si>
  <si>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</si>
  <si>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</si>
  <si>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</si>
  <si>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</si>
  <si>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</si>
  <si>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</si>
  <si>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</si>
  <si>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</si>
  <si>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</si>
  <si>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</si>
  <si>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</si>
  <si>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</si>
  <si>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</si>
  <si>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</si>
  <si>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</si>
  <si>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</si>
  <si>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</si>
  <si>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</si>
  <si>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</si>
  <si>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</si>
  <si>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</si>
  <si>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</si>
  <si>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</si>
  <si>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</si>
  <si>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</si>
  <si>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</si>
  <si>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</si>
  <si>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</si>
  <si>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</si>
  <si>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</si>
  <si>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</si>
  <si>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</si>
  <si>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</si>
  <si>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</si>
  <si>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</si>
  <si>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</si>
  <si>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</si>
  <si>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</si>
  <si>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</si>
  <si>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</si>
  <si>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</si>
  <si>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</si>
  <si>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</si>
  <si>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</si>
  <si>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</si>
  <si>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</si>
  <si>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</si>
  <si>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</si>
  <si>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</si>
  <si>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</si>
  <si>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</si>
  <si>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</si>
  <si>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</si>
  <si>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</si>
  <si>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</si>
  <si>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</si>
  <si>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</si>
  <si>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</si>
  <si>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</si>
  <si>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Execution Complete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</si>
  <si>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</si>
  <si>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</si>
  <si>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</si>
  <si>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</si>
  <si>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</si>
  <si>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</si>
  <si>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</si>
  <si>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</si>
  <si>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</si>
  <si>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</si>
  <si>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</si>
  <si>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</si>
  <si>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</si>
  <si>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</si>
  <si>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</si>
  <si>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</si>
  <si>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</si>
  <si>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</si>
  <si>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</si>
  <si>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</si>
  <si>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</si>
  <si>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this is a test of this program.  it works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</si>
</sst>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14</xdr:row>
          <xdr:rowOff>190500</xdr:rowOff>
        </xdr:from>
        <xdr:to>
          <xdr:col>5</xdr:col>
          <xdr:colOff>152400</xdr:colOff>
          <xdr:row>16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82" t="s">
        <v>1138</v>
      </c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4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2">
        <v>7</v>
      </c>
      <c r="AE3" s="113">
        <v>6</v>
      </c>
      <c r="AF3" s="113">
        <v>5</v>
      </c>
      <c r="AG3" s="113">
        <v>4</v>
      </c>
      <c r="AH3" s="113">
        <v>3</v>
      </c>
      <c r="AI3" s="113">
        <v>2</v>
      </c>
      <c r="AJ3" s="113">
        <v>1</v>
      </c>
      <c r="AK3" s="114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1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6">
        <f t="shared" si="0"/>
        <v>0</v>
      </c>
      <c r="AL4" s="86" t="s">
        <v>406</v>
      </c>
      <c r="AM4" s="115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6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7">
        <f t="shared" si="1"/>
        <v>0</v>
      </c>
      <c r="AL5" s="118">
        <f>SUM(AD5:AK5)</f>
        <v>2</v>
      </c>
      <c r="AM5" s="119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1" t="s">
        <v>506</v>
      </c>
      <c r="T7" s="148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/>
      <c r="Q8" s="76"/>
      <c r="R8" s="100"/>
      <c r="S8" s="152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9"/>
      <c r="P9" s="99"/>
      <c r="Q9" s="76"/>
      <c r="R9" s="100"/>
      <c r="S9" s="153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4" t="str">
        <f>DEC2HEX(AC10)</f>
        <v>5F</v>
      </c>
      <c r="AD9" s="120">
        <f>1-AD5</f>
        <v>0</v>
      </c>
      <c r="AE9" s="120">
        <f t="shared" ref="AE9:AK9" si="14">1-AE5</f>
        <v>1</v>
      </c>
      <c r="AF9" s="120">
        <f t="shared" si="14"/>
        <v>0</v>
      </c>
      <c r="AG9" s="120">
        <f t="shared" si="14"/>
        <v>1</v>
      </c>
      <c r="AH9" s="120">
        <f t="shared" si="14"/>
        <v>1</v>
      </c>
      <c r="AI9" s="120">
        <f t="shared" si="14"/>
        <v>1</v>
      </c>
      <c r="AJ9" s="120">
        <f t="shared" si="14"/>
        <v>1</v>
      </c>
      <c r="AK9" s="121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0100</v>
      </c>
      <c r="N10" s="69">
        <f t="shared" ref="N10:N73" si="15">N9+S9</f>
        <v>256</v>
      </c>
      <c r="O10" s="99"/>
      <c r="P10" s="99"/>
      <c r="Q10" s="76"/>
      <c r="R10" s="100"/>
      <c r="S10" s="153">
        <f>IF(P10="",0,IF(OR(O10=";",P10="EQU",P10="ORG"),0,IF(P10="DS",HEX2DEC(Q10),IF(P10="DB",LEN(Q10)+1,VLOOKUP(TRIM(P10),'8080 Op to Hex'!$A:$F,6,0)))))</f>
        <v>0</v>
      </c>
      <c r="V10" s="48"/>
      <c r="W10" s="16"/>
      <c r="X10" s="34"/>
      <c r="Y10" s="35"/>
      <c r="AB10" s="8" t="s">
        <v>405</v>
      </c>
      <c r="AC10" s="125">
        <f>SUM(AD10:AK10)</f>
        <v>95</v>
      </c>
      <c r="AD10" s="122">
        <f t="shared" ref="AD10" si="16">AD9*AD6</f>
        <v>0</v>
      </c>
      <c r="AE10" s="122">
        <f t="shared" ref="AE10" si="17">AE9*AE6</f>
        <v>64</v>
      </c>
      <c r="AF10" s="122">
        <f t="shared" ref="AF10" si="18">AF9*AF6</f>
        <v>0</v>
      </c>
      <c r="AG10" s="122">
        <f t="shared" ref="AG10" si="19">AG9*AG6</f>
        <v>16</v>
      </c>
      <c r="AH10" s="122">
        <f t="shared" ref="AH10" si="20">AH9*AH6</f>
        <v>8</v>
      </c>
      <c r="AI10" s="122">
        <f t="shared" ref="AI10" si="21">AI9*AI6</f>
        <v>4</v>
      </c>
      <c r="AJ10" s="122">
        <f t="shared" ref="AJ10" si="22">AJ9*AJ6</f>
        <v>2</v>
      </c>
      <c r="AK10" s="123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0100</v>
      </c>
      <c r="N11" s="69">
        <f t="shared" si="15"/>
        <v>256</v>
      </c>
      <c r="O11" s="99"/>
      <c r="P11" s="99"/>
      <c r="Q11" s="76"/>
      <c r="R11" s="100"/>
      <c r="S11" s="153">
        <f>IF(P11="",0,IF(OR(O11=";",P11="EQU",P11="ORG"),0,IF(P11="DS",HEX2DEC(Q11),IF(P11="DB",LEN(Q11)+1,VLOOKUP(TRIM(P11),'8080 Op to Hex'!$A:$F,6,0)))))</f>
        <v>0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467</v>
      </c>
      <c r="D12" s="34" t="str">
        <f t="shared" si="3"/>
        <v>.</v>
      </c>
      <c r="E12" s="35">
        <f t="shared" si="4"/>
        <v>9</v>
      </c>
      <c r="K12" s="85"/>
      <c r="L12" s="54" t="str">
        <f t="shared" si="13"/>
        <v/>
      </c>
      <c r="M12" s="38" t="str">
        <f t="shared" si="12"/>
        <v>0100</v>
      </c>
      <c r="N12" s="69">
        <f t="shared" si="15"/>
        <v>256</v>
      </c>
      <c r="O12" s="99"/>
      <c r="P12" s="99"/>
      <c r="Q12" s="170"/>
      <c r="R12" s="100"/>
      <c r="S12" s="153">
        <f>IF(P12="",0,IF(OR(O12=";",P12="EQU",P12="ORG"),0,IF(P12="DS",HEX2DEC(Q12),IF(P12="DB",LEN(Q12)+1,VLOOKUP(TRIM(P12),'8080 Op to Hex'!$A:$F,6,0)))))</f>
        <v>0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1144</v>
      </c>
      <c r="D13" s="34" t="str">
        <f t="shared" si="3"/>
        <v>.</v>
      </c>
      <c r="E13" s="35">
        <f t="shared" si="4"/>
        <v>264</v>
      </c>
      <c r="G13" s="73" t="s">
        <v>146</v>
      </c>
      <c r="H13" s="75">
        <v>300</v>
      </c>
      <c r="I13" s="58">
        <f>HEX2DEC(H13)</f>
        <v>768</v>
      </c>
      <c r="K13" s="85"/>
      <c r="L13" s="54" t="str">
        <f t="shared" si="13"/>
        <v/>
      </c>
      <c r="M13" s="38" t="str">
        <f t="shared" si="12"/>
        <v>0100</v>
      </c>
      <c r="N13" s="69">
        <f t="shared" si="15"/>
        <v>256</v>
      </c>
      <c r="O13" s="99"/>
      <c r="P13" s="99"/>
      <c r="Q13" s="170"/>
      <c r="R13" s="100"/>
      <c r="S13" s="153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1159</v>
      </c>
      <c r="D14" s="36" t="str">
        <f t="shared" si="3"/>
        <v>.</v>
      </c>
      <c r="E14" s="37">
        <f t="shared" si="4"/>
        <v>768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0100</v>
      </c>
      <c r="N14" s="69">
        <f t="shared" si="15"/>
        <v>256</v>
      </c>
      <c r="O14" s="99"/>
      <c r="P14" s="99"/>
      <c r="Q14" s="170"/>
      <c r="R14" s="100"/>
      <c r="S14" s="153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200</v>
      </c>
      <c r="I15" s="37">
        <f>HEX2DEC(H15)</f>
        <v>512</v>
      </c>
      <c r="K15" s="85"/>
      <c r="L15" s="54" t="str">
        <f t="shared" si="13"/>
        <v/>
      </c>
      <c r="M15" s="38" t="str">
        <f t="shared" si="12"/>
        <v>0100</v>
      </c>
      <c r="N15" s="69">
        <f t="shared" si="15"/>
        <v>256</v>
      </c>
      <c r="O15" s="99"/>
      <c r="P15" s="99"/>
      <c r="Q15" s="170"/>
      <c r="R15" s="100"/>
      <c r="S15" s="153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29">
        <v>100</v>
      </c>
      <c r="AB15" s="128" t="str" cm="1">
        <f t="array" ref="AB15">IF(AC15&lt;&gt;"",usrHexToAscii(AC15)&amp;usrHexToAscii(AD15)&amp;usrHexToAscii(AE15)&amp;usrHexToAscii(AF15)&amp;usrHexToAscii(AG15)&amp;usrHexToAscii(AH15)&amp;usrHexToAscii(AI15)&amp;usrHexToAscii(AJ15),"")</f>
        <v>!.......</v>
      </c>
      <c r="AC15" s="139" t="s">
        <v>901</v>
      </c>
      <c r="AD15" s="140" t="s">
        <v>467</v>
      </c>
      <c r="AE15" s="140" t="s">
        <v>302</v>
      </c>
      <c r="AF15" s="140" t="s">
        <v>801</v>
      </c>
      <c r="AG15" s="140" t="s">
        <v>1039</v>
      </c>
      <c r="AH15" s="140" t="s">
        <v>299</v>
      </c>
      <c r="AI15" s="140" t="s">
        <v>434</v>
      </c>
      <c r="AJ15" s="141" t="s">
        <v>893</v>
      </c>
    </row>
    <row r="16" spans="1:43" ht="15.75" thickBot="1">
      <c r="G16" s="8" t="s">
        <v>210</v>
      </c>
      <c r="H16" s="36" t="str">
        <f>DEC2HEX(I16)</f>
        <v>300</v>
      </c>
      <c r="I16" s="37">
        <f>I14+I15</f>
        <v>768</v>
      </c>
      <c r="K16" s="85"/>
      <c r="L16" s="54" t="str">
        <f t="shared" si="13"/>
        <v/>
      </c>
      <c r="M16" s="38" t="str">
        <f t="shared" si="12"/>
        <v>0100</v>
      </c>
      <c r="N16" s="69">
        <f t="shared" si="15"/>
        <v>256</v>
      </c>
      <c r="O16" s="99"/>
      <c r="P16" s="99"/>
      <c r="Q16" s="170"/>
      <c r="R16" s="100"/>
      <c r="S16" s="153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8" t="str" cm="1">
        <f t="array" ref="AB16">IF(AC16&lt;&gt;"",usrHexToAscii(AC16)&amp;usrHexToAscii(AD16)&amp;usrHexToAscii(AE16)&amp;usrHexToAscii(AF16)&amp;usrHexToAscii(AG16)&amp;usrHexToAscii(AH16)&amp;usrHexToAscii(AI16)&amp;usrHexToAscii(AJ16),"")</f>
        <v>8.......</v>
      </c>
      <c r="AC16" s="142" t="s">
        <v>915</v>
      </c>
      <c r="AD16" s="143" t="s">
        <v>147</v>
      </c>
      <c r="AE16" s="143" t="s">
        <v>147</v>
      </c>
      <c r="AF16" s="143" t="s">
        <v>147</v>
      </c>
      <c r="AG16" s="143" t="s">
        <v>147</v>
      </c>
      <c r="AH16" s="143" t="s">
        <v>147</v>
      </c>
      <c r="AI16" s="143" t="s">
        <v>147</v>
      </c>
      <c r="AJ16" s="144" t="s">
        <v>147</v>
      </c>
    </row>
    <row r="17" spans="1:36" ht="15.75" thickBot="1">
      <c r="K17" s="85"/>
      <c r="L17" s="54" t="str">
        <f t="shared" si="13"/>
        <v/>
      </c>
      <c r="M17" s="38" t="str">
        <f t="shared" si="12"/>
        <v>0100</v>
      </c>
      <c r="N17" s="69">
        <f t="shared" si="15"/>
        <v>256</v>
      </c>
      <c r="O17" s="95"/>
      <c r="P17" s="96"/>
      <c r="Q17" s="155"/>
      <c r="R17" s="98"/>
      <c r="S17" s="153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/>
      <c r="AB17" s="128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2" t="s">
        <v>147</v>
      </c>
      <c r="AD17" s="143" t="s">
        <v>147</v>
      </c>
      <c r="AE17" s="143" t="s">
        <v>147</v>
      </c>
      <c r="AF17" s="143" t="s">
        <v>147</v>
      </c>
      <c r="AG17" s="143" t="s">
        <v>147</v>
      </c>
      <c r="AH17" s="143" t="s">
        <v>147</v>
      </c>
      <c r="AI17" s="143" t="s">
        <v>147</v>
      </c>
      <c r="AJ17" s="144" t="s">
        <v>147</v>
      </c>
    </row>
    <row r="18" spans="1:36">
      <c r="A18" s="65" t="s">
        <v>245</v>
      </c>
      <c r="B18" s="65" t="s">
        <v>3</v>
      </c>
      <c r="G18" s="174" t="s">
        <v>417</v>
      </c>
      <c r="H18" s="175">
        <v>0</v>
      </c>
      <c r="K18" s="85"/>
      <c r="L18" s="54" t="str">
        <f t="shared" si="13"/>
        <v/>
      </c>
      <c r="M18" s="38" t="str">
        <f t="shared" si="12"/>
        <v>0100</v>
      </c>
      <c r="N18" s="69">
        <f t="shared" si="15"/>
        <v>256</v>
      </c>
      <c r="O18" s="95"/>
      <c r="P18" s="96"/>
      <c r="Q18" s="155"/>
      <c r="R18" s="98"/>
      <c r="S18" s="153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/>
      <c r="AB18" s="128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2" t="s">
        <v>147</v>
      </c>
      <c r="AD18" s="143" t="s">
        <v>147</v>
      </c>
      <c r="AE18" s="143" t="s">
        <v>147</v>
      </c>
      <c r="AF18" s="143" t="s">
        <v>147</v>
      </c>
      <c r="AG18" s="143" t="s">
        <v>147</v>
      </c>
      <c r="AH18" s="143" t="s">
        <v>147</v>
      </c>
      <c r="AI18" s="143" t="s">
        <v>147</v>
      </c>
      <c r="AJ18" s="144" t="s">
        <v>147</v>
      </c>
    </row>
    <row r="19" spans="1:36">
      <c r="A19" s="6" t="s">
        <v>246</v>
      </c>
      <c r="B19" s="6" t="s">
        <v>303</v>
      </c>
      <c r="G19" s="176" t="s">
        <v>1133</v>
      </c>
      <c r="H19" s="177">
        <v>1</v>
      </c>
      <c r="K19" s="85"/>
      <c r="L19" s="54" t="str">
        <f t="shared" si="13"/>
        <v/>
      </c>
      <c r="M19" s="38" t="str">
        <f t="shared" si="12"/>
        <v>0100</v>
      </c>
      <c r="N19" s="69">
        <f t="shared" si="15"/>
        <v>256</v>
      </c>
      <c r="O19" s="95"/>
      <c r="P19" s="96"/>
      <c r="Q19" s="155"/>
      <c r="R19" s="98"/>
      <c r="S19" s="153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/>
      <c r="AB19" s="128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2" t="s">
        <v>147</v>
      </c>
      <c r="AD19" s="143" t="s">
        <v>147</v>
      </c>
      <c r="AE19" s="143" t="s">
        <v>147</v>
      </c>
      <c r="AF19" s="143" t="s">
        <v>147</v>
      </c>
      <c r="AG19" s="143" t="s">
        <v>147</v>
      </c>
      <c r="AH19" s="143" t="s">
        <v>147</v>
      </c>
      <c r="AI19" s="143" t="s">
        <v>147</v>
      </c>
      <c r="AJ19" s="144" t="s">
        <v>147</v>
      </c>
    </row>
    <row r="20" spans="1:36">
      <c r="A20" s="6" t="s">
        <v>247</v>
      </c>
      <c r="B20" s="6" t="s">
        <v>304</v>
      </c>
      <c r="G20" s="176" t="s">
        <v>1134</v>
      </c>
      <c r="H20" s="177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0100</v>
      </c>
      <c r="N20" s="69">
        <f t="shared" si="15"/>
        <v>256</v>
      </c>
      <c r="O20" s="95"/>
      <c r="P20" s="96"/>
      <c r="Q20" s="155"/>
      <c r="R20" s="98"/>
      <c r="S20" s="153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8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2" t="s">
        <v>147</v>
      </c>
      <c r="AD20" s="143" t="s">
        <v>147</v>
      </c>
      <c r="AE20" s="143" t="s">
        <v>147</v>
      </c>
      <c r="AF20" s="143" t="s">
        <v>147</v>
      </c>
      <c r="AG20" s="143" t="s">
        <v>147</v>
      </c>
      <c r="AH20" s="143" t="s">
        <v>147</v>
      </c>
      <c r="AI20" s="143" t="s">
        <v>147</v>
      </c>
      <c r="AJ20" s="144" t="s">
        <v>147</v>
      </c>
    </row>
    <row r="21" spans="1:36">
      <c r="A21" s="6" t="s">
        <v>250</v>
      </c>
      <c r="B21" s="6" t="s">
        <v>305</v>
      </c>
      <c r="G21" s="176" t="s">
        <v>1146</v>
      </c>
      <c r="H21" s="177">
        <v>1</v>
      </c>
      <c r="K21" s="85"/>
      <c r="L21" s="54" t="str">
        <f t="shared" si="13"/>
        <v/>
      </c>
      <c r="M21" s="38" t="str">
        <f t="shared" si="12"/>
        <v>0100</v>
      </c>
      <c r="N21" s="69">
        <f t="shared" si="15"/>
        <v>256</v>
      </c>
      <c r="O21" s="95"/>
      <c r="P21" s="96"/>
      <c r="Q21" s="155"/>
      <c r="R21" s="98"/>
      <c r="S21" s="153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8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2" t="s">
        <v>147</v>
      </c>
      <c r="AD21" s="143" t="s">
        <v>147</v>
      </c>
      <c r="AE21" s="143" t="s">
        <v>147</v>
      </c>
      <c r="AF21" s="143" t="s">
        <v>147</v>
      </c>
      <c r="AG21" s="143" t="s">
        <v>147</v>
      </c>
      <c r="AH21" s="143" t="s">
        <v>147</v>
      </c>
      <c r="AI21" s="143" t="s">
        <v>147</v>
      </c>
      <c r="AJ21" s="144" t="s">
        <v>147</v>
      </c>
    </row>
    <row r="22" spans="1:36" ht="15.75" thickBot="1">
      <c r="A22" s="6" t="s">
        <v>251</v>
      </c>
      <c r="B22" s="6" t="s">
        <v>306</v>
      </c>
      <c r="G22" s="178" t="s">
        <v>1143</v>
      </c>
      <c r="H22" s="179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0100</v>
      </c>
      <c r="N22" s="69">
        <f t="shared" si="15"/>
        <v>256</v>
      </c>
      <c r="O22" s="95"/>
      <c r="P22" s="96"/>
      <c r="Q22" s="155"/>
      <c r="R22" s="98"/>
      <c r="S22" s="153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8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2" t="s">
        <v>147</v>
      </c>
      <c r="AD22" s="143" t="s">
        <v>147</v>
      </c>
      <c r="AE22" s="143" t="s">
        <v>147</v>
      </c>
      <c r="AF22" s="143" t="s">
        <v>147</v>
      </c>
      <c r="AG22" s="143" t="s">
        <v>147</v>
      </c>
      <c r="AH22" s="143" t="s">
        <v>147</v>
      </c>
      <c r="AI22" s="143" t="s">
        <v>147</v>
      </c>
      <c r="AJ22" s="144" t="s">
        <v>147</v>
      </c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0100</v>
      </c>
      <c r="N23" s="69">
        <f t="shared" si="15"/>
        <v>256</v>
      </c>
      <c r="O23" s="95"/>
      <c r="P23" s="96"/>
      <c r="Q23" s="155"/>
      <c r="R23" s="98"/>
      <c r="S23" s="153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8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2" t="s">
        <v>147</v>
      </c>
      <c r="AD23" s="143" t="s">
        <v>147</v>
      </c>
      <c r="AE23" s="143" t="s">
        <v>147</v>
      </c>
      <c r="AF23" s="143" t="s">
        <v>147</v>
      </c>
      <c r="AG23" s="143" t="s">
        <v>147</v>
      </c>
      <c r="AH23" s="143" t="s">
        <v>147</v>
      </c>
      <c r="AI23" s="143" t="s">
        <v>147</v>
      </c>
      <c r="AJ23" s="144" t="s">
        <v>147</v>
      </c>
    </row>
    <row r="24" spans="1:36">
      <c r="K24" s="85"/>
      <c r="L24" s="54" t="str">
        <f t="shared" si="13"/>
        <v/>
      </c>
      <c r="M24" s="38" t="str">
        <f t="shared" si="12"/>
        <v>0100</v>
      </c>
      <c r="N24" s="69">
        <f t="shared" si="15"/>
        <v>256</v>
      </c>
      <c r="O24" s="95"/>
      <c r="P24" s="96"/>
      <c r="Q24" s="155"/>
      <c r="R24" s="98"/>
      <c r="S24" s="153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8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2" t="s">
        <v>147</v>
      </c>
      <c r="AD24" s="143" t="s">
        <v>147</v>
      </c>
      <c r="AE24" s="143" t="s">
        <v>147</v>
      </c>
      <c r="AF24" s="143" t="s">
        <v>147</v>
      </c>
      <c r="AG24" s="143" t="s">
        <v>147</v>
      </c>
      <c r="AH24" s="143" t="s">
        <v>147</v>
      </c>
      <c r="AI24" s="143" t="s">
        <v>147</v>
      </c>
      <c r="AJ24" s="144" t="s">
        <v>147</v>
      </c>
    </row>
    <row r="25" spans="1:36">
      <c r="K25" s="85"/>
      <c r="L25" s="54" t="str">
        <f t="shared" si="13"/>
        <v/>
      </c>
      <c r="M25" s="38" t="str">
        <f t="shared" si="12"/>
        <v>0100</v>
      </c>
      <c r="N25" s="69">
        <f t="shared" si="15"/>
        <v>256</v>
      </c>
      <c r="O25" s="95"/>
      <c r="P25" s="96"/>
      <c r="Q25" s="155"/>
      <c r="R25" s="98"/>
      <c r="S25" s="153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8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2" t="s">
        <v>147</v>
      </c>
      <c r="AD25" s="143" t="s">
        <v>147</v>
      </c>
      <c r="AE25" s="143" t="s">
        <v>147</v>
      </c>
      <c r="AF25" s="143" t="s">
        <v>147</v>
      </c>
      <c r="AG25" s="143" t="s">
        <v>147</v>
      </c>
      <c r="AH25" s="143" t="s">
        <v>147</v>
      </c>
      <c r="AI25" s="143" t="s">
        <v>147</v>
      </c>
      <c r="AJ25" s="144" t="s">
        <v>147</v>
      </c>
    </row>
    <row r="26" spans="1:36">
      <c r="K26" s="85"/>
      <c r="L26" s="54" t="str">
        <f t="shared" si="13"/>
        <v/>
      </c>
      <c r="M26" s="38" t="str">
        <f t="shared" si="12"/>
        <v>0100</v>
      </c>
      <c r="N26" s="69">
        <f t="shared" si="15"/>
        <v>256</v>
      </c>
      <c r="O26" s="95"/>
      <c r="P26" s="96"/>
      <c r="Q26" s="155"/>
      <c r="R26" s="98"/>
      <c r="S26" s="153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8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2" t="s">
        <v>147</v>
      </c>
      <c r="AD26" s="143" t="s">
        <v>147</v>
      </c>
      <c r="AE26" s="143" t="s">
        <v>147</v>
      </c>
      <c r="AF26" s="143" t="s">
        <v>147</v>
      </c>
      <c r="AG26" s="143" t="s">
        <v>147</v>
      </c>
      <c r="AH26" s="143" t="s">
        <v>147</v>
      </c>
      <c r="AI26" s="143" t="s">
        <v>147</v>
      </c>
      <c r="AJ26" s="144" t="s">
        <v>147</v>
      </c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0100</v>
      </c>
      <c r="N27" s="69">
        <f t="shared" si="15"/>
        <v>256</v>
      </c>
      <c r="O27" s="95"/>
      <c r="P27" s="96"/>
      <c r="Q27" s="155"/>
      <c r="R27" s="98"/>
      <c r="S27" s="153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8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2" t="s">
        <v>147</v>
      </c>
      <c r="AD27" s="143" t="s">
        <v>147</v>
      </c>
      <c r="AE27" s="143" t="s">
        <v>147</v>
      </c>
      <c r="AF27" s="143" t="s">
        <v>147</v>
      </c>
      <c r="AG27" s="143" t="s">
        <v>147</v>
      </c>
      <c r="AH27" s="143" t="s">
        <v>147</v>
      </c>
      <c r="AI27" s="143" t="s">
        <v>147</v>
      </c>
      <c r="AJ27" s="144" t="s">
        <v>147</v>
      </c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0100</v>
      </c>
      <c r="N28" s="69">
        <f t="shared" si="15"/>
        <v>256</v>
      </c>
      <c r="O28" s="95"/>
      <c r="P28" s="96"/>
      <c r="Q28" s="155"/>
      <c r="R28" s="98"/>
      <c r="S28" s="153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8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2" t="s">
        <v>147</v>
      </c>
      <c r="AD28" s="143" t="s">
        <v>147</v>
      </c>
      <c r="AE28" s="143" t="s">
        <v>147</v>
      </c>
      <c r="AF28" s="143" t="s">
        <v>147</v>
      </c>
      <c r="AG28" s="143" t="s">
        <v>147</v>
      </c>
      <c r="AH28" s="143" t="s">
        <v>147</v>
      </c>
      <c r="AI28" s="143" t="s">
        <v>147</v>
      </c>
      <c r="AJ28" s="144" t="s">
        <v>147</v>
      </c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0100</v>
      </c>
      <c r="N29" s="69">
        <f t="shared" si="15"/>
        <v>256</v>
      </c>
      <c r="O29" s="95"/>
      <c r="P29" s="96"/>
      <c r="Q29" s="155"/>
      <c r="R29" s="98"/>
      <c r="S29" s="153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8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2" t="s">
        <v>147</v>
      </c>
      <c r="AD29" s="143" t="s">
        <v>147</v>
      </c>
      <c r="AE29" s="143" t="s">
        <v>147</v>
      </c>
      <c r="AF29" s="143" t="s">
        <v>147</v>
      </c>
      <c r="AG29" s="143" t="s">
        <v>147</v>
      </c>
      <c r="AH29" s="143" t="s">
        <v>147</v>
      </c>
      <c r="AI29" s="143" t="s">
        <v>147</v>
      </c>
      <c r="AJ29" s="144" t="s">
        <v>147</v>
      </c>
    </row>
    <row r="30" spans="1:36">
      <c r="K30" s="85"/>
      <c r="L30" s="54" t="str">
        <f t="shared" si="13"/>
        <v/>
      </c>
      <c r="M30" s="38" t="str">
        <f t="shared" si="25"/>
        <v>0100</v>
      </c>
      <c r="N30" s="69">
        <f t="shared" si="15"/>
        <v>256</v>
      </c>
      <c r="O30" s="95"/>
      <c r="P30" s="96"/>
      <c r="Q30" s="155"/>
      <c r="R30" s="98"/>
      <c r="S30" s="153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8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2" t="s">
        <v>147</v>
      </c>
      <c r="AD30" s="143" t="s">
        <v>147</v>
      </c>
      <c r="AE30" s="143" t="s">
        <v>147</v>
      </c>
      <c r="AF30" s="143" t="s">
        <v>147</v>
      </c>
      <c r="AG30" s="143" t="s">
        <v>147</v>
      </c>
      <c r="AH30" s="143" t="s">
        <v>147</v>
      </c>
      <c r="AI30" s="143" t="s">
        <v>147</v>
      </c>
      <c r="AJ30" s="144" t="s">
        <v>147</v>
      </c>
    </row>
    <row r="31" spans="1:36">
      <c r="K31" s="85"/>
      <c r="L31" s="54" t="str">
        <f t="shared" si="13"/>
        <v/>
      </c>
      <c r="M31" s="38" t="str">
        <f t="shared" si="25"/>
        <v>0100</v>
      </c>
      <c r="N31" s="69">
        <f t="shared" si="15"/>
        <v>256</v>
      </c>
      <c r="O31" s="95"/>
      <c r="P31" s="96"/>
      <c r="Q31" s="155"/>
      <c r="R31" s="98"/>
      <c r="S31" s="153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8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2" t="s">
        <v>147</v>
      </c>
      <c r="AD31" s="143" t="s">
        <v>147</v>
      </c>
      <c r="AE31" s="143" t="s">
        <v>147</v>
      </c>
      <c r="AF31" s="143" t="s">
        <v>147</v>
      </c>
      <c r="AG31" s="143" t="s">
        <v>147</v>
      </c>
      <c r="AH31" s="143" t="s">
        <v>147</v>
      </c>
      <c r="AI31" s="143" t="s">
        <v>147</v>
      </c>
      <c r="AJ31" s="144" t="s">
        <v>147</v>
      </c>
    </row>
    <row r="32" spans="1:36">
      <c r="K32" s="85"/>
      <c r="L32" s="54" t="str">
        <f t="shared" si="13"/>
        <v/>
      </c>
      <c r="M32" s="38" t="str">
        <f t="shared" si="25"/>
        <v>0100</v>
      </c>
      <c r="N32" s="69">
        <f t="shared" si="15"/>
        <v>256</v>
      </c>
      <c r="O32" s="95"/>
      <c r="P32" s="96"/>
      <c r="Q32" s="155"/>
      <c r="R32" s="98"/>
      <c r="S32" s="153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8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2" t="s">
        <v>147</v>
      </c>
      <c r="AD32" s="143" t="s">
        <v>147</v>
      </c>
      <c r="AE32" s="143" t="s">
        <v>147</v>
      </c>
      <c r="AF32" s="143" t="s">
        <v>147</v>
      </c>
      <c r="AG32" s="143" t="s">
        <v>147</v>
      </c>
      <c r="AH32" s="143" t="s">
        <v>147</v>
      </c>
      <c r="AI32" s="143" t="s">
        <v>147</v>
      </c>
      <c r="AJ32" s="144" t="s">
        <v>147</v>
      </c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0100</v>
      </c>
      <c r="N33" s="69">
        <f t="shared" si="15"/>
        <v>256</v>
      </c>
      <c r="O33" s="95"/>
      <c r="P33" s="96"/>
      <c r="Q33" s="155"/>
      <c r="R33" s="98"/>
      <c r="S33" s="153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8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2" t="s">
        <v>147</v>
      </c>
      <c r="AD33" s="143" t="s">
        <v>147</v>
      </c>
      <c r="AE33" s="143" t="s">
        <v>147</v>
      </c>
      <c r="AF33" s="143" t="s">
        <v>147</v>
      </c>
      <c r="AG33" s="143" t="s">
        <v>147</v>
      </c>
      <c r="AH33" s="143" t="s">
        <v>147</v>
      </c>
      <c r="AI33" s="143" t="s">
        <v>147</v>
      </c>
      <c r="AJ33" s="144" t="s">
        <v>147</v>
      </c>
    </row>
    <row r="34" spans="4:36">
      <c r="K34" s="85"/>
      <c r="L34" s="54" t="str">
        <f t="shared" si="13"/>
        <v/>
      </c>
      <c r="M34" s="38" t="str">
        <f t="shared" si="25"/>
        <v>0100</v>
      </c>
      <c r="N34" s="69">
        <f t="shared" si="15"/>
        <v>256</v>
      </c>
      <c r="O34" s="95"/>
      <c r="P34" s="96"/>
      <c r="Q34" s="155"/>
      <c r="R34" s="98"/>
      <c r="S34" s="153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8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2" t="s">
        <v>147</v>
      </c>
      <c r="AD34" s="143" t="s">
        <v>147</v>
      </c>
      <c r="AE34" s="143" t="s">
        <v>147</v>
      </c>
      <c r="AF34" s="143" t="s">
        <v>147</v>
      </c>
      <c r="AG34" s="143" t="s">
        <v>147</v>
      </c>
      <c r="AH34" s="143" t="s">
        <v>147</v>
      </c>
      <c r="AI34" s="143" t="s">
        <v>147</v>
      </c>
      <c r="AJ34" s="144" t="s">
        <v>147</v>
      </c>
    </row>
    <row r="35" spans="4:36">
      <c r="K35" s="85"/>
      <c r="L35" s="54" t="str">
        <f t="shared" si="13"/>
        <v/>
      </c>
      <c r="M35" s="38" t="str">
        <f t="shared" si="25"/>
        <v>0100</v>
      </c>
      <c r="N35" s="69">
        <f t="shared" si="15"/>
        <v>256</v>
      </c>
      <c r="O35" s="95"/>
      <c r="P35" s="96"/>
      <c r="Q35" s="155"/>
      <c r="R35" s="98"/>
      <c r="S35" s="153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8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2" t="s">
        <v>147</v>
      </c>
      <c r="AD35" s="143" t="s">
        <v>147</v>
      </c>
      <c r="AE35" s="143" t="s">
        <v>147</v>
      </c>
      <c r="AF35" s="143" t="s">
        <v>147</v>
      </c>
      <c r="AG35" s="143" t="s">
        <v>147</v>
      </c>
      <c r="AH35" s="143" t="s">
        <v>147</v>
      </c>
      <c r="AI35" s="143" t="s">
        <v>147</v>
      </c>
      <c r="AJ35" s="144" t="s">
        <v>147</v>
      </c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0100</v>
      </c>
      <c r="N36" s="69">
        <f t="shared" si="15"/>
        <v>256</v>
      </c>
      <c r="O36" s="95"/>
      <c r="P36" s="96"/>
      <c r="Q36" s="155"/>
      <c r="R36" s="98"/>
      <c r="S36" s="153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8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2" t="s">
        <v>147</v>
      </c>
      <c r="AD36" s="143" t="s">
        <v>147</v>
      </c>
      <c r="AE36" s="143" t="s">
        <v>147</v>
      </c>
      <c r="AF36" s="143" t="s">
        <v>147</v>
      </c>
      <c r="AG36" s="143" t="s">
        <v>147</v>
      </c>
      <c r="AH36" s="143" t="s">
        <v>147</v>
      </c>
      <c r="AI36" s="143" t="s">
        <v>147</v>
      </c>
      <c r="AJ36" s="144" t="s">
        <v>147</v>
      </c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0100</v>
      </c>
      <c r="N37" s="69">
        <f t="shared" si="15"/>
        <v>256</v>
      </c>
      <c r="O37" s="95"/>
      <c r="P37" s="96"/>
      <c r="Q37" s="155"/>
      <c r="R37" s="98"/>
      <c r="S37" s="153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8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2" t="s">
        <v>147</v>
      </c>
      <c r="AD37" s="143" t="s">
        <v>147</v>
      </c>
      <c r="AE37" s="143" t="s">
        <v>147</v>
      </c>
      <c r="AF37" s="143" t="s">
        <v>147</v>
      </c>
      <c r="AG37" s="143" t="s">
        <v>147</v>
      </c>
      <c r="AH37" s="143" t="s">
        <v>147</v>
      </c>
      <c r="AI37" s="143" t="s">
        <v>147</v>
      </c>
      <c r="AJ37" s="144" t="s">
        <v>147</v>
      </c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0100</v>
      </c>
      <c r="N38" s="69">
        <f t="shared" si="15"/>
        <v>256</v>
      </c>
      <c r="O38" s="95"/>
      <c r="P38" s="96"/>
      <c r="Q38" s="155"/>
      <c r="R38" s="98"/>
      <c r="S38" s="153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8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2" t="s">
        <v>147</v>
      </c>
      <c r="AD38" s="143" t="s">
        <v>147</v>
      </c>
      <c r="AE38" s="143" t="s">
        <v>147</v>
      </c>
      <c r="AF38" s="143" t="s">
        <v>147</v>
      </c>
      <c r="AG38" s="143" t="s">
        <v>147</v>
      </c>
      <c r="AH38" s="143" t="s">
        <v>147</v>
      </c>
      <c r="AI38" s="143" t="s">
        <v>147</v>
      </c>
      <c r="AJ38" s="144" t="s">
        <v>147</v>
      </c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0100</v>
      </c>
      <c r="N39" s="69">
        <f t="shared" si="15"/>
        <v>256</v>
      </c>
      <c r="O39" s="95"/>
      <c r="P39" s="96"/>
      <c r="Q39" s="155"/>
      <c r="R39" s="98"/>
      <c r="S39" s="153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8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2" t="s">
        <v>147</v>
      </c>
      <c r="AD39" s="143" t="s">
        <v>147</v>
      </c>
      <c r="AE39" s="143" t="s">
        <v>147</v>
      </c>
      <c r="AF39" s="143" t="s">
        <v>147</v>
      </c>
      <c r="AG39" s="143" t="s">
        <v>147</v>
      </c>
      <c r="AH39" s="143" t="s">
        <v>147</v>
      </c>
      <c r="AI39" s="143" t="s">
        <v>147</v>
      </c>
      <c r="AJ39" s="144" t="s">
        <v>147</v>
      </c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0100</v>
      </c>
      <c r="N40" s="69">
        <f t="shared" si="15"/>
        <v>256</v>
      </c>
      <c r="O40" s="95"/>
      <c r="P40" s="96"/>
      <c r="Q40" s="155"/>
      <c r="R40" s="98"/>
      <c r="S40" s="153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8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2" t="s">
        <v>147</v>
      </c>
      <c r="AD40" s="143" t="s">
        <v>147</v>
      </c>
      <c r="AE40" s="143" t="s">
        <v>147</v>
      </c>
      <c r="AF40" s="143" t="s">
        <v>147</v>
      </c>
      <c r="AG40" s="143" t="s">
        <v>147</v>
      </c>
      <c r="AH40" s="143" t="s">
        <v>147</v>
      </c>
      <c r="AI40" s="143" t="s">
        <v>147</v>
      </c>
      <c r="AJ40" s="144" t="s">
        <v>147</v>
      </c>
    </row>
    <row r="41" spans="4:36">
      <c r="K41" s="85"/>
      <c r="L41" s="54" t="str">
        <f t="shared" si="13"/>
        <v/>
      </c>
      <c r="M41" s="38" t="str">
        <f t="shared" si="25"/>
        <v>0100</v>
      </c>
      <c r="N41" s="69">
        <f t="shared" si="15"/>
        <v>256</v>
      </c>
      <c r="O41" s="95"/>
      <c r="P41" s="96"/>
      <c r="Q41" s="155"/>
      <c r="R41" s="98"/>
      <c r="S41" s="153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8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2" t="s">
        <v>147</v>
      </c>
      <c r="AD41" s="143" t="s">
        <v>147</v>
      </c>
      <c r="AE41" s="143" t="s">
        <v>147</v>
      </c>
      <c r="AF41" s="143" t="s">
        <v>147</v>
      </c>
      <c r="AG41" s="143" t="s">
        <v>147</v>
      </c>
      <c r="AH41" s="143" t="s">
        <v>147</v>
      </c>
      <c r="AI41" s="143" t="s">
        <v>147</v>
      </c>
      <c r="AJ41" s="144" t="s">
        <v>147</v>
      </c>
    </row>
    <row r="42" spans="4:36">
      <c r="K42" s="85"/>
      <c r="L42" s="54" t="str">
        <f t="shared" si="13"/>
        <v/>
      </c>
      <c r="M42" s="38" t="str">
        <f t="shared" si="25"/>
        <v>0100</v>
      </c>
      <c r="N42" s="69">
        <f t="shared" si="15"/>
        <v>256</v>
      </c>
      <c r="O42" s="95"/>
      <c r="P42" s="96"/>
      <c r="Q42" s="155"/>
      <c r="R42" s="98"/>
      <c r="S42" s="153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8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2" t="s">
        <v>147</v>
      </c>
      <c r="AD42" s="143" t="s">
        <v>147</v>
      </c>
      <c r="AE42" s="143" t="s">
        <v>147</v>
      </c>
      <c r="AF42" s="143" t="s">
        <v>147</v>
      </c>
      <c r="AG42" s="143" t="s">
        <v>147</v>
      </c>
      <c r="AH42" s="143" t="s">
        <v>147</v>
      </c>
      <c r="AI42" s="143" t="s">
        <v>147</v>
      </c>
      <c r="AJ42" s="144" t="s">
        <v>147</v>
      </c>
    </row>
    <row r="43" spans="4:36">
      <c r="K43" s="85"/>
      <c r="L43" s="54" t="str">
        <f t="shared" si="13"/>
        <v/>
      </c>
      <c r="M43" s="38" t="str">
        <f t="shared" si="25"/>
        <v>0100</v>
      </c>
      <c r="N43" s="69">
        <f t="shared" si="15"/>
        <v>256</v>
      </c>
      <c r="O43" s="95"/>
      <c r="P43" s="96"/>
      <c r="Q43" s="155"/>
      <c r="R43" s="98"/>
      <c r="S43" s="153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8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2" t="s">
        <v>147</v>
      </c>
      <c r="AD43" s="143" t="s">
        <v>147</v>
      </c>
      <c r="AE43" s="143" t="s">
        <v>147</v>
      </c>
      <c r="AF43" s="143" t="s">
        <v>147</v>
      </c>
      <c r="AG43" s="143" t="s">
        <v>147</v>
      </c>
      <c r="AH43" s="143" t="s">
        <v>147</v>
      </c>
      <c r="AI43" s="143" t="s">
        <v>147</v>
      </c>
      <c r="AJ43" s="144" t="s">
        <v>147</v>
      </c>
    </row>
    <row r="44" spans="4:36">
      <c r="K44" s="85"/>
      <c r="L44" s="54" t="str">
        <f t="shared" si="13"/>
        <v/>
      </c>
      <c r="M44" s="38" t="str">
        <f t="shared" si="25"/>
        <v>0100</v>
      </c>
      <c r="N44" s="69">
        <f t="shared" si="15"/>
        <v>256</v>
      </c>
      <c r="O44" s="95"/>
      <c r="P44" s="96"/>
      <c r="Q44" s="155"/>
      <c r="R44" s="98"/>
      <c r="S44" s="153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8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2" t="s">
        <v>147</v>
      </c>
      <c r="AD44" s="143" t="s">
        <v>147</v>
      </c>
      <c r="AE44" s="143" t="s">
        <v>147</v>
      </c>
      <c r="AF44" s="143" t="s">
        <v>147</v>
      </c>
      <c r="AG44" s="143" t="s">
        <v>147</v>
      </c>
      <c r="AH44" s="143" t="s">
        <v>147</v>
      </c>
      <c r="AI44" s="143" t="s">
        <v>147</v>
      </c>
      <c r="AJ44" s="144" t="s">
        <v>147</v>
      </c>
    </row>
    <row r="45" spans="4:36">
      <c r="K45" s="85"/>
      <c r="L45" s="54" t="str">
        <f t="shared" si="13"/>
        <v/>
      </c>
      <c r="M45" s="38" t="str">
        <f t="shared" si="25"/>
        <v>0100</v>
      </c>
      <c r="N45" s="69">
        <f t="shared" si="15"/>
        <v>256</v>
      </c>
      <c r="O45" s="95"/>
      <c r="P45" s="96"/>
      <c r="Q45" s="155"/>
      <c r="R45" s="98"/>
      <c r="S45" s="153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8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2" t="s">
        <v>147</v>
      </c>
      <c r="AD45" s="143" t="s">
        <v>147</v>
      </c>
      <c r="AE45" s="143" t="s">
        <v>147</v>
      </c>
      <c r="AF45" s="143" t="s">
        <v>147</v>
      </c>
      <c r="AG45" s="143" t="s">
        <v>147</v>
      </c>
      <c r="AH45" s="143" t="s">
        <v>147</v>
      </c>
      <c r="AI45" s="143" t="s">
        <v>147</v>
      </c>
      <c r="AJ45" s="144" t="s">
        <v>147</v>
      </c>
    </row>
    <row r="46" spans="4:36">
      <c r="K46" s="85"/>
      <c r="L46" s="54" t="str">
        <f t="shared" si="13"/>
        <v/>
      </c>
      <c r="M46" s="38" t="str">
        <f t="shared" si="25"/>
        <v>0100</v>
      </c>
      <c r="N46" s="69">
        <f t="shared" si="15"/>
        <v>256</v>
      </c>
      <c r="O46" s="95"/>
      <c r="P46" s="96"/>
      <c r="Q46" s="155"/>
      <c r="R46" s="98"/>
      <c r="S46" s="153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8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2" t="s">
        <v>147</v>
      </c>
      <c r="AD46" s="143" t="s">
        <v>147</v>
      </c>
      <c r="AE46" s="143" t="s">
        <v>147</v>
      </c>
      <c r="AF46" s="143" t="s">
        <v>147</v>
      </c>
      <c r="AG46" s="143" t="s">
        <v>147</v>
      </c>
      <c r="AH46" s="143" t="s">
        <v>147</v>
      </c>
      <c r="AI46" s="143" t="s">
        <v>147</v>
      </c>
      <c r="AJ46" s="144" t="s">
        <v>147</v>
      </c>
    </row>
    <row r="47" spans="4:36">
      <c r="K47" s="85"/>
      <c r="L47" s="54" t="str">
        <f t="shared" si="13"/>
        <v/>
      </c>
      <c r="M47" s="38" t="str">
        <f t="shared" si="25"/>
        <v>0100</v>
      </c>
      <c r="N47" s="69">
        <f t="shared" si="15"/>
        <v>256</v>
      </c>
      <c r="O47" s="95"/>
      <c r="P47" s="96"/>
      <c r="Q47" s="155"/>
      <c r="R47" s="98"/>
      <c r="S47" s="153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8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2" t="s">
        <v>147</v>
      </c>
      <c r="AD47" s="143" t="s">
        <v>147</v>
      </c>
      <c r="AE47" s="143" t="s">
        <v>147</v>
      </c>
      <c r="AF47" s="143" t="s">
        <v>147</v>
      </c>
      <c r="AG47" s="143" t="s">
        <v>147</v>
      </c>
      <c r="AH47" s="143" t="s">
        <v>147</v>
      </c>
      <c r="AI47" s="143" t="s">
        <v>147</v>
      </c>
      <c r="AJ47" s="144" t="s">
        <v>147</v>
      </c>
    </row>
    <row r="48" spans="4:36">
      <c r="K48" s="85"/>
      <c r="L48" s="54" t="str">
        <f t="shared" si="13"/>
        <v/>
      </c>
      <c r="M48" s="38" t="str">
        <f t="shared" si="25"/>
        <v>0100</v>
      </c>
      <c r="N48" s="69">
        <f t="shared" si="15"/>
        <v>256</v>
      </c>
      <c r="O48" s="95"/>
      <c r="P48" s="96"/>
      <c r="Q48" s="155"/>
      <c r="R48" s="98"/>
      <c r="S48" s="153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8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2" t="s">
        <v>147</v>
      </c>
      <c r="AD48" s="143" t="s">
        <v>147</v>
      </c>
      <c r="AE48" s="143" t="s">
        <v>147</v>
      </c>
      <c r="AF48" s="143" t="s">
        <v>147</v>
      </c>
      <c r="AG48" s="143" t="s">
        <v>147</v>
      </c>
      <c r="AH48" s="143" t="s">
        <v>147</v>
      </c>
      <c r="AI48" s="143" t="s">
        <v>147</v>
      </c>
      <c r="AJ48" s="144" t="s">
        <v>147</v>
      </c>
    </row>
    <row r="49" spans="11:36">
      <c r="K49" s="85"/>
      <c r="L49" s="54" t="str">
        <f t="shared" si="13"/>
        <v/>
      </c>
      <c r="M49" s="38" t="str">
        <f t="shared" si="25"/>
        <v>0100</v>
      </c>
      <c r="N49" s="69">
        <f t="shared" si="15"/>
        <v>256</v>
      </c>
      <c r="O49" s="95"/>
      <c r="P49" s="96"/>
      <c r="Q49" s="155"/>
      <c r="R49" s="98"/>
      <c r="S49" s="153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8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2" t="s">
        <v>147</v>
      </c>
      <c r="AD49" s="143" t="s">
        <v>147</v>
      </c>
      <c r="AE49" s="143" t="s">
        <v>147</v>
      </c>
      <c r="AF49" s="143" t="s">
        <v>147</v>
      </c>
      <c r="AG49" s="143" t="s">
        <v>147</v>
      </c>
      <c r="AH49" s="143" t="s">
        <v>147</v>
      </c>
      <c r="AI49" s="143" t="s">
        <v>147</v>
      </c>
      <c r="AJ49" s="144" t="s">
        <v>147</v>
      </c>
    </row>
    <row r="50" spans="11:36">
      <c r="K50" s="85"/>
      <c r="L50" s="54" t="str">
        <f t="shared" si="13"/>
        <v/>
      </c>
      <c r="M50" s="38" t="str">
        <f t="shared" si="25"/>
        <v>0100</v>
      </c>
      <c r="N50" s="69">
        <f t="shared" si="15"/>
        <v>256</v>
      </c>
      <c r="O50" s="95"/>
      <c r="P50" s="96"/>
      <c r="Q50" s="155"/>
      <c r="R50" s="98"/>
      <c r="S50" s="153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8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2" t="s">
        <v>147</v>
      </c>
      <c r="AD50" s="143" t="s">
        <v>147</v>
      </c>
      <c r="AE50" s="143" t="s">
        <v>147</v>
      </c>
      <c r="AF50" s="143" t="s">
        <v>147</v>
      </c>
      <c r="AG50" s="143" t="s">
        <v>147</v>
      </c>
      <c r="AH50" s="143" t="s">
        <v>147</v>
      </c>
      <c r="AI50" s="143" t="s">
        <v>147</v>
      </c>
      <c r="AJ50" s="144" t="s">
        <v>147</v>
      </c>
    </row>
    <row r="51" spans="11:36">
      <c r="K51" s="85"/>
      <c r="L51" s="54" t="str">
        <f t="shared" si="13"/>
        <v/>
      </c>
      <c r="M51" s="38" t="str">
        <f t="shared" si="25"/>
        <v>0100</v>
      </c>
      <c r="N51" s="69">
        <f t="shared" si="15"/>
        <v>256</v>
      </c>
      <c r="O51" s="95"/>
      <c r="P51" s="96"/>
      <c r="Q51" s="155"/>
      <c r="R51" s="98"/>
      <c r="S51" s="153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8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2" t="s">
        <v>147</v>
      </c>
      <c r="AD51" s="143" t="s">
        <v>147</v>
      </c>
      <c r="AE51" s="143" t="s">
        <v>147</v>
      </c>
      <c r="AF51" s="143" t="s">
        <v>147</v>
      </c>
      <c r="AG51" s="143" t="s">
        <v>147</v>
      </c>
      <c r="AH51" s="143" t="s">
        <v>147</v>
      </c>
      <c r="AI51" s="143" t="s">
        <v>147</v>
      </c>
      <c r="AJ51" s="144" t="s">
        <v>147</v>
      </c>
    </row>
    <row r="52" spans="11:36">
      <c r="K52" s="85"/>
      <c r="L52" s="54" t="str">
        <f t="shared" si="13"/>
        <v/>
      </c>
      <c r="M52" s="38" t="str">
        <f t="shared" si="25"/>
        <v>0100</v>
      </c>
      <c r="N52" s="69">
        <f t="shared" si="15"/>
        <v>256</v>
      </c>
      <c r="O52" s="95"/>
      <c r="P52" s="96"/>
      <c r="Q52" s="155"/>
      <c r="R52" s="98"/>
      <c r="S52" s="153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8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2" t="s">
        <v>147</v>
      </c>
      <c r="AD52" s="143" t="s">
        <v>147</v>
      </c>
      <c r="AE52" s="143" t="s">
        <v>147</v>
      </c>
      <c r="AF52" s="143" t="s">
        <v>147</v>
      </c>
      <c r="AG52" s="143" t="s">
        <v>147</v>
      </c>
      <c r="AH52" s="143" t="s">
        <v>147</v>
      </c>
      <c r="AI52" s="143" t="s">
        <v>147</v>
      </c>
      <c r="AJ52" s="144" t="s">
        <v>147</v>
      </c>
    </row>
    <row r="53" spans="11:36">
      <c r="K53" s="85"/>
      <c r="L53" s="54" t="str">
        <f t="shared" si="13"/>
        <v/>
      </c>
      <c r="M53" s="38" t="str">
        <f t="shared" si="25"/>
        <v>0100</v>
      </c>
      <c r="N53" s="69">
        <f t="shared" si="15"/>
        <v>256</v>
      </c>
      <c r="O53" s="95"/>
      <c r="P53" s="96"/>
      <c r="Q53" s="155"/>
      <c r="R53" s="98"/>
      <c r="S53" s="153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>
        <v>230</v>
      </c>
      <c r="AB53" s="128" t="str" cm="1">
        <f t="array" ref="AB53">IF(AC53&lt;&gt;"",usrHexToAscii(AC53)&amp;usrHexToAscii(AD53)&amp;usrHexToAscii(AE53)&amp;usrHexToAscii(AF53)&amp;usrHexToAscii(AG53)&amp;usrHexToAscii(AH53)&amp;usrHexToAscii(AI53)&amp;usrHexToAscii(AJ53),"")</f>
        <v>.</v>
      </c>
      <c r="AC53" s="142" t="s">
        <v>147</v>
      </c>
      <c r="AD53" s="143"/>
      <c r="AE53" s="143"/>
      <c r="AF53" s="143"/>
      <c r="AG53" s="143"/>
      <c r="AH53" s="143"/>
      <c r="AI53" s="143"/>
      <c r="AJ53" s="144"/>
    </row>
    <row r="54" spans="11:36">
      <c r="K54" s="85"/>
      <c r="L54" s="54" t="str">
        <f t="shared" si="13"/>
        <v/>
      </c>
      <c r="M54" s="38" t="str">
        <f t="shared" si="25"/>
        <v>0100</v>
      </c>
      <c r="N54" s="69">
        <f t="shared" si="15"/>
        <v>256</v>
      </c>
      <c r="O54" s="95"/>
      <c r="P54" s="96"/>
      <c r="Q54" s="155"/>
      <c r="R54" s="149"/>
      <c r="S54" s="153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2"/>
      <c r="AD54" s="143"/>
      <c r="AE54" s="143"/>
      <c r="AF54" s="143"/>
      <c r="AG54" s="143"/>
      <c r="AH54" s="143"/>
      <c r="AI54" s="143"/>
      <c r="AJ54" s="144"/>
    </row>
    <row r="55" spans="11:36">
      <c r="K55" s="85"/>
      <c r="L55" s="54" t="str">
        <f t="shared" si="13"/>
        <v/>
      </c>
      <c r="M55" s="38" t="str">
        <f t="shared" si="25"/>
        <v>0100</v>
      </c>
      <c r="N55" s="69">
        <f t="shared" si="15"/>
        <v>256</v>
      </c>
      <c r="O55" s="95"/>
      <c r="P55" s="96"/>
      <c r="Q55" s="97"/>
      <c r="R55" s="149"/>
      <c r="S55" s="153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2"/>
      <c r="AD55" s="143"/>
      <c r="AE55" s="143"/>
      <c r="AF55" s="143"/>
      <c r="AG55" s="143"/>
      <c r="AH55" s="143"/>
      <c r="AI55" s="143"/>
      <c r="AJ55" s="144"/>
    </row>
    <row r="56" spans="11:36">
      <c r="K56" s="85"/>
      <c r="L56" s="54" t="str">
        <f t="shared" si="13"/>
        <v/>
      </c>
      <c r="M56" s="38" t="str">
        <f t="shared" si="25"/>
        <v>0100</v>
      </c>
      <c r="N56" s="69">
        <f t="shared" si="15"/>
        <v>256</v>
      </c>
      <c r="O56" s="95"/>
      <c r="P56" s="96"/>
      <c r="Q56" s="97"/>
      <c r="R56" s="149"/>
      <c r="S56" s="153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2"/>
      <c r="AD56" s="143"/>
      <c r="AE56" s="143"/>
      <c r="AF56" s="143"/>
      <c r="AG56" s="143"/>
      <c r="AH56" s="143"/>
      <c r="AI56" s="143"/>
      <c r="AJ56" s="144"/>
    </row>
    <row r="57" spans="11:36">
      <c r="K57" s="85"/>
      <c r="L57" s="54" t="str">
        <f t="shared" si="13"/>
        <v/>
      </c>
      <c r="M57" s="38" t="str">
        <f t="shared" si="25"/>
        <v>0100</v>
      </c>
      <c r="N57" s="69">
        <f t="shared" si="15"/>
        <v>256</v>
      </c>
      <c r="O57" s="95"/>
      <c r="P57" s="96"/>
      <c r="Q57" s="97"/>
      <c r="R57" s="149"/>
      <c r="S57" s="153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2"/>
      <c r="AD57" s="143"/>
      <c r="AE57" s="143"/>
      <c r="AF57" s="143"/>
      <c r="AG57" s="143"/>
      <c r="AH57" s="143"/>
      <c r="AI57" s="143"/>
      <c r="AJ57" s="144"/>
    </row>
    <row r="58" spans="11:36">
      <c r="K58" s="85"/>
      <c r="L58" s="54" t="str">
        <f t="shared" si="13"/>
        <v/>
      </c>
      <c r="M58" s="38" t="str">
        <f t="shared" si="25"/>
        <v>0100</v>
      </c>
      <c r="N58" s="69">
        <f t="shared" si="15"/>
        <v>256</v>
      </c>
      <c r="O58" s="95"/>
      <c r="P58" s="96"/>
      <c r="Q58" s="97"/>
      <c r="R58" s="149"/>
      <c r="S58" s="153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2"/>
      <c r="AD58" s="143"/>
      <c r="AE58" s="143"/>
      <c r="AF58" s="143"/>
      <c r="AG58" s="143"/>
      <c r="AH58" s="143"/>
      <c r="AI58" s="143"/>
      <c r="AJ58" s="144"/>
    </row>
    <row r="59" spans="11:36">
      <c r="K59" s="85"/>
      <c r="L59" s="54" t="str">
        <f t="shared" si="13"/>
        <v/>
      </c>
      <c r="M59" s="38" t="str">
        <f t="shared" si="25"/>
        <v>0100</v>
      </c>
      <c r="N59" s="69">
        <f t="shared" si="15"/>
        <v>256</v>
      </c>
      <c r="O59" s="95"/>
      <c r="P59" s="96"/>
      <c r="Q59" s="97"/>
      <c r="R59" s="149"/>
      <c r="S59" s="153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2"/>
      <c r="AD59" s="143"/>
      <c r="AE59" s="143"/>
      <c r="AF59" s="143"/>
      <c r="AG59" s="143"/>
      <c r="AH59" s="143"/>
      <c r="AI59" s="143"/>
      <c r="AJ59" s="144"/>
    </row>
    <row r="60" spans="11:36">
      <c r="K60" s="85"/>
      <c r="L60" s="54" t="str">
        <f t="shared" si="13"/>
        <v/>
      </c>
      <c r="M60" s="38" t="str">
        <f t="shared" si="25"/>
        <v>0100</v>
      </c>
      <c r="N60" s="69">
        <f t="shared" si="15"/>
        <v>256</v>
      </c>
      <c r="O60" s="95"/>
      <c r="P60" s="96"/>
      <c r="Q60" s="97"/>
      <c r="R60" s="149"/>
      <c r="S60" s="153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2"/>
      <c r="AD60" s="143"/>
      <c r="AE60" s="143"/>
      <c r="AF60" s="143"/>
      <c r="AG60" s="143"/>
      <c r="AH60" s="143"/>
      <c r="AI60" s="143"/>
      <c r="AJ60" s="144"/>
    </row>
    <row r="61" spans="11:36">
      <c r="K61" s="85"/>
      <c r="L61" s="54" t="str">
        <f t="shared" si="13"/>
        <v/>
      </c>
      <c r="M61" s="38" t="str">
        <f t="shared" si="25"/>
        <v>0100</v>
      </c>
      <c r="N61" s="69">
        <f t="shared" si="15"/>
        <v>256</v>
      </c>
      <c r="O61" s="95"/>
      <c r="P61" s="96"/>
      <c r="Q61" s="97"/>
      <c r="R61" s="149"/>
      <c r="S61" s="153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2"/>
      <c r="AD61" s="143"/>
      <c r="AE61" s="143"/>
      <c r="AF61" s="143"/>
      <c r="AG61" s="143"/>
      <c r="AH61" s="143"/>
      <c r="AI61" s="143"/>
      <c r="AJ61" s="144"/>
    </row>
    <row r="62" spans="11:36">
      <c r="K62" s="85"/>
      <c r="L62" s="54" t="str">
        <f t="shared" si="13"/>
        <v/>
      </c>
      <c r="M62" s="38" t="str">
        <f t="shared" si="25"/>
        <v>0100</v>
      </c>
      <c r="N62" s="69">
        <f t="shared" si="15"/>
        <v>256</v>
      </c>
      <c r="O62" s="95"/>
      <c r="P62" s="96"/>
      <c r="Q62" s="97"/>
      <c r="R62" s="149"/>
      <c r="S62" s="153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2"/>
      <c r="AD62" s="143"/>
      <c r="AE62" s="143"/>
      <c r="AF62" s="143"/>
      <c r="AG62" s="143"/>
      <c r="AH62" s="143"/>
      <c r="AI62" s="143"/>
      <c r="AJ62" s="144"/>
    </row>
    <row r="63" spans="11:36">
      <c r="K63" s="85"/>
      <c r="L63" s="54" t="str">
        <f t="shared" si="13"/>
        <v/>
      </c>
      <c r="M63" s="38" t="str">
        <f t="shared" si="25"/>
        <v>0100</v>
      </c>
      <c r="N63" s="69">
        <f t="shared" si="15"/>
        <v>256</v>
      </c>
      <c r="O63" s="95"/>
      <c r="P63" s="96"/>
      <c r="Q63" s="97"/>
      <c r="R63" s="149"/>
      <c r="S63" s="153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2"/>
      <c r="AD63" s="143"/>
      <c r="AE63" s="143"/>
      <c r="AF63" s="143"/>
      <c r="AG63" s="143"/>
      <c r="AH63" s="143"/>
      <c r="AI63" s="143"/>
      <c r="AJ63" s="144"/>
    </row>
    <row r="64" spans="11:36">
      <c r="K64" s="85"/>
      <c r="L64" s="54" t="str">
        <f t="shared" si="13"/>
        <v/>
      </c>
      <c r="M64" s="38" t="str">
        <f t="shared" si="25"/>
        <v>0100</v>
      </c>
      <c r="N64" s="69">
        <f t="shared" si="15"/>
        <v>256</v>
      </c>
      <c r="O64" s="95"/>
      <c r="P64" s="96"/>
      <c r="Q64" s="97"/>
      <c r="R64" s="149"/>
      <c r="S64" s="153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2"/>
      <c r="AD64" s="143"/>
      <c r="AE64" s="143"/>
      <c r="AF64" s="143"/>
      <c r="AG64" s="143"/>
      <c r="AH64" s="143"/>
      <c r="AI64" s="143"/>
      <c r="AJ64" s="144"/>
    </row>
    <row r="65" spans="11:36">
      <c r="K65" s="85"/>
      <c r="L65" s="54" t="str">
        <f t="shared" si="13"/>
        <v/>
      </c>
      <c r="M65" s="38" t="str">
        <f t="shared" si="25"/>
        <v>0100</v>
      </c>
      <c r="N65" s="69">
        <f t="shared" si="15"/>
        <v>256</v>
      </c>
      <c r="O65" s="95"/>
      <c r="P65" s="96"/>
      <c r="Q65" s="97"/>
      <c r="R65" s="149"/>
      <c r="S65" s="153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2"/>
      <c r="AD65" s="143"/>
      <c r="AE65" s="143"/>
      <c r="AF65" s="143"/>
      <c r="AG65" s="143"/>
      <c r="AH65" s="143"/>
      <c r="AI65" s="143"/>
      <c r="AJ65" s="144"/>
    </row>
    <row r="66" spans="11:36">
      <c r="K66" s="85"/>
      <c r="L66" s="54" t="str">
        <f t="shared" si="13"/>
        <v/>
      </c>
      <c r="M66" s="38" t="str">
        <f t="shared" si="25"/>
        <v>0100</v>
      </c>
      <c r="N66" s="69">
        <f t="shared" si="15"/>
        <v>256</v>
      </c>
      <c r="O66" s="95"/>
      <c r="P66" s="96"/>
      <c r="Q66" s="97"/>
      <c r="R66" s="149"/>
      <c r="S66" s="153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2"/>
      <c r="AD66" s="143"/>
      <c r="AE66" s="143"/>
      <c r="AF66" s="143"/>
      <c r="AG66" s="143"/>
      <c r="AH66" s="143"/>
      <c r="AI66" s="143"/>
      <c r="AJ66" s="144"/>
    </row>
    <row r="67" spans="11:36">
      <c r="K67" s="85"/>
      <c r="L67" s="54" t="str">
        <f t="shared" si="13"/>
        <v/>
      </c>
      <c r="M67" s="38" t="str">
        <f t="shared" si="25"/>
        <v>0100</v>
      </c>
      <c r="N67" s="69">
        <f t="shared" si="15"/>
        <v>256</v>
      </c>
      <c r="O67" s="95"/>
      <c r="P67" s="96"/>
      <c r="Q67" s="97"/>
      <c r="R67" s="149"/>
      <c r="S67" s="153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2"/>
      <c r="AD67" s="143"/>
      <c r="AE67" s="143"/>
      <c r="AF67" s="143"/>
      <c r="AG67" s="143"/>
      <c r="AH67" s="143"/>
      <c r="AI67" s="143"/>
      <c r="AJ67" s="144"/>
    </row>
    <row r="68" spans="11:36">
      <c r="K68" s="85"/>
      <c r="L68" s="54" t="str">
        <f t="shared" si="13"/>
        <v/>
      </c>
      <c r="M68" s="38" t="str">
        <f t="shared" si="25"/>
        <v>0100</v>
      </c>
      <c r="N68" s="69">
        <f t="shared" si="15"/>
        <v>256</v>
      </c>
      <c r="O68" s="95"/>
      <c r="P68" s="96"/>
      <c r="Q68" s="97"/>
      <c r="R68" s="149"/>
      <c r="S68" s="153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2"/>
      <c r="AD68" s="143"/>
      <c r="AE68" s="143"/>
      <c r="AF68" s="143"/>
      <c r="AG68" s="143"/>
      <c r="AH68" s="143"/>
      <c r="AI68" s="143"/>
      <c r="AJ68" s="144"/>
    </row>
    <row r="69" spans="11:36">
      <c r="K69" s="85"/>
      <c r="L69" s="54" t="str">
        <f t="shared" si="13"/>
        <v/>
      </c>
      <c r="M69" s="38" t="str">
        <f t="shared" si="25"/>
        <v>0100</v>
      </c>
      <c r="N69" s="69">
        <f t="shared" si="15"/>
        <v>256</v>
      </c>
      <c r="O69" s="95"/>
      <c r="P69" s="96"/>
      <c r="Q69" s="97"/>
      <c r="R69" s="149"/>
      <c r="S69" s="153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2"/>
      <c r="AD69" s="143"/>
      <c r="AE69" s="143"/>
      <c r="AF69" s="143"/>
      <c r="AG69" s="143"/>
      <c r="AH69" s="143"/>
      <c r="AI69" s="143"/>
      <c r="AJ69" s="144"/>
    </row>
    <row r="70" spans="11:36">
      <c r="K70" s="85"/>
      <c r="L70" s="54" t="str">
        <f t="shared" si="13"/>
        <v/>
      </c>
      <c r="M70" s="38" t="str">
        <f t="shared" si="25"/>
        <v>0100</v>
      </c>
      <c r="N70" s="69">
        <f t="shared" si="15"/>
        <v>256</v>
      </c>
      <c r="O70" s="95"/>
      <c r="P70" s="96"/>
      <c r="Q70" s="97"/>
      <c r="R70" s="149"/>
      <c r="S70" s="153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2"/>
      <c r="AD70" s="143"/>
      <c r="AE70" s="143"/>
      <c r="AF70" s="143"/>
      <c r="AG70" s="143"/>
      <c r="AH70" s="143"/>
      <c r="AI70" s="143"/>
      <c r="AJ70" s="144"/>
    </row>
    <row r="71" spans="11:36">
      <c r="K71" s="85"/>
      <c r="L71" s="54" t="str">
        <f t="shared" si="13"/>
        <v/>
      </c>
      <c r="M71" s="38" t="str">
        <f t="shared" si="25"/>
        <v>0100</v>
      </c>
      <c r="N71" s="69">
        <f t="shared" si="15"/>
        <v>256</v>
      </c>
      <c r="O71" s="95"/>
      <c r="P71" s="96"/>
      <c r="Q71" s="97"/>
      <c r="R71" s="149"/>
      <c r="S71" s="153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2"/>
      <c r="AD71" s="143"/>
      <c r="AE71" s="143"/>
      <c r="AF71" s="143"/>
      <c r="AG71" s="143"/>
      <c r="AH71" s="143"/>
      <c r="AI71" s="143"/>
      <c r="AJ71" s="144"/>
    </row>
    <row r="72" spans="11:36">
      <c r="K72" s="85"/>
      <c r="L72" s="54" t="str">
        <f t="shared" si="13"/>
        <v/>
      </c>
      <c r="M72" s="38" t="str">
        <f t="shared" si="25"/>
        <v>0100</v>
      </c>
      <c r="N72" s="69">
        <f t="shared" si="15"/>
        <v>256</v>
      </c>
      <c r="O72" s="95"/>
      <c r="P72" s="96"/>
      <c r="Q72" s="97"/>
      <c r="R72" s="149"/>
      <c r="S72" s="153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2"/>
      <c r="AD72" s="143"/>
      <c r="AE72" s="143"/>
      <c r="AF72" s="143"/>
      <c r="AG72" s="143"/>
      <c r="AH72" s="143"/>
      <c r="AI72" s="143"/>
      <c r="AJ72" s="144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0100</v>
      </c>
      <c r="N73" s="69">
        <f t="shared" si="15"/>
        <v>256</v>
      </c>
      <c r="O73" s="95"/>
      <c r="P73" s="96"/>
      <c r="Q73" s="97"/>
      <c r="R73" s="149"/>
      <c r="S73" s="153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2"/>
      <c r="AD73" s="143"/>
      <c r="AE73" s="143"/>
      <c r="AF73" s="143"/>
      <c r="AG73" s="143"/>
      <c r="AH73" s="143"/>
      <c r="AI73" s="143"/>
      <c r="AJ73" s="144"/>
    </row>
    <row r="74" spans="11:36">
      <c r="K74" s="85"/>
      <c r="L74" s="54" t="str">
        <f t="shared" si="27"/>
        <v/>
      </c>
      <c r="M74" s="38" t="str">
        <f t="shared" si="25"/>
        <v>0100</v>
      </c>
      <c r="N74" s="69">
        <f t="shared" ref="N74:N137" si="29">N73+S73</f>
        <v>256</v>
      </c>
      <c r="O74" s="95"/>
      <c r="P74" s="96"/>
      <c r="Q74" s="97"/>
      <c r="R74" s="149"/>
      <c r="S74" s="153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2"/>
      <c r="AD74" s="143"/>
      <c r="AE74" s="143"/>
      <c r="AF74" s="143"/>
      <c r="AG74" s="143"/>
      <c r="AH74" s="143"/>
      <c r="AI74" s="143"/>
      <c r="AJ74" s="144"/>
    </row>
    <row r="75" spans="11:36">
      <c r="K75" s="85"/>
      <c r="L75" s="54" t="str">
        <f t="shared" si="27"/>
        <v/>
      </c>
      <c r="M75" s="38" t="str">
        <f t="shared" si="25"/>
        <v>0100</v>
      </c>
      <c r="N75" s="69">
        <f t="shared" si="29"/>
        <v>256</v>
      </c>
      <c r="O75" s="95"/>
      <c r="P75" s="96"/>
      <c r="Q75" s="97"/>
      <c r="R75" s="149"/>
      <c r="S75" s="153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2"/>
      <c r="AD75" s="143"/>
      <c r="AE75" s="143"/>
      <c r="AF75" s="143"/>
      <c r="AG75" s="143"/>
      <c r="AH75" s="143"/>
      <c r="AI75" s="143"/>
      <c r="AJ75" s="144"/>
    </row>
    <row r="76" spans="11:36">
      <c r="K76" s="85"/>
      <c r="L76" s="54" t="str">
        <f t="shared" si="27"/>
        <v/>
      </c>
      <c r="M76" s="38" t="str">
        <f t="shared" si="25"/>
        <v>0100</v>
      </c>
      <c r="N76" s="69">
        <f t="shared" si="29"/>
        <v>256</v>
      </c>
      <c r="O76" s="95"/>
      <c r="P76" s="96"/>
      <c r="Q76" s="97"/>
      <c r="R76" s="149"/>
      <c r="S76" s="153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2"/>
      <c r="AD76" s="143"/>
      <c r="AE76" s="143"/>
      <c r="AF76" s="143"/>
      <c r="AG76" s="143"/>
      <c r="AH76" s="143"/>
      <c r="AI76" s="143"/>
      <c r="AJ76" s="144"/>
    </row>
    <row r="77" spans="11:36">
      <c r="K77" s="85"/>
      <c r="L77" s="54" t="str">
        <f t="shared" si="27"/>
        <v/>
      </c>
      <c r="M77" s="38" t="str">
        <f t="shared" si="25"/>
        <v>0100</v>
      </c>
      <c r="N77" s="69">
        <f t="shared" si="29"/>
        <v>256</v>
      </c>
      <c r="O77" s="95"/>
      <c r="P77" s="96"/>
      <c r="Q77" s="97"/>
      <c r="R77" s="149"/>
      <c r="S77" s="153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2"/>
      <c r="AD77" s="143"/>
      <c r="AE77" s="143"/>
      <c r="AF77" s="143"/>
      <c r="AG77" s="143"/>
      <c r="AH77" s="143"/>
      <c r="AI77" s="143"/>
      <c r="AJ77" s="144"/>
    </row>
    <row r="78" spans="11:36">
      <c r="K78" s="85"/>
      <c r="L78" s="54" t="str">
        <f t="shared" si="27"/>
        <v/>
      </c>
      <c r="M78" s="38" t="str">
        <f t="shared" si="25"/>
        <v>0100</v>
      </c>
      <c r="N78" s="69">
        <f t="shared" si="29"/>
        <v>256</v>
      </c>
      <c r="O78" s="95"/>
      <c r="P78" s="96"/>
      <c r="Q78" s="97"/>
      <c r="R78" s="149"/>
      <c r="S78" s="153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2"/>
      <c r="AD78" s="143"/>
      <c r="AE78" s="143"/>
      <c r="AF78" s="143"/>
      <c r="AG78" s="143"/>
      <c r="AH78" s="143"/>
      <c r="AI78" s="143"/>
      <c r="AJ78" s="144"/>
    </row>
    <row r="79" spans="11:36">
      <c r="K79" s="85"/>
      <c r="L79" s="54" t="str">
        <f t="shared" si="27"/>
        <v/>
      </c>
      <c r="M79" s="38" t="str">
        <f t="shared" si="25"/>
        <v>0100</v>
      </c>
      <c r="N79" s="69">
        <f t="shared" si="29"/>
        <v>256</v>
      </c>
      <c r="O79" s="95"/>
      <c r="P79" s="96"/>
      <c r="Q79" s="97"/>
      <c r="R79" s="149"/>
      <c r="S79" s="153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2"/>
      <c r="AD79" s="143"/>
      <c r="AE79" s="143"/>
      <c r="AF79" s="143"/>
      <c r="AG79" s="143"/>
      <c r="AH79" s="143"/>
      <c r="AI79" s="143"/>
      <c r="AJ79" s="144"/>
    </row>
    <row r="80" spans="11:36">
      <c r="K80" s="85"/>
      <c r="L80" s="54" t="str">
        <f t="shared" si="27"/>
        <v/>
      </c>
      <c r="M80" s="38" t="str">
        <f t="shared" si="25"/>
        <v>0100</v>
      </c>
      <c r="N80" s="69">
        <f t="shared" si="29"/>
        <v>256</v>
      </c>
      <c r="O80" s="95"/>
      <c r="P80" s="96"/>
      <c r="Q80" s="97"/>
      <c r="R80" s="149"/>
      <c r="S80" s="153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2"/>
      <c r="AD80" s="143"/>
      <c r="AE80" s="143"/>
      <c r="AF80" s="143"/>
      <c r="AG80" s="143"/>
      <c r="AH80" s="143"/>
      <c r="AI80" s="143"/>
      <c r="AJ80" s="144"/>
    </row>
    <row r="81" spans="11:36">
      <c r="K81" s="85"/>
      <c r="L81" s="54" t="str">
        <f t="shared" si="27"/>
        <v/>
      </c>
      <c r="M81" s="38" t="str">
        <f t="shared" si="25"/>
        <v>0100</v>
      </c>
      <c r="N81" s="69">
        <f t="shared" si="29"/>
        <v>256</v>
      </c>
      <c r="O81" s="95"/>
      <c r="P81" s="96"/>
      <c r="Q81" s="97"/>
      <c r="R81" s="149"/>
      <c r="S81" s="153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2"/>
      <c r="AD81" s="143"/>
      <c r="AE81" s="143"/>
      <c r="AF81" s="143"/>
      <c r="AG81" s="143"/>
      <c r="AH81" s="143"/>
      <c r="AI81" s="143"/>
      <c r="AJ81" s="144"/>
    </row>
    <row r="82" spans="11:36">
      <c r="K82" s="85"/>
      <c r="L82" s="54" t="str">
        <f t="shared" si="27"/>
        <v/>
      </c>
      <c r="M82" s="38" t="str">
        <f t="shared" si="25"/>
        <v>0100</v>
      </c>
      <c r="N82" s="69">
        <f t="shared" si="29"/>
        <v>256</v>
      </c>
      <c r="O82" s="95"/>
      <c r="P82" s="96"/>
      <c r="Q82" s="97"/>
      <c r="R82" s="149"/>
      <c r="S82" s="153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2"/>
      <c r="AD82" s="143"/>
      <c r="AE82" s="143"/>
      <c r="AF82" s="143"/>
      <c r="AG82" s="143"/>
      <c r="AH82" s="143"/>
      <c r="AI82" s="143"/>
      <c r="AJ82" s="144"/>
    </row>
    <row r="83" spans="11:36">
      <c r="K83" s="85"/>
      <c r="L83" s="54" t="str">
        <f t="shared" si="27"/>
        <v/>
      </c>
      <c r="M83" s="38" t="str">
        <f t="shared" si="25"/>
        <v>0100</v>
      </c>
      <c r="N83" s="69">
        <f t="shared" si="29"/>
        <v>256</v>
      </c>
      <c r="O83" s="95"/>
      <c r="P83" s="96"/>
      <c r="Q83" s="97"/>
      <c r="R83" s="149"/>
      <c r="S83" s="153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2"/>
      <c r="AD83" s="143"/>
      <c r="AE83" s="143"/>
      <c r="AF83" s="143"/>
      <c r="AG83" s="143"/>
      <c r="AH83" s="143"/>
      <c r="AI83" s="143"/>
      <c r="AJ83" s="144"/>
    </row>
    <row r="84" spans="11:36">
      <c r="K84" s="85"/>
      <c r="L84" s="54" t="str">
        <f t="shared" si="27"/>
        <v/>
      </c>
      <c r="M84" s="38" t="str">
        <f t="shared" si="25"/>
        <v>0100</v>
      </c>
      <c r="N84" s="69">
        <f t="shared" si="29"/>
        <v>256</v>
      </c>
      <c r="O84" s="95"/>
      <c r="P84" s="96"/>
      <c r="Q84" s="97"/>
      <c r="R84" s="149"/>
      <c r="S84" s="153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2"/>
      <c r="AD84" s="143"/>
      <c r="AE84" s="143"/>
      <c r="AF84" s="143"/>
      <c r="AG84" s="143"/>
      <c r="AH84" s="143"/>
      <c r="AI84" s="143"/>
      <c r="AJ84" s="144"/>
    </row>
    <row r="85" spans="11:36">
      <c r="K85" s="85"/>
      <c r="L85" s="54" t="str">
        <f t="shared" si="27"/>
        <v/>
      </c>
      <c r="M85" s="38" t="str">
        <f t="shared" si="25"/>
        <v>0100</v>
      </c>
      <c r="N85" s="69">
        <f t="shared" si="29"/>
        <v>256</v>
      </c>
      <c r="O85" s="95"/>
      <c r="P85" s="96"/>
      <c r="Q85" s="97"/>
      <c r="R85" s="149"/>
      <c r="S85" s="153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2"/>
      <c r="AD85" s="143"/>
      <c r="AE85" s="143"/>
      <c r="AF85" s="143"/>
      <c r="AG85" s="143"/>
      <c r="AH85" s="143"/>
      <c r="AI85" s="143"/>
      <c r="AJ85" s="144"/>
    </row>
    <row r="86" spans="11:36">
      <c r="K86" s="85"/>
      <c r="L86" s="54" t="str">
        <f t="shared" si="27"/>
        <v/>
      </c>
      <c r="M86" s="38" t="str">
        <f t="shared" si="25"/>
        <v>0100</v>
      </c>
      <c r="N86" s="69">
        <f t="shared" si="29"/>
        <v>256</v>
      </c>
      <c r="O86" s="95"/>
      <c r="P86" s="96"/>
      <c r="Q86" s="97"/>
      <c r="R86" s="149"/>
      <c r="S86" s="153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2"/>
      <c r="AD86" s="143"/>
      <c r="AE86" s="143"/>
      <c r="AF86" s="143"/>
      <c r="AG86" s="143"/>
      <c r="AH86" s="143"/>
      <c r="AI86" s="143"/>
      <c r="AJ86" s="144"/>
    </row>
    <row r="87" spans="11:36">
      <c r="K87" s="85"/>
      <c r="L87" s="54" t="str">
        <f t="shared" si="27"/>
        <v/>
      </c>
      <c r="M87" s="38" t="str">
        <f t="shared" si="25"/>
        <v>0100</v>
      </c>
      <c r="N87" s="69">
        <f t="shared" si="29"/>
        <v>256</v>
      </c>
      <c r="O87" s="95"/>
      <c r="P87" s="96"/>
      <c r="Q87" s="97"/>
      <c r="R87" s="149"/>
      <c r="S87" s="153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2"/>
      <c r="AD87" s="143"/>
      <c r="AE87" s="143"/>
      <c r="AF87" s="143"/>
      <c r="AG87" s="143"/>
      <c r="AH87" s="143"/>
      <c r="AI87" s="143"/>
      <c r="AJ87" s="144"/>
    </row>
    <row r="88" spans="11:36">
      <c r="K88" s="85"/>
      <c r="L88" s="54" t="str">
        <f t="shared" si="27"/>
        <v/>
      </c>
      <c r="M88" s="38" t="str">
        <f t="shared" si="25"/>
        <v>0100</v>
      </c>
      <c r="N88" s="69">
        <f t="shared" si="29"/>
        <v>256</v>
      </c>
      <c r="O88" s="95"/>
      <c r="P88" s="96"/>
      <c r="Q88" s="97"/>
      <c r="R88" s="149"/>
      <c r="S88" s="153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2"/>
      <c r="AD88" s="143"/>
      <c r="AE88" s="143"/>
      <c r="AF88" s="143"/>
      <c r="AG88" s="143"/>
      <c r="AH88" s="143"/>
      <c r="AI88" s="143"/>
      <c r="AJ88" s="144"/>
    </row>
    <row r="89" spans="11:36">
      <c r="K89" s="85"/>
      <c r="L89" s="54" t="str">
        <f t="shared" si="27"/>
        <v/>
      </c>
      <c r="M89" s="38" t="str">
        <f t="shared" si="25"/>
        <v>0100</v>
      </c>
      <c r="N89" s="69">
        <f t="shared" si="29"/>
        <v>256</v>
      </c>
      <c r="O89" s="95"/>
      <c r="P89" s="96"/>
      <c r="Q89" s="97"/>
      <c r="R89" s="149"/>
      <c r="S89" s="153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2"/>
      <c r="AD89" s="143"/>
      <c r="AE89" s="143"/>
      <c r="AF89" s="143"/>
      <c r="AG89" s="143"/>
      <c r="AH89" s="143"/>
      <c r="AI89" s="143"/>
      <c r="AJ89" s="144"/>
    </row>
    <row r="90" spans="11:36">
      <c r="K90" s="85"/>
      <c r="L90" s="54" t="str">
        <f t="shared" si="27"/>
        <v/>
      </c>
      <c r="M90" s="38" t="str">
        <f t="shared" si="25"/>
        <v>0100</v>
      </c>
      <c r="N90" s="69">
        <f t="shared" si="29"/>
        <v>256</v>
      </c>
      <c r="O90" s="95"/>
      <c r="P90" s="96"/>
      <c r="Q90" s="97"/>
      <c r="R90" s="149"/>
      <c r="S90" s="153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2"/>
      <c r="AD90" s="143"/>
      <c r="AE90" s="143"/>
      <c r="AF90" s="143"/>
      <c r="AG90" s="143"/>
      <c r="AH90" s="143"/>
      <c r="AI90" s="143"/>
      <c r="AJ90" s="144"/>
    </row>
    <row r="91" spans="11:36">
      <c r="K91" s="85"/>
      <c r="L91" s="54" t="str">
        <f t="shared" si="27"/>
        <v/>
      </c>
      <c r="M91" s="38" t="str">
        <f t="shared" si="25"/>
        <v>0100</v>
      </c>
      <c r="N91" s="69">
        <f t="shared" si="29"/>
        <v>256</v>
      </c>
      <c r="O91" s="95"/>
      <c r="P91" s="96"/>
      <c r="Q91" s="97"/>
      <c r="R91" s="149"/>
      <c r="S91" s="153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2"/>
      <c r="AD91" s="143"/>
      <c r="AE91" s="143"/>
      <c r="AF91" s="143"/>
      <c r="AG91" s="143"/>
      <c r="AH91" s="143"/>
      <c r="AI91" s="143"/>
      <c r="AJ91" s="144"/>
    </row>
    <row r="92" spans="11:36">
      <c r="K92" s="85"/>
      <c r="L92" s="54" t="str">
        <f t="shared" si="27"/>
        <v/>
      </c>
      <c r="M92" s="38" t="str">
        <f t="shared" si="25"/>
        <v>0100</v>
      </c>
      <c r="N92" s="69">
        <f t="shared" si="29"/>
        <v>256</v>
      </c>
      <c r="O92" s="95"/>
      <c r="P92" s="96"/>
      <c r="Q92" s="97"/>
      <c r="R92" s="149"/>
      <c r="S92" s="153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2"/>
      <c r="AD92" s="143"/>
      <c r="AE92" s="143"/>
      <c r="AF92" s="143"/>
      <c r="AG92" s="143"/>
      <c r="AH92" s="143"/>
      <c r="AI92" s="143"/>
      <c r="AJ92" s="144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0100</v>
      </c>
      <c r="N93" s="69">
        <f t="shared" si="29"/>
        <v>256</v>
      </c>
      <c r="O93" s="95"/>
      <c r="P93" s="96"/>
      <c r="Q93" s="97"/>
      <c r="R93" s="149"/>
      <c r="S93" s="153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2"/>
      <c r="AD93" s="143"/>
      <c r="AE93" s="143"/>
      <c r="AF93" s="143"/>
      <c r="AG93" s="143"/>
      <c r="AH93" s="143"/>
      <c r="AI93" s="143"/>
      <c r="AJ93" s="144"/>
    </row>
    <row r="94" spans="11:36">
      <c r="K94" s="85"/>
      <c r="L94" s="54" t="str">
        <f t="shared" si="27"/>
        <v/>
      </c>
      <c r="M94" s="38" t="str">
        <f t="shared" si="30"/>
        <v>0100</v>
      </c>
      <c r="N94" s="69">
        <f t="shared" si="29"/>
        <v>256</v>
      </c>
      <c r="O94" s="95"/>
      <c r="P94" s="96"/>
      <c r="Q94" s="97"/>
      <c r="R94" s="149"/>
      <c r="S94" s="153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2"/>
      <c r="AD94" s="143"/>
      <c r="AE94" s="143"/>
      <c r="AF94" s="143"/>
      <c r="AG94" s="143"/>
      <c r="AH94" s="143"/>
      <c r="AI94" s="143"/>
      <c r="AJ94" s="144"/>
    </row>
    <row r="95" spans="11:36">
      <c r="K95" s="85"/>
      <c r="L95" s="54" t="str">
        <f t="shared" si="27"/>
        <v/>
      </c>
      <c r="M95" s="38" t="str">
        <f t="shared" si="30"/>
        <v>0100</v>
      </c>
      <c r="N95" s="69">
        <f t="shared" si="29"/>
        <v>256</v>
      </c>
      <c r="O95" s="95"/>
      <c r="P95" s="96"/>
      <c r="Q95" s="97"/>
      <c r="R95" s="149"/>
      <c r="S95" s="153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2"/>
      <c r="AD95" s="143"/>
      <c r="AE95" s="143"/>
      <c r="AF95" s="143"/>
      <c r="AG95" s="143"/>
      <c r="AH95" s="143"/>
      <c r="AI95" s="143"/>
      <c r="AJ95" s="144"/>
    </row>
    <row r="96" spans="11:36">
      <c r="K96" s="85"/>
      <c r="L96" s="54" t="str">
        <f t="shared" si="27"/>
        <v/>
      </c>
      <c r="M96" s="38" t="str">
        <f t="shared" si="30"/>
        <v>0100</v>
      </c>
      <c r="N96" s="69">
        <f t="shared" si="29"/>
        <v>256</v>
      </c>
      <c r="O96" s="95"/>
      <c r="P96" s="96"/>
      <c r="Q96" s="97"/>
      <c r="R96" s="149"/>
      <c r="S96" s="153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2"/>
      <c r="AD96" s="143"/>
      <c r="AE96" s="143"/>
      <c r="AF96" s="143"/>
      <c r="AG96" s="143"/>
      <c r="AH96" s="143"/>
      <c r="AI96" s="143"/>
      <c r="AJ96" s="144"/>
    </row>
    <row r="97" spans="11:36">
      <c r="K97" s="85"/>
      <c r="L97" s="54" t="str">
        <f t="shared" si="27"/>
        <v/>
      </c>
      <c r="M97" s="38" t="str">
        <f t="shared" si="30"/>
        <v>0100</v>
      </c>
      <c r="N97" s="69">
        <f t="shared" si="29"/>
        <v>256</v>
      </c>
      <c r="O97" s="95"/>
      <c r="P97" s="96"/>
      <c r="Q97" s="97"/>
      <c r="R97" s="149"/>
      <c r="S97" s="153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2"/>
      <c r="AD97" s="143"/>
      <c r="AE97" s="143"/>
      <c r="AF97" s="143"/>
      <c r="AG97" s="143"/>
      <c r="AH97" s="143"/>
      <c r="AI97" s="143"/>
      <c r="AJ97" s="144"/>
    </row>
    <row r="98" spans="11:36">
      <c r="K98" s="85"/>
      <c r="L98" s="54" t="str">
        <f t="shared" si="27"/>
        <v/>
      </c>
      <c r="M98" s="38" t="str">
        <f t="shared" si="30"/>
        <v>0100</v>
      </c>
      <c r="N98" s="69">
        <f t="shared" si="29"/>
        <v>256</v>
      </c>
      <c r="O98" s="95"/>
      <c r="P98" s="96"/>
      <c r="Q98" s="97"/>
      <c r="R98" s="149"/>
      <c r="S98" s="153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2"/>
      <c r="AD98" s="143"/>
      <c r="AE98" s="143"/>
      <c r="AF98" s="143"/>
      <c r="AG98" s="143"/>
      <c r="AH98" s="143"/>
      <c r="AI98" s="143"/>
      <c r="AJ98" s="144"/>
    </row>
    <row r="99" spans="11:36">
      <c r="K99" s="85"/>
      <c r="L99" s="54" t="str">
        <f t="shared" si="27"/>
        <v/>
      </c>
      <c r="M99" s="38" t="str">
        <f t="shared" si="30"/>
        <v>0100</v>
      </c>
      <c r="N99" s="69">
        <f t="shared" si="29"/>
        <v>256</v>
      </c>
      <c r="O99" s="95"/>
      <c r="P99" s="96"/>
      <c r="Q99" s="97"/>
      <c r="R99" s="149"/>
      <c r="S99" s="153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2"/>
      <c r="AD99" s="143"/>
      <c r="AE99" s="143"/>
      <c r="AF99" s="143"/>
      <c r="AG99" s="143"/>
      <c r="AH99" s="143"/>
      <c r="AI99" s="143"/>
      <c r="AJ99" s="144"/>
    </row>
    <row r="100" spans="11:36">
      <c r="K100" s="85"/>
      <c r="L100" s="54" t="str">
        <f t="shared" si="27"/>
        <v/>
      </c>
      <c r="M100" s="38" t="str">
        <f t="shared" si="30"/>
        <v>0100</v>
      </c>
      <c r="N100" s="69">
        <f t="shared" si="29"/>
        <v>256</v>
      </c>
      <c r="O100" s="95"/>
      <c r="P100" s="96"/>
      <c r="Q100" s="97"/>
      <c r="R100" s="149"/>
      <c r="S100" s="153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2"/>
      <c r="AD100" s="143"/>
      <c r="AE100" s="143"/>
      <c r="AF100" s="143"/>
      <c r="AG100" s="143"/>
      <c r="AH100" s="143"/>
      <c r="AI100" s="143"/>
      <c r="AJ100" s="144"/>
    </row>
    <row r="101" spans="11:36">
      <c r="K101" s="85"/>
      <c r="L101" s="54" t="str">
        <f t="shared" si="27"/>
        <v/>
      </c>
      <c r="M101" s="38" t="str">
        <f t="shared" si="30"/>
        <v>0100</v>
      </c>
      <c r="N101" s="69">
        <f t="shared" si="29"/>
        <v>256</v>
      </c>
      <c r="O101" s="95"/>
      <c r="P101" s="96"/>
      <c r="Q101" s="97"/>
      <c r="R101" s="149"/>
      <c r="S101" s="153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2"/>
      <c r="AD101" s="143"/>
      <c r="AE101" s="143"/>
      <c r="AF101" s="143"/>
      <c r="AG101" s="143"/>
      <c r="AH101" s="143"/>
      <c r="AI101" s="143"/>
      <c r="AJ101" s="144"/>
    </row>
    <row r="102" spans="11:36">
      <c r="K102" s="85"/>
      <c r="L102" s="54" t="str">
        <f t="shared" si="27"/>
        <v/>
      </c>
      <c r="M102" s="38" t="str">
        <f t="shared" si="30"/>
        <v>0100</v>
      </c>
      <c r="N102" s="69">
        <f t="shared" si="29"/>
        <v>256</v>
      </c>
      <c r="O102" s="95"/>
      <c r="P102" s="96"/>
      <c r="Q102" s="97"/>
      <c r="R102" s="149"/>
      <c r="S102" s="153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2"/>
      <c r="AD102" s="143"/>
      <c r="AE102" s="143"/>
      <c r="AF102" s="143"/>
      <c r="AG102" s="143"/>
      <c r="AH102" s="143"/>
      <c r="AI102" s="143"/>
      <c r="AJ102" s="144"/>
    </row>
    <row r="103" spans="11:36">
      <c r="K103" s="85"/>
      <c r="L103" s="54" t="str">
        <f t="shared" si="27"/>
        <v/>
      </c>
      <c r="M103" s="38" t="str">
        <f t="shared" si="30"/>
        <v>0100</v>
      </c>
      <c r="N103" s="69">
        <f t="shared" si="29"/>
        <v>256</v>
      </c>
      <c r="O103" s="95"/>
      <c r="P103" s="96"/>
      <c r="Q103" s="97"/>
      <c r="R103" s="149"/>
      <c r="S103" s="153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2"/>
      <c r="AD103" s="143"/>
      <c r="AE103" s="143"/>
      <c r="AF103" s="143"/>
      <c r="AG103" s="143"/>
      <c r="AH103" s="143"/>
      <c r="AI103" s="143"/>
      <c r="AJ103" s="144"/>
    </row>
    <row r="104" spans="11:36">
      <c r="K104" s="85"/>
      <c r="L104" s="54" t="str">
        <f t="shared" si="27"/>
        <v/>
      </c>
      <c r="M104" s="38" t="str">
        <f t="shared" si="30"/>
        <v>0100</v>
      </c>
      <c r="N104" s="69">
        <f t="shared" si="29"/>
        <v>256</v>
      </c>
      <c r="O104" s="95"/>
      <c r="P104" s="96"/>
      <c r="Q104" s="97"/>
      <c r="R104" s="149"/>
      <c r="S104" s="153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2"/>
      <c r="AD104" s="143"/>
      <c r="AE104" s="143"/>
      <c r="AF104" s="143"/>
      <c r="AG104" s="143"/>
      <c r="AH104" s="143"/>
      <c r="AI104" s="143"/>
      <c r="AJ104" s="144"/>
    </row>
    <row r="105" spans="11:36">
      <c r="K105" s="85"/>
      <c r="L105" s="54" t="str">
        <f t="shared" si="27"/>
        <v/>
      </c>
      <c r="M105" s="38" t="str">
        <f t="shared" si="30"/>
        <v>0100</v>
      </c>
      <c r="N105" s="69">
        <f t="shared" si="29"/>
        <v>256</v>
      </c>
      <c r="O105" s="95"/>
      <c r="P105" s="96"/>
      <c r="Q105" s="97"/>
      <c r="R105" s="149"/>
      <c r="S105" s="153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2"/>
      <c r="AD105" s="143"/>
      <c r="AE105" s="143"/>
      <c r="AF105" s="143"/>
      <c r="AG105" s="143"/>
      <c r="AH105" s="143"/>
      <c r="AI105" s="143"/>
      <c r="AJ105" s="144"/>
    </row>
    <row r="106" spans="11:36">
      <c r="K106" s="85"/>
      <c r="L106" s="54" t="str">
        <f t="shared" si="27"/>
        <v/>
      </c>
      <c r="M106" s="38" t="str">
        <f t="shared" si="30"/>
        <v>0100</v>
      </c>
      <c r="N106" s="69">
        <f t="shared" si="29"/>
        <v>256</v>
      </c>
      <c r="O106" s="95"/>
      <c r="P106" s="96"/>
      <c r="Q106" s="97"/>
      <c r="R106" s="149"/>
      <c r="S106" s="153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2"/>
      <c r="AD106" s="143"/>
      <c r="AE106" s="143"/>
      <c r="AF106" s="143"/>
      <c r="AG106" s="143"/>
      <c r="AH106" s="143"/>
      <c r="AI106" s="143"/>
      <c r="AJ106" s="144"/>
    </row>
    <row r="107" spans="11:36">
      <c r="K107" s="85"/>
      <c r="L107" s="54" t="str">
        <f t="shared" si="27"/>
        <v/>
      </c>
      <c r="M107" s="38" t="str">
        <f t="shared" si="30"/>
        <v>0100</v>
      </c>
      <c r="N107" s="69">
        <f t="shared" si="29"/>
        <v>256</v>
      </c>
      <c r="O107" s="95"/>
      <c r="P107" s="96"/>
      <c r="Q107" s="97"/>
      <c r="R107" s="149"/>
      <c r="S107" s="153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2"/>
      <c r="AD107" s="143"/>
      <c r="AE107" s="143"/>
      <c r="AF107" s="143"/>
      <c r="AG107" s="143"/>
      <c r="AH107" s="143"/>
      <c r="AI107" s="143"/>
      <c r="AJ107" s="144"/>
    </row>
    <row r="108" spans="11:36">
      <c r="K108" s="85"/>
      <c r="L108" s="54" t="str">
        <f t="shared" si="27"/>
        <v/>
      </c>
      <c r="M108" s="38" t="str">
        <f t="shared" si="30"/>
        <v>0100</v>
      </c>
      <c r="N108" s="69">
        <f t="shared" si="29"/>
        <v>256</v>
      </c>
      <c r="O108" s="95"/>
      <c r="P108" s="96"/>
      <c r="Q108" s="97"/>
      <c r="R108" s="149"/>
      <c r="S108" s="153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2"/>
      <c r="AD108" s="143"/>
      <c r="AE108" s="143"/>
      <c r="AF108" s="143"/>
      <c r="AG108" s="143"/>
      <c r="AH108" s="143"/>
      <c r="AI108" s="143"/>
      <c r="AJ108" s="144"/>
    </row>
    <row r="109" spans="11:36">
      <c r="K109" s="85"/>
      <c r="L109" s="54" t="str">
        <f t="shared" si="27"/>
        <v/>
      </c>
      <c r="M109" s="38" t="str">
        <f t="shared" si="30"/>
        <v>0100</v>
      </c>
      <c r="N109" s="69">
        <f t="shared" si="29"/>
        <v>256</v>
      </c>
      <c r="O109" s="95"/>
      <c r="P109" s="96"/>
      <c r="Q109" s="97"/>
      <c r="R109" s="149"/>
      <c r="S109" s="153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2"/>
      <c r="AD109" s="143"/>
      <c r="AE109" s="143"/>
      <c r="AF109" s="143"/>
      <c r="AG109" s="143"/>
      <c r="AH109" s="143"/>
      <c r="AI109" s="143"/>
      <c r="AJ109" s="144"/>
    </row>
    <row r="110" spans="11:36">
      <c r="K110" s="85"/>
      <c r="L110" s="54" t="str">
        <f t="shared" si="27"/>
        <v/>
      </c>
      <c r="M110" s="38" t="str">
        <f t="shared" si="30"/>
        <v>0100</v>
      </c>
      <c r="N110" s="69">
        <f t="shared" si="29"/>
        <v>256</v>
      </c>
      <c r="O110" s="95"/>
      <c r="P110" s="96"/>
      <c r="Q110" s="97"/>
      <c r="R110" s="149"/>
      <c r="S110" s="153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2"/>
      <c r="AD110" s="143"/>
      <c r="AE110" s="143"/>
      <c r="AF110" s="143"/>
      <c r="AG110" s="143"/>
      <c r="AH110" s="143"/>
      <c r="AI110" s="143"/>
      <c r="AJ110" s="144"/>
    </row>
    <row r="111" spans="11:36">
      <c r="K111" s="85"/>
      <c r="L111" s="54" t="str">
        <f t="shared" si="27"/>
        <v/>
      </c>
      <c r="M111" s="38" t="str">
        <f t="shared" si="30"/>
        <v>0100</v>
      </c>
      <c r="N111" s="69">
        <f t="shared" si="29"/>
        <v>256</v>
      </c>
      <c r="O111" s="95"/>
      <c r="P111" s="96"/>
      <c r="Q111" s="97"/>
      <c r="R111" s="149"/>
      <c r="S111" s="153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2"/>
      <c r="AD111" s="143"/>
      <c r="AE111" s="143"/>
      <c r="AF111" s="143"/>
      <c r="AG111" s="143"/>
      <c r="AH111" s="143"/>
      <c r="AI111" s="143"/>
      <c r="AJ111" s="144"/>
    </row>
    <row r="112" spans="11:36">
      <c r="K112" s="85"/>
      <c r="L112" s="54" t="str">
        <f t="shared" si="27"/>
        <v/>
      </c>
      <c r="M112" s="38" t="str">
        <f t="shared" si="30"/>
        <v>0100</v>
      </c>
      <c r="N112" s="69">
        <f t="shared" si="29"/>
        <v>256</v>
      </c>
      <c r="O112" s="95"/>
      <c r="P112" s="96"/>
      <c r="Q112" s="97"/>
      <c r="R112" s="149"/>
      <c r="S112" s="153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2"/>
      <c r="AD112" s="143"/>
      <c r="AE112" s="143"/>
      <c r="AF112" s="143"/>
      <c r="AG112" s="143"/>
      <c r="AH112" s="143"/>
      <c r="AI112" s="143"/>
      <c r="AJ112" s="144"/>
    </row>
    <row r="113" spans="11:36">
      <c r="K113" s="85"/>
      <c r="L113" s="54" t="str">
        <f t="shared" si="27"/>
        <v/>
      </c>
      <c r="M113" s="38" t="str">
        <f t="shared" si="30"/>
        <v>0100</v>
      </c>
      <c r="N113" s="69">
        <f t="shared" si="29"/>
        <v>256</v>
      </c>
      <c r="O113" s="95"/>
      <c r="P113" s="96"/>
      <c r="Q113" s="97"/>
      <c r="R113" s="149"/>
      <c r="S113" s="153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2"/>
      <c r="AD113" s="143"/>
      <c r="AE113" s="143"/>
      <c r="AF113" s="143"/>
      <c r="AG113" s="143"/>
      <c r="AH113" s="143"/>
      <c r="AI113" s="143"/>
      <c r="AJ113" s="144"/>
    </row>
    <row r="114" spans="11:36">
      <c r="K114" s="85"/>
      <c r="L114" s="54" t="str">
        <f t="shared" si="27"/>
        <v/>
      </c>
      <c r="M114" s="38" t="str">
        <f t="shared" si="30"/>
        <v>0100</v>
      </c>
      <c r="N114" s="69">
        <f t="shared" si="29"/>
        <v>256</v>
      </c>
      <c r="O114" s="95"/>
      <c r="P114" s="96"/>
      <c r="Q114" s="97"/>
      <c r="R114" s="149"/>
      <c r="S114" s="153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2"/>
      <c r="AD114" s="143"/>
      <c r="AE114" s="143"/>
      <c r="AF114" s="143"/>
      <c r="AG114" s="143"/>
      <c r="AH114" s="143"/>
      <c r="AI114" s="143"/>
      <c r="AJ114" s="144"/>
    </row>
    <row r="115" spans="11:36">
      <c r="K115" s="85"/>
      <c r="L115" s="54" t="str">
        <f t="shared" si="27"/>
        <v/>
      </c>
      <c r="M115" s="38" t="str">
        <f t="shared" si="30"/>
        <v>0100</v>
      </c>
      <c r="N115" s="69">
        <f t="shared" si="29"/>
        <v>256</v>
      </c>
      <c r="O115" s="95"/>
      <c r="P115" s="96"/>
      <c r="Q115" s="97"/>
      <c r="R115" s="149"/>
      <c r="S115" s="153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2"/>
      <c r="AD115" s="143"/>
      <c r="AE115" s="143"/>
      <c r="AF115" s="143"/>
      <c r="AG115" s="143"/>
      <c r="AH115" s="143"/>
      <c r="AI115" s="143"/>
      <c r="AJ115" s="144"/>
    </row>
    <row r="116" spans="11:36">
      <c r="K116" s="85"/>
      <c r="L116" s="54" t="str">
        <f t="shared" si="27"/>
        <v/>
      </c>
      <c r="M116" s="38" t="str">
        <f t="shared" si="30"/>
        <v>0100</v>
      </c>
      <c r="N116" s="69">
        <f t="shared" si="29"/>
        <v>256</v>
      </c>
      <c r="O116" s="95"/>
      <c r="P116" s="96"/>
      <c r="Q116" s="97"/>
      <c r="R116" s="149"/>
      <c r="S116" s="153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2"/>
      <c r="AD116" s="143"/>
      <c r="AE116" s="143"/>
      <c r="AF116" s="143"/>
      <c r="AG116" s="143"/>
      <c r="AH116" s="143"/>
      <c r="AI116" s="143"/>
      <c r="AJ116" s="144"/>
    </row>
    <row r="117" spans="11:36">
      <c r="K117" s="85"/>
      <c r="L117" s="54" t="str">
        <f t="shared" si="27"/>
        <v/>
      </c>
      <c r="M117" s="38" t="str">
        <f t="shared" si="30"/>
        <v>0100</v>
      </c>
      <c r="N117" s="69">
        <f t="shared" si="29"/>
        <v>256</v>
      </c>
      <c r="O117" s="95"/>
      <c r="P117" s="96"/>
      <c r="Q117" s="97"/>
      <c r="R117" s="149"/>
      <c r="S117" s="153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2"/>
      <c r="AD117" s="143"/>
      <c r="AE117" s="143"/>
      <c r="AF117" s="143"/>
      <c r="AG117" s="143"/>
      <c r="AH117" s="143"/>
      <c r="AI117" s="143"/>
      <c r="AJ117" s="144"/>
    </row>
    <row r="118" spans="11:36">
      <c r="K118" s="85"/>
      <c r="L118" s="54" t="str">
        <f t="shared" si="27"/>
        <v/>
      </c>
      <c r="M118" s="38" t="str">
        <f t="shared" si="30"/>
        <v>0100</v>
      </c>
      <c r="N118" s="69">
        <f t="shared" si="29"/>
        <v>256</v>
      </c>
      <c r="O118" s="95"/>
      <c r="P118" s="96"/>
      <c r="Q118" s="97"/>
      <c r="R118" s="149"/>
      <c r="S118" s="153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2"/>
      <c r="AD118" s="143"/>
      <c r="AE118" s="143"/>
      <c r="AF118" s="143"/>
      <c r="AG118" s="143"/>
      <c r="AH118" s="143"/>
      <c r="AI118" s="143"/>
      <c r="AJ118" s="144"/>
    </row>
    <row r="119" spans="11:36">
      <c r="K119" s="85"/>
      <c r="L119" s="54" t="str">
        <f t="shared" si="27"/>
        <v/>
      </c>
      <c r="M119" s="38" t="str">
        <f t="shared" si="30"/>
        <v>0100</v>
      </c>
      <c r="N119" s="69">
        <f t="shared" si="29"/>
        <v>256</v>
      </c>
      <c r="O119" s="95"/>
      <c r="P119" s="96"/>
      <c r="Q119" s="97"/>
      <c r="R119" s="149"/>
      <c r="S119" s="153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2"/>
      <c r="AD119" s="143"/>
      <c r="AE119" s="143"/>
      <c r="AF119" s="143"/>
      <c r="AG119" s="143"/>
      <c r="AH119" s="143"/>
      <c r="AI119" s="143"/>
      <c r="AJ119" s="144"/>
    </row>
    <row r="120" spans="11:36">
      <c r="K120" s="85"/>
      <c r="L120" s="54" t="str">
        <f t="shared" si="27"/>
        <v/>
      </c>
      <c r="M120" s="38" t="str">
        <f t="shared" si="30"/>
        <v>0100</v>
      </c>
      <c r="N120" s="69">
        <f t="shared" si="29"/>
        <v>256</v>
      </c>
      <c r="O120" s="95"/>
      <c r="P120" s="96"/>
      <c r="Q120" s="97"/>
      <c r="R120" s="149"/>
      <c r="S120" s="153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2"/>
      <c r="AD120" s="143"/>
      <c r="AE120" s="143"/>
      <c r="AF120" s="143"/>
      <c r="AG120" s="143"/>
      <c r="AH120" s="143"/>
      <c r="AI120" s="143"/>
      <c r="AJ120" s="144"/>
    </row>
    <row r="121" spans="11:36">
      <c r="K121" s="85"/>
      <c r="L121" s="54" t="str">
        <f t="shared" si="27"/>
        <v/>
      </c>
      <c r="M121" s="38" t="str">
        <f t="shared" si="30"/>
        <v>0100</v>
      </c>
      <c r="N121" s="69">
        <f t="shared" si="29"/>
        <v>256</v>
      </c>
      <c r="O121" s="95"/>
      <c r="P121" s="96"/>
      <c r="Q121" s="97"/>
      <c r="R121" s="149"/>
      <c r="S121" s="153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2"/>
      <c r="AD121" s="143"/>
      <c r="AE121" s="143"/>
      <c r="AF121" s="143"/>
      <c r="AG121" s="143"/>
      <c r="AH121" s="143"/>
      <c r="AI121" s="143"/>
      <c r="AJ121" s="144"/>
    </row>
    <row r="122" spans="11:36">
      <c r="K122" s="85"/>
      <c r="L122" s="54" t="str">
        <f t="shared" si="27"/>
        <v/>
      </c>
      <c r="M122" s="38" t="str">
        <f t="shared" si="30"/>
        <v>0100</v>
      </c>
      <c r="N122" s="69">
        <f t="shared" si="29"/>
        <v>256</v>
      </c>
      <c r="O122" s="95"/>
      <c r="P122" s="96"/>
      <c r="Q122" s="97"/>
      <c r="R122" s="149"/>
      <c r="S122" s="153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2"/>
      <c r="AD122" s="143"/>
      <c r="AE122" s="143"/>
      <c r="AF122" s="143"/>
      <c r="AG122" s="143"/>
      <c r="AH122" s="143"/>
      <c r="AI122" s="143"/>
      <c r="AJ122" s="144"/>
    </row>
    <row r="123" spans="11:36">
      <c r="K123" s="85"/>
      <c r="L123" s="54" t="str">
        <f t="shared" si="27"/>
        <v/>
      </c>
      <c r="M123" s="38" t="str">
        <f t="shared" si="30"/>
        <v>0100</v>
      </c>
      <c r="N123" s="69">
        <f t="shared" si="29"/>
        <v>256</v>
      </c>
      <c r="O123" s="95"/>
      <c r="P123" s="96"/>
      <c r="Q123" s="97"/>
      <c r="R123" s="149"/>
      <c r="S123" s="153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2"/>
      <c r="AD123" s="143"/>
      <c r="AE123" s="143"/>
      <c r="AF123" s="143"/>
      <c r="AG123" s="143"/>
      <c r="AH123" s="143"/>
      <c r="AI123" s="143"/>
      <c r="AJ123" s="144"/>
    </row>
    <row r="124" spans="11:36">
      <c r="K124" s="85"/>
      <c r="L124" s="54" t="str">
        <f t="shared" si="27"/>
        <v/>
      </c>
      <c r="M124" s="38" t="str">
        <f t="shared" si="30"/>
        <v>0100</v>
      </c>
      <c r="N124" s="69">
        <f t="shared" si="29"/>
        <v>256</v>
      </c>
      <c r="O124" s="95"/>
      <c r="P124" s="96"/>
      <c r="Q124" s="97"/>
      <c r="R124" s="149"/>
      <c r="S124" s="153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2"/>
      <c r="AD124" s="143"/>
      <c r="AE124" s="143"/>
      <c r="AF124" s="143"/>
      <c r="AG124" s="143"/>
      <c r="AH124" s="143"/>
      <c r="AI124" s="143"/>
      <c r="AJ124" s="144"/>
    </row>
    <row r="125" spans="11:36">
      <c r="K125" s="85"/>
      <c r="L125" s="54" t="str">
        <f t="shared" si="27"/>
        <v/>
      </c>
      <c r="M125" s="38" t="str">
        <f t="shared" si="30"/>
        <v>0100</v>
      </c>
      <c r="N125" s="69">
        <f t="shared" si="29"/>
        <v>256</v>
      </c>
      <c r="O125" s="95"/>
      <c r="P125" s="96"/>
      <c r="Q125" s="97"/>
      <c r="R125" s="149"/>
      <c r="S125" s="153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2"/>
      <c r="AD125" s="143"/>
      <c r="AE125" s="143"/>
      <c r="AF125" s="143"/>
      <c r="AG125" s="143"/>
      <c r="AH125" s="143"/>
      <c r="AI125" s="143"/>
      <c r="AJ125" s="144"/>
    </row>
    <row r="126" spans="11:36">
      <c r="K126" s="85"/>
      <c r="L126" s="54" t="str">
        <f t="shared" si="27"/>
        <v/>
      </c>
      <c r="M126" s="38" t="str">
        <f t="shared" si="30"/>
        <v>0100</v>
      </c>
      <c r="N126" s="69">
        <f t="shared" si="29"/>
        <v>256</v>
      </c>
      <c r="O126" s="95"/>
      <c r="P126" s="96"/>
      <c r="Q126" s="97"/>
      <c r="R126" s="149"/>
      <c r="S126" s="153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2"/>
      <c r="AD126" s="143"/>
      <c r="AE126" s="143"/>
      <c r="AF126" s="143"/>
      <c r="AG126" s="143"/>
      <c r="AH126" s="143"/>
      <c r="AI126" s="143"/>
      <c r="AJ126" s="144"/>
    </row>
    <row r="127" spans="11:36">
      <c r="K127" s="85"/>
      <c r="L127" s="54" t="str">
        <f t="shared" si="27"/>
        <v/>
      </c>
      <c r="M127" s="38" t="str">
        <f t="shared" si="30"/>
        <v>0100</v>
      </c>
      <c r="N127" s="69">
        <f t="shared" si="29"/>
        <v>256</v>
      </c>
      <c r="O127" s="95"/>
      <c r="P127" s="96"/>
      <c r="Q127" s="97"/>
      <c r="R127" s="149"/>
      <c r="S127" s="153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2"/>
      <c r="AD127" s="143"/>
      <c r="AE127" s="143"/>
      <c r="AF127" s="143"/>
      <c r="AG127" s="143"/>
      <c r="AH127" s="143"/>
      <c r="AI127" s="143"/>
      <c r="AJ127" s="144"/>
    </row>
    <row r="128" spans="11:36">
      <c r="K128" s="85"/>
      <c r="L128" s="54" t="str">
        <f t="shared" si="27"/>
        <v/>
      </c>
      <c r="M128" s="38" t="str">
        <f t="shared" si="30"/>
        <v>0100</v>
      </c>
      <c r="N128" s="69">
        <f t="shared" si="29"/>
        <v>256</v>
      </c>
      <c r="O128" s="95"/>
      <c r="P128" s="96"/>
      <c r="Q128" s="97"/>
      <c r="R128" s="149"/>
      <c r="S128" s="153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2"/>
      <c r="AD128" s="143"/>
      <c r="AE128" s="143"/>
      <c r="AF128" s="143"/>
      <c r="AG128" s="143"/>
      <c r="AH128" s="143"/>
      <c r="AI128" s="143"/>
      <c r="AJ128" s="144"/>
    </row>
    <row r="129" spans="11:36">
      <c r="K129" s="85"/>
      <c r="L129" s="54" t="str">
        <f t="shared" si="27"/>
        <v/>
      </c>
      <c r="M129" s="38" t="str">
        <f t="shared" si="30"/>
        <v>0100</v>
      </c>
      <c r="N129" s="69">
        <f t="shared" si="29"/>
        <v>256</v>
      </c>
      <c r="O129" s="95"/>
      <c r="P129" s="96"/>
      <c r="Q129" s="97"/>
      <c r="R129" s="149"/>
      <c r="S129" s="153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2"/>
      <c r="AD129" s="143"/>
      <c r="AE129" s="143"/>
      <c r="AF129" s="143"/>
      <c r="AG129" s="143"/>
      <c r="AH129" s="143"/>
      <c r="AI129" s="143"/>
      <c r="AJ129" s="144"/>
    </row>
    <row r="130" spans="11:36">
      <c r="K130" s="85"/>
      <c r="L130" s="54" t="str">
        <f t="shared" si="27"/>
        <v/>
      </c>
      <c r="M130" s="38" t="str">
        <f t="shared" si="30"/>
        <v>0100</v>
      </c>
      <c r="N130" s="69">
        <f t="shared" si="29"/>
        <v>256</v>
      </c>
      <c r="O130" s="95"/>
      <c r="P130" s="96"/>
      <c r="Q130" s="97"/>
      <c r="R130" s="149"/>
      <c r="S130" s="153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2"/>
      <c r="AD130" s="143"/>
      <c r="AE130" s="143"/>
      <c r="AF130" s="143"/>
      <c r="AG130" s="143"/>
      <c r="AH130" s="143"/>
      <c r="AI130" s="143"/>
      <c r="AJ130" s="144"/>
    </row>
    <row r="131" spans="11:36">
      <c r="K131" s="85"/>
      <c r="L131" s="54" t="str">
        <f t="shared" si="27"/>
        <v/>
      </c>
      <c r="M131" s="38" t="str">
        <f t="shared" si="30"/>
        <v>0100</v>
      </c>
      <c r="N131" s="69">
        <f t="shared" si="29"/>
        <v>256</v>
      </c>
      <c r="O131" s="95"/>
      <c r="P131" s="96"/>
      <c r="Q131" s="97"/>
      <c r="R131" s="149"/>
      <c r="S131" s="153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2"/>
      <c r="AD131" s="143"/>
      <c r="AE131" s="143"/>
      <c r="AF131" s="143"/>
      <c r="AG131" s="143"/>
      <c r="AH131" s="143"/>
      <c r="AI131" s="143"/>
      <c r="AJ131" s="144"/>
    </row>
    <row r="132" spans="11:36">
      <c r="K132" s="85"/>
      <c r="L132" s="54" t="str">
        <f t="shared" si="27"/>
        <v/>
      </c>
      <c r="M132" s="38" t="str">
        <f t="shared" si="30"/>
        <v>0100</v>
      </c>
      <c r="N132" s="69">
        <f t="shared" si="29"/>
        <v>256</v>
      </c>
      <c r="O132" s="95"/>
      <c r="P132" s="96"/>
      <c r="Q132" s="97"/>
      <c r="R132" s="149"/>
      <c r="S132" s="153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2"/>
      <c r="AD132" s="143"/>
      <c r="AE132" s="143"/>
      <c r="AF132" s="143"/>
      <c r="AG132" s="143"/>
      <c r="AH132" s="143"/>
      <c r="AI132" s="143"/>
      <c r="AJ132" s="144"/>
    </row>
    <row r="133" spans="11:36">
      <c r="K133" s="85"/>
      <c r="L133" s="54" t="str">
        <f t="shared" si="27"/>
        <v/>
      </c>
      <c r="M133" s="38" t="str">
        <f t="shared" si="30"/>
        <v>0100</v>
      </c>
      <c r="N133" s="69">
        <f t="shared" si="29"/>
        <v>256</v>
      </c>
      <c r="O133" s="95"/>
      <c r="P133" s="96"/>
      <c r="Q133" s="97"/>
      <c r="R133" s="149"/>
      <c r="S133" s="153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2"/>
      <c r="AD133" s="143"/>
      <c r="AE133" s="143"/>
      <c r="AF133" s="143"/>
      <c r="AG133" s="143"/>
      <c r="AH133" s="143"/>
      <c r="AI133" s="143"/>
      <c r="AJ133" s="144"/>
    </row>
    <row r="134" spans="11:36">
      <c r="K134" s="85"/>
      <c r="L134" s="54" t="str">
        <f t="shared" si="27"/>
        <v/>
      </c>
      <c r="M134" s="38" t="str">
        <f t="shared" si="30"/>
        <v>0100</v>
      </c>
      <c r="N134" s="69">
        <f t="shared" si="29"/>
        <v>256</v>
      </c>
      <c r="O134" s="95"/>
      <c r="P134" s="96"/>
      <c r="Q134" s="97"/>
      <c r="R134" s="149"/>
      <c r="S134" s="153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2"/>
      <c r="AD134" s="143"/>
      <c r="AE134" s="143"/>
      <c r="AF134" s="143"/>
      <c r="AG134" s="143"/>
      <c r="AH134" s="143"/>
      <c r="AI134" s="143"/>
      <c r="AJ134" s="144"/>
    </row>
    <row r="135" spans="11:36">
      <c r="K135" s="85"/>
      <c r="L135" s="54" t="str">
        <f t="shared" si="27"/>
        <v/>
      </c>
      <c r="M135" s="38" t="str">
        <f t="shared" si="30"/>
        <v>0100</v>
      </c>
      <c r="N135" s="69">
        <f t="shared" si="29"/>
        <v>256</v>
      </c>
      <c r="O135" s="95"/>
      <c r="P135" s="96"/>
      <c r="Q135" s="97"/>
      <c r="R135" s="149"/>
      <c r="S135" s="153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2"/>
      <c r="AD135" s="143"/>
      <c r="AE135" s="143"/>
      <c r="AF135" s="143"/>
      <c r="AG135" s="143"/>
      <c r="AH135" s="143"/>
      <c r="AI135" s="143"/>
      <c r="AJ135" s="144"/>
    </row>
    <row r="136" spans="11:36">
      <c r="K136" s="85"/>
      <c r="L136" s="54" t="str">
        <f t="shared" si="27"/>
        <v/>
      </c>
      <c r="M136" s="38" t="str">
        <f t="shared" si="30"/>
        <v>0100</v>
      </c>
      <c r="N136" s="69">
        <f t="shared" si="29"/>
        <v>256</v>
      </c>
      <c r="O136" s="95"/>
      <c r="P136" s="96"/>
      <c r="Q136" s="97"/>
      <c r="R136" s="149"/>
      <c r="S136" s="153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2"/>
      <c r="AD136" s="143"/>
      <c r="AE136" s="143"/>
      <c r="AF136" s="143"/>
      <c r="AG136" s="143"/>
      <c r="AH136" s="143"/>
      <c r="AI136" s="143"/>
      <c r="AJ136" s="144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0100</v>
      </c>
      <c r="N137" s="69">
        <f t="shared" si="29"/>
        <v>256</v>
      </c>
      <c r="O137" s="95"/>
      <c r="P137" s="96"/>
      <c r="Q137" s="97"/>
      <c r="R137" s="149"/>
      <c r="S137" s="153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2"/>
      <c r="AD137" s="143"/>
      <c r="AE137" s="143"/>
      <c r="AF137" s="143"/>
      <c r="AG137" s="143"/>
      <c r="AH137" s="143"/>
      <c r="AI137" s="143"/>
      <c r="AJ137" s="144"/>
    </row>
    <row r="138" spans="11:36">
      <c r="K138" s="85"/>
      <c r="L138" s="54" t="str">
        <f t="shared" si="31"/>
        <v/>
      </c>
      <c r="M138" s="38" t="str">
        <f t="shared" si="30"/>
        <v>0100</v>
      </c>
      <c r="N138" s="69">
        <f t="shared" ref="N138:N201" si="33">N137+S137</f>
        <v>256</v>
      </c>
      <c r="O138" s="95"/>
      <c r="P138" s="96"/>
      <c r="Q138" s="97"/>
      <c r="R138" s="149"/>
      <c r="S138" s="153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2"/>
      <c r="AD138" s="143"/>
      <c r="AE138" s="143"/>
      <c r="AF138" s="143"/>
      <c r="AG138" s="143"/>
      <c r="AH138" s="143"/>
      <c r="AI138" s="143"/>
      <c r="AJ138" s="144"/>
    </row>
    <row r="139" spans="11:36">
      <c r="K139" s="85"/>
      <c r="L139" s="54" t="str">
        <f t="shared" si="31"/>
        <v/>
      </c>
      <c r="M139" s="38" t="str">
        <f t="shared" si="30"/>
        <v>0100</v>
      </c>
      <c r="N139" s="69">
        <f t="shared" si="33"/>
        <v>256</v>
      </c>
      <c r="O139" s="95"/>
      <c r="P139" s="96"/>
      <c r="Q139" s="97"/>
      <c r="R139" s="149"/>
      <c r="S139" s="153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2"/>
      <c r="AD139" s="143"/>
      <c r="AE139" s="143"/>
      <c r="AF139" s="143"/>
      <c r="AG139" s="143"/>
      <c r="AH139" s="143"/>
      <c r="AI139" s="143"/>
      <c r="AJ139" s="144"/>
    </row>
    <row r="140" spans="11:36">
      <c r="K140" s="85"/>
      <c r="L140" s="54" t="str">
        <f t="shared" si="31"/>
        <v/>
      </c>
      <c r="M140" s="38" t="str">
        <f t="shared" si="30"/>
        <v>0100</v>
      </c>
      <c r="N140" s="69">
        <f t="shared" si="33"/>
        <v>256</v>
      </c>
      <c r="O140" s="95"/>
      <c r="P140" s="96"/>
      <c r="Q140" s="97"/>
      <c r="R140" s="149"/>
      <c r="S140" s="153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2"/>
      <c r="AD140" s="143"/>
      <c r="AE140" s="143"/>
      <c r="AF140" s="143"/>
      <c r="AG140" s="143"/>
      <c r="AH140" s="143"/>
      <c r="AI140" s="143"/>
      <c r="AJ140" s="144"/>
    </row>
    <row r="141" spans="11:36">
      <c r="K141" s="85"/>
      <c r="L141" s="54" t="str">
        <f t="shared" si="31"/>
        <v/>
      </c>
      <c r="M141" s="38" t="str">
        <f t="shared" si="30"/>
        <v>0100</v>
      </c>
      <c r="N141" s="69">
        <f t="shared" si="33"/>
        <v>256</v>
      </c>
      <c r="O141" s="95"/>
      <c r="P141" s="96"/>
      <c r="Q141" s="97"/>
      <c r="R141" s="149"/>
      <c r="S141" s="153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2"/>
      <c r="AD141" s="143"/>
      <c r="AE141" s="143"/>
      <c r="AF141" s="143"/>
      <c r="AG141" s="143"/>
      <c r="AH141" s="143"/>
      <c r="AI141" s="143"/>
      <c r="AJ141" s="144"/>
    </row>
    <row r="142" spans="11:36">
      <c r="K142" s="85"/>
      <c r="L142" s="54" t="str">
        <f t="shared" si="31"/>
        <v/>
      </c>
      <c r="M142" s="38" t="str">
        <f t="shared" si="30"/>
        <v>0100</v>
      </c>
      <c r="N142" s="69">
        <f t="shared" si="33"/>
        <v>256</v>
      </c>
      <c r="O142" s="95"/>
      <c r="P142" s="96"/>
      <c r="Q142" s="97"/>
      <c r="R142" s="149"/>
      <c r="S142" s="153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2"/>
      <c r="AD142" s="143"/>
      <c r="AE142" s="143"/>
      <c r="AF142" s="143"/>
      <c r="AG142" s="143"/>
      <c r="AH142" s="143"/>
      <c r="AI142" s="143"/>
      <c r="AJ142" s="144"/>
    </row>
    <row r="143" spans="11:36">
      <c r="K143" s="85"/>
      <c r="L143" s="54" t="str">
        <f t="shared" si="31"/>
        <v/>
      </c>
      <c r="M143" s="38" t="str">
        <f t="shared" si="30"/>
        <v>0100</v>
      </c>
      <c r="N143" s="69">
        <f t="shared" si="33"/>
        <v>256</v>
      </c>
      <c r="O143" s="95"/>
      <c r="P143" s="96"/>
      <c r="Q143" s="97"/>
      <c r="R143" s="149"/>
      <c r="S143" s="153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2"/>
      <c r="AD143" s="143"/>
      <c r="AE143" s="143"/>
      <c r="AF143" s="143"/>
      <c r="AG143" s="143"/>
      <c r="AH143" s="143"/>
      <c r="AI143" s="143"/>
      <c r="AJ143" s="144"/>
    </row>
    <row r="144" spans="11:36">
      <c r="K144" s="85"/>
      <c r="L144" s="54" t="str">
        <f t="shared" si="31"/>
        <v/>
      </c>
      <c r="M144" s="38" t="str">
        <f t="shared" si="30"/>
        <v>0100</v>
      </c>
      <c r="N144" s="69">
        <f t="shared" si="33"/>
        <v>256</v>
      </c>
      <c r="O144" s="95"/>
      <c r="P144" s="96"/>
      <c r="Q144" s="97"/>
      <c r="R144" s="149"/>
      <c r="S144" s="153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2"/>
      <c r="AD144" s="143"/>
      <c r="AE144" s="143"/>
      <c r="AF144" s="143"/>
      <c r="AG144" s="143"/>
      <c r="AH144" s="143"/>
      <c r="AI144" s="143"/>
      <c r="AJ144" s="144"/>
    </row>
    <row r="145" spans="11:36">
      <c r="K145" s="85"/>
      <c r="L145" s="54" t="str">
        <f t="shared" si="31"/>
        <v/>
      </c>
      <c r="M145" s="38" t="str">
        <f t="shared" si="30"/>
        <v>0100</v>
      </c>
      <c r="N145" s="69">
        <f t="shared" si="33"/>
        <v>256</v>
      </c>
      <c r="O145" s="95"/>
      <c r="P145" s="96"/>
      <c r="Q145" s="97"/>
      <c r="R145" s="149"/>
      <c r="S145" s="153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2"/>
      <c r="AD145" s="143"/>
      <c r="AE145" s="143"/>
      <c r="AF145" s="143"/>
      <c r="AG145" s="143"/>
      <c r="AH145" s="143"/>
      <c r="AI145" s="143"/>
      <c r="AJ145" s="144"/>
    </row>
    <row r="146" spans="11:36">
      <c r="K146" s="85"/>
      <c r="L146" s="54" t="str">
        <f t="shared" si="31"/>
        <v/>
      </c>
      <c r="M146" s="38" t="str">
        <f t="shared" si="30"/>
        <v>0100</v>
      </c>
      <c r="N146" s="69">
        <f t="shared" si="33"/>
        <v>256</v>
      </c>
      <c r="O146" s="95"/>
      <c r="P146" s="96"/>
      <c r="Q146" s="97"/>
      <c r="R146" s="149"/>
      <c r="S146" s="153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2"/>
      <c r="AD146" s="143"/>
      <c r="AE146" s="143"/>
      <c r="AF146" s="143"/>
      <c r="AG146" s="143"/>
      <c r="AH146" s="143"/>
      <c r="AI146" s="143"/>
      <c r="AJ146" s="144"/>
    </row>
    <row r="147" spans="11:36">
      <c r="K147" s="85"/>
      <c r="L147" s="54" t="str">
        <f t="shared" si="31"/>
        <v/>
      </c>
      <c r="M147" s="38" t="str">
        <f t="shared" si="30"/>
        <v>0100</v>
      </c>
      <c r="N147" s="69">
        <f t="shared" si="33"/>
        <v>256</v>
      </c>
      <c r="O147" s="95"/>
      <c r="P147" s="96"/>
      <c r="Q147" s="97"/>
      <c r="R147" s="149"/>
      <c r="S147" s="153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2"/>
      <c r="AD147" s="143"/>
      <c r="AE147" s="143"/>
      <c r="AF147" s="143"/>
      <c r="AG147" s="143"/>
      <c r="AH147" s="143"/>
      <c r="AI147" s="143"/>
      <c r="AJ147" s="144"/>
    </row>
    <row r="148" spans="11:36">
      <c r="K148" s="85"/>
      <c r="L148" s="54" t="str">
        <f t="shared" si="31"/>
        <v/>
      </c>
      <c r="M148" s="38" t="str">
        <f t="shared" si="30"/>
        <v>0100</v>
      </c>
      <c r="N148" s="69">
        <f t="shared" si="33"/>
        <v>256</v>
      </c>
      <c r="O148" s="95"/>
      <c r="P148" s="96"/>
      <c r="Q148" s="97"/>
      <c r="R148" s="149"/>
      <c r="S148" s="153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2"/>
      <c r="AD148" s="143"/>
      <c r="AE148" s="143"/>
      <c r="AF148" s="143"/>
      <c r="AG148" s="143"/>
      <c r="AH148" s="143"/>
      <c r="AI148" s="143"/>
      <c r="AJ148" s="144"/>
    </row>
    <row r="149" spans="11:36">
      <c r="K149" s="85"/>
      <c r="L149" s="54" t="str">
        <f t="shared" si="31"/>
        <v/>
      </c>
      <c r="M149" s="38" t="str">
        <f t="shared" si="30"/>
        <v>0100</v>
      </c>
      <c r="N149" s="69">
        <f t="shared" si="33"/>
        <v>256</v>
      </c>
      <c r="O149" s="95"/>
      <c r="P149" s="96"/>
      <c r="Q149" s="97"/>
      <c r="R149" s="149"/>
      <c r="S149" s="153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2"/>
      <c r="AD149" s="143"/>
      <c r="AE149" s="143"/>
      <c r="AF149" s="143"/>
      <c r="AG149" s="143"/>
      <c r="AH149" s="143"/>
      <c r="AI149" s="143"/>
      <c r="AJ149" s="144"/>
    </row>
    <row r="150" spans="11:36">
      <c r="K150" s="85"/>
      <c r="L150" s="54" t="str">
        <f t="shared" si="31"/>
        <v/>
      </c>
      <c r="M150" s="38" t="str">
        <f t="shared" si="30"/>
        <v>0100</v>
      </c>
      <c r="N150" s="69">
        <f t="shared" si="33"/>
        <v>256</v>
      </c>
      <c r="O150" s="95"/>
      <c r="P150" s="96"/>
      <c r="Q150" s="97"/>
      <c r="R150" s="149"/>
      <c r="S150" s="153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2"/>
      <c r="AD150" s="143"/>
      <c r="AE150" s="143"/>
      <c r="AF150" s="143"/>
      <c r="AG150" s="143"/>
      <c r="AH150" s="143"/>
      <c r="AI150" s="143"/>
      <c r="AJ150" s="144"/>
    </row>
    <row r="151" spans="11:36">
      <c r="K151" s="85"/>
      <c r="L151" s="54" t="str">
        <f t="shared" si="31"/>
        <v/>
      </c>
      <c r="M151" s="38" t="str">
        <f t="shared" si="30"/>
        <v>0100</v>
      </c>
      <c r="N151" s="69">
        <f t="shared" si="33"/>
        <v>256</v>
      </c>
      <c r="O151" s="95"/>
      <c r="P151" s="96"/>
      <c r="Q151" s="97"/>
      <c r="R151" s="149"/>
      <c r="S151" s="153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2"/>
      <c r="AD151" s="143"/>
      <c r="AE151" s="143"/>
      <c r="AF151" s="143"/>
      <c r="AG151" s="143"/>
      <c r="AH151" s="143"/>
      <c r="AI151" s="143"/>
      <c r="AJ151" s="144"/>
    </row>
    <row r="152" spans="11:36">
      <c r="K152" s="85"/>
      <c r="L152" s="54" t="str">
        <f t="shared" si="31"/>
        <v/>
      </c>
      <c r="M152" s="38" t="str">
        <f t="shared" si="30"/>
        <v>0100</v>
      </c>
      <c r="N152" s="69">
        <f t="shared" si="33"/>
        <v>256</v>
      </c>
      <c r="O152" s="95"/>
      <c r="P152" s="96"/>
      <c r="Q152" s="97"/>
      <c r="R152" s="149"/>
      <c r="S152" s="153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2"/>
      <c r="AD152" s="143"/>
      <c r="AE152" s="143"/>
      <c r="AF152" s="143"/>
      <c r="AG152" s="143"/>
      <c r="AH152" s="143"/>
      <c r="AI152" s="143"/>
      <c r="AJ152" s="144"/>
    </row>
    <row r="153" spans="11:36">
      <c r="K153" s="85"/>
      <c r="L153" s="54" t="str">
        <f t="shared" si="31"/>
        <v/>
      </c>
      <c r="M153" s="38" t="str">
        <f t="shared" si="30"/>
        <v>0100</v>
      </c>
      <c r="N153" s="69">
        <f t="shared" si="33"/>
        <v>256</v>
      </c>
      <c r="O153" s="95"/>
      <c r="P153" s="96"/>
      <c r="Q153" s="97"/>
      <c r="R153" s="149"/>
      <c r="S153" s="153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2"/>
      <c r="AD153" s="143"/>
      <c r="AE153" s="143"/>
      <c r="AF153" s="143"/>
      <c r="AG153" s="143"/>
      <c r="AH153" s="143"/>
      <c r="AI153" s="143"/>
      <c r="AJ153" s="144"/>
    </row>
    <row r="154" spans="11:36">
      <c r="K154" s="85"/>
      <c r="L154" s="54" t="str">
        <f t="shared" si="31"/>
        <v/>
      </c>
      <c r="M154" s="38" t="str">
        <f t="shared" si="30"/>
        <v>0100</v>
      </c>
      <c r="N154" s="69">
        <f t="shared" si="33"/>
        <v>256</v>
      </c>
      <c r="O154" s="95"/>
      <c r="P154" s="96"/>
      <c r="Q154" s="97"/>
      <c r="R154" s="149"/>
      <c r="S154" s="153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2"/>
      <c r="AD154" s="143"/>
      <c r="AE154" s="143"/>
      <c r="AF154" s="143"/>
      <c r="AG154" s="143"/>
      <c r="AH154" s="143"/>
      <c r="AI154" s="143"/>
      <c r="AJ154" s="144"/>
    </row>
    <row r="155" spans="11:36">
      <c r="K155" s="85"/>
      <c r="L155" s="54" t="str">
        <f t="shared" si="31"/>
        <v/>
      </c>
      <c r="M155" s="38" t="str">
        <f t="shared" si="30"/>
        <v>0100</v>
      </c>
      <c r="N155" s="69">
        <f t="shared" si="33"/>
        <v>256</v>
      </c>
      <c r="O155" s="95"/>
      <c r="P155" s="96"/>
      <c r="Q155" s="97"/>
      <c r="R155" s="149"/>
      <c r="S155" s="153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2"/>
      <c r="AD155" s="143"/>
      <c r="AE155" s="143"/>
      <c r="AF155" s="143"/>
      <c r="AG155" s="143"/>
      <c r="AH155" s="143"/>
      <c r="AI155" s="143"/>
      <c r="AJ155" s="144"/>
    </row>
    <row r="156" spans="11:36">
      <c r="K156" s="85"/>
      <c r="L156" s="54" t="str">
        <f t="shared" si="31"/>
        <v/>
      </c>
      <c r="M156" s="38" t="str">
        <f t="shared" si="30"/>
        <v>0100</v>
      </c>
      <c r="N156" s="69">
        <f t="shared" si="33"/>
        <v>256</v>
      </c>
      <c r="O156" s="95"/>
      <c r="P156" s="96"/>
      <c r="Q156" s="97"/>
      <c r="R156" s="149"/>
      <c r="S156" s="153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2"/>
      <c r="AD156" s="143"/>
      <c r="AE156" s="143"/>
      <c r="AF156" s="143"/>
      <c r="AG156" s="143"/>
      <c r="AH156" s="143"/>
      <c r="AI156" s="143"/>
      <c r="AJ156" s="144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0100</v>
      </c>
      <c r="N157" s="69">
        <f t="shared" si="33"/>
        <v>256</v>
      </c>
      <c r="O157" s="95"/>
      <c r="P157" s="96"/>
      <c r="Q157" s="97"/>
      <c r="R157" s="149"/>
      <c r="S157" s="153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2"/>
      <c r="AD157" s="143"/>
      <c r="AE157" s="143"/>
      <c r="AF157" s="143"/>
      <c r="AG157" s="143"/>
      <c r="AH157" s="143"/>
      <c r="AI157" s="143"/>
      <c r="AJ157" s="144"/>
    </row>
    <row r="158" spans="11:36">
      <c r="K158" s="85"/>
      <c r="L158" s="54" t="str">
        <f t="shared" si="31"/>
        <v/>
      </c>
      <c r="M158" s="38" t="str">
        <f t="shared" si="34"/>
        <v>0100</v>
      </c>
      <c r="N158" s="69">
        <f t="shared" si="33"/>
        <v>256</v>
      </c>
      <c r="O158" s="95"/>
      <c r="P158" s="96"/>
      <c r="Q158" s="97"/>
      <c r="R158" s="149"/>
      <c r="S158" s="153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2"/>
      <c r="AD158" s="143"/>
      <c r="AE158" s="143"/>
      <c r="AF158" s="143"/>
      <c r="AG158" s="143"/>
      <c r="AH158" s="143"/>
      <c r="AI158" s="143"/>
      <c r="AJ158" s="144"/>
    </row>
    <row r="159" spans="11:36">
      <c r="K159" s="85"/>
      <c r="L159" s="54" t="str">
        <f t="shared" si="31"/>
        <v/>
      </c>
      <c r="M159" s="38" t="str">
        <f t="shared" si="34"/>
        <v>0100</v>
      </c>
      <c r="N159" s="69">
        <f t="shared" si="33"/>
        <v>256</v>
      </c>
      <c r="O159" s="95"/>
      <c r="P159" s="96"/>
      <c r="Q159" s="97"/>
      <c r="R159" s="149"/>
      <c r="S159" s="153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2"/>
      <c r="AD159" s="143"/>
      <c r="AE159" s="143"/>
      <c r="AF159" s="143"/>
      <c r="AG159" s="143"/>
      <c r="AH159" s="143"/>
      <c r="AI159" s="143"/>
      <c r="AJ159" s="144"/>
    </row>
    <row r="160" spans="11:36">
      <c r="K160" s="85"/>
      <c r="L160" s="54" t="str">
        <f t="shared" si="31"/>
        <v/>
      </c>
      <c r="M160" s="38" t="str">
        <f t="shared" si="34"/>
        <v>0100</v>
      </c>
      <c r="N160" s="69">
        <f t="shared" si="33"/>
        <v>256</v>
      </c>
      <c r="O160" s="95"/>
      <c r="P160" s="96"/>
      <c r="Q160" s="97"/>
      <c r="R160" s="149"/>
      <c r="S160" s="153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2"/>
      <c r="AD160" s="143"/>
      <c r="AE160" s="143"/>
      <c r="AF160" s="143"/>
      <c r="AG160" s="143"/>
      <c r="AH160" s="143"/>
      <c r="AI160" s="143"/>
      <c r="AJ160" s="144"/>
    </row>
    <row r="161" spans="11:36">
      <c r="K161" s="85"/>
      <c r="L161" s="54" t="str">
        <f t="shared" si="31"/>
        <v/>
      </c>
      <c r="M161" s="38" t="str">
        <f t="shared" si="34"/>
        <v>0100</v>
      </c>
      <c r="N161" s="69">
        <f t="shared" si="33"/>
        <v>256</v>
      </c>
      <c r="O161" s="95"/>
      <c r="P161" s="96"/>
      <c r="Q161" s="97"/>
      <c r="R161" s="149"/>
      <c r="S161" s="153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2"/>
      <c r="AD161" s="143"/>
      <c r="AE161" s="143"/>
      <c r="AF161" s="143"/>
      <c r="AG161" s="143"/>
      <c r="AH161" s="143"/>
      <c r="AI161" s="143"/>
      <c r="AJ161" s="144"/>
    </row>
    <row r="162" spans="11:36">
      <c r="K162" s="85"/>
      <c r="L162" s="54" t="str">
        <f t="shared" si="31"/>
        <v/>
      </c>
      <c r="M162" s="38" t="str">
        <f t="shared" si="34"/>
        <v>0100</v>
      </c>
      <c r="N162" s="69">
        <f t="shared" si="33"/>
        <v>256</v>
      </c>
      <c r="O162" s="95"/>
      <c r="P162" s="96"/>
      <c r="Q162" s="97"/>
      <c r="R162" s="149"/>
      <c r="S162" s="153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2"/>
      <c r="AD162" s="143"/>
      <c r="AE162" s="143"/>
      <c r="AF162" s="143"/>
      <c r="AG162" s="143"/>
      <c r="AH162" s="143"/>
      <c r="AI162" s="143"/>
      <c r="AJ162" s="144"/>
    </row>
    <row r="163" spans="11:36">
      <c r="K163" s="85"/>
      <c r="L163" s="54" t="str">
        <f t="shared" si="31"/>
        <v/>
      </c>
      <c r="M163" s="38" t="str">
        <f t="shared" si="34"/>
        <v>0100</v>
      </c>
      <c r="N163" s="69">
        <f t="shared" si="33"/>
        <v>256</v>
      </c>
      <c r="O163" s="95"/>
      <c r="P163" s="96"/>
      <c r="Q163" s="97"/>
      <c r="R163" s="149"/>
      <c r="S163" s="153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2"/>
      <c r="AD163" s="143"/>
      <c r="AE163" s="143"/>
      <c r="AF163" s="143"/>
      <c r="AG163" s="143"/>
      <c r="AH163" s="143"/>
      <c r="AI163" s="143"/>
      <c r="AJ163" s="144"/>
    </row>
    <row r="164" spans="11:36">
      <c r="K164" s="85"/>
      <c r="L164" s="54" t="str">
        <f t="shared" si="31"/>
        <v/>
      </c>
      <c r="M164" s="38" t="str">
        <f t="shared" si="34"/>
        <v>0100</v>
      </c>
      <c r="N164" s="69">
        <f t="shared" si="33"/>
        <v>256</v>
      </c>
      <c r="O164" s="95"/>
      <c r="P164" s="96"/>
      <c r="Q164" s="97"/>
      <c r="R164" s="149"/>
      <c r="S164" s="153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2"/>
      <c r="AD164" s="143"/>
      <c r="AE164" s="143"/>
      <c r="AF164" s="143"/>
      <c r="AG164" s="143"/>
      <c r="AH164" s="143"/>
      <c r="AI164" s="143"/>
      <c r="AJ164" s="144"/>
    </row>
    <row r="165" spans="11:36">
      <c r="K165" s="85"/>
      <c r="L165" s="54" t="str">
        <f t="shared" si="31"/>
        <v/>
      </c>
      <c r="M165" s="38" t="str">
        <f t="shared" si="34"/>
        <v>0100</v>
      </c>
      <c r="N165" s="69">
        <f t="shared" si="33"/>
        <v>256</v>
      </c>
      <c r="O165" s="95"/>
      <c r="P165" s="96"/>
      <c r="Q165" s="97"/>
      <c r="R165" s="149"/>
      <c r="S165" s="153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2"/>
      <c r="AD165" s="143"/>
      <c r="AE165" s="143"/>
      <c r="AF165" s="143"/>
      <c r="AG165" s="143"/>
      <c r="AH165" s="143"/>
      <c r="AI165" s="143"/>
      <c r="AJ165" s="144"/>
    </row>
    <row r="166" spans="11:36">
      <c r="K166" s="85"/>
      <c r="L166" s="54" t="str">
        <f t="shared" si="31"/>
        <v/>
      </c>
      <c r="M166" s="38" t="str">
        <f t="shared" si="34"/>
        <v>0100</v>
      </c>
      <c r="N166" s="69">
        <f t="shared" si="33"/>
        <v>256</v>
      </c>
      <c r="O166" s="95"/>
      <c r="P166" s="96"/>
      <c r="Q166" s="97"/>
      <c r="R166" s="149"/>
      <c r="S166" s="153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2"/>
      <c r="AD166" s="143"/>
      <c r="AE166" s="143"/>
      <c r="AF166" s="143"/>
      <c r="AG166" s="143"/>
      <c r="AH166" s="143"/>
      <c r="AI166" s="143"/>
      <c r="AJ166" s="144"/>
    </row>
    <row r="167" spans="11:36">
      <c r="K167" s="85"/>
      <c r="L167" s="54" t="str">
        <f t="shared" si="31"/>
        <v/>
      </c>
      <c r="M167" s="38" t="str">
        <f t="shared" si="34"/>
        <v>0100</v>
      </c>
      <c r="N167" s="69">
        <f t="shared" si="33"/>
        <v>256</v>
      </c>
      <c r="O167" s="95"/>
      <c r="P167" s="96"/>
      <c r="Q167" s="97"/>
      <c r="R167" s="149"/>
      <c r="S167" s="153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2"/>
      <c r="AD167" s="143"/>
      <c r="AE167" s="143"/>
      <c r="AF167" s="143"/>
      <c r="AG167" s="143"/>
      <c r="AH167" s="143"/>
      <c r="AI167" s="143"/>
      <c r="AJ167" s="144"/>
    </row>
    <row r="168" spans="11:36">
      <c r="K168" s="85"/>
      <c r="L168" s="54" t="str">
        <f t="shared" si="31"/>
        <v/>
      </c>
      <c r="M168" s="38" t="str">
        <f t="shared" si="34"/>
        <v>0100</v>
      </c>
      <c r="N168" s="69">
        <f t="shared" si="33"/>
        <v>256</v>
      </c>
      <c r="O168" s="95"/>
      <c r="P168" s="96"/>
      <c r="Q168" s="97"/>
      <c r="R168" s="149"/>
      <c r="S168" s="153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2"/>
      <c r="AD168" s="143"/>
      <c r="AE168" s="143"/>
      <c r="AF168" s="143"/>
      <c r="AG168" s="143"/>
      <c r="AH168" s="143"/>
      <c r="AI168" s="143"/>
      <c r="AJ168" s="144"/>
    </row>
    <row r="169" spans="11:36">
      <c r="K169" s="85"/>
      <c r="L169" s="54" t="str">
        <f t="shared" si="31"/>
        <v/>
      </c>
      <c r="M169" s="38" t="str">
        <f t="shared" si="34"/>
        <v>0100</v>
      </c>
      <c r="N169" s="69">
        <f t="shared" si="33"/>
        <v>256</v>
      </c>
      <c r="O169" s="95"/>
      <c r="P169" s="96"/>
      <c r="Q169" s="97"/>
      <c r="R169" s="149"/>
      <c r="S169" s="153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2"/>
      <c r="AD169" s="143"/>
      <c r="AE169" s="143"/>
      <c r="AF169" s="143"/>
      <c r="AG169" s="143"/>
      <c r="AH169" s="143"/>
      <c r="AI169" s="143"/>
      <c r="AJ169" s="144"/>
    </row>
    <row r="170" spans="11:36">
      <c r="K170" s="85"/>
      <c r="L170" s="54" t="str">
        <f t="shared" si="31"/>
        <v/>
      </c>
      <c r="M170" s="38" t="str">
        <f t="shared" si="34"/>
        <v>0100</v>
      </c>
      <c r="N170" s="69">
        <f t="shared" si="33"/>
        <v>256</v>
      </c>
      <c r="O170" s="95"/>
      <c r="P170" s="96"/>
      <c r="Q170" s="97"/>
      <c r="R170" s="149"/>
      <c r="S170" s="153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2"/>
      <c r="AD170" s="143"/>
      <c r="AE170" s="143"/>
      <c r="AF170" s="143"/>
      <c r="AG170" s="143"/>
      <c r="AH170" s="143"/>
      <c r="AI170" s="143"/>
      <c r="AJ170" s="144"/>
    </row>
    <row r="171" spans="11:36">
      <c r="K171" s="85"/>
      <c r="L171" s="54" t="str">
        <f t="shared" si="31"/>
        <v/>
      </c>
      <c r="M171" s="38" t="str">
        <f t="shared" si="34"/>
        <v>0100</v>
      </c>
      <c r="N171" s="69">
        <f t="shared" si="33"/>
        <v>256</v>
      </c>
      <c r="O171" s="95"/>
      <c r="P171" s="96"/>
      <c r="Q171" s="97"/>
      <c r="R171" s="149"/>
      <c r="S171" s="153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2"/>
      <c r="AD171" s="143"/>
      <c r="AE171" s="143"/>
      <c r="AF171" s="143"/>
      <c r="AG171" s="143"/>
      <c r="AH171" s="143"/>
      <c r="AI171" s="143"/>
      <c r="AJ171" s="144"/>
    </row>
    <row r="172" spans="11:36">
      <c r="K172" s="85"/>
      <c r="L172" s="54" t="str">
        <f t="shared" si="31"/>
        <v/>
      </c>
      <c r="M172" s="38" t="str">
        <f t="shared" si="34"/>
        <v>0100</v>
      </c>
      <c r="N172" s="69">
        <f t="shared" si="33"/>
        <v>256</v>
      </c>
      <c r="O172" s="95"/>
      <c r="P172" s="96"/>
      <c r="Q172" s="97"/>
      <c r="R172" s="149"/>
      <c r="S172" s="153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2"/>
      <c r="AD172" s="143"/>
      <c r="AE172" s="143"/>
      <c r="AF172" s="143"/>
      <c r="AG172" s="143"/>
      <c r="AH172" s="143"/>
      <c r="AI172" s="143"/>
      <c r="AJ172" s="144"/>
    </row>
    <row r="173" spans="11:36">
      <c r="K173" s="85"/>
      <c r="L173" s="54" t="str">
        <f t="shared" si="31"/>
        <v/>
      </c>
      <c r="M173" s="38" t="str">
        <f t="shared" si="34"/>
        <v>0100</v>
      </c>
      <c r="N173" s="69">
        <f t="shared" si="33"/>
        <v>256</v>
      </c>
      <c r="O173" s="95"/>
      <c r="P173" s="96"/>
      <c r="Q173" s="97"/>
      <c r="R173" s="149"/>
      <c r="S173" s="153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2"/>
      <c r="AD173" s="143"/>
      <c r="AE173" s="143"/>
      <c r="AF173" s="143"/>
      <c r="AG173" s="143"/>
      <c r="AH173" s="143"/>
      <c r="AI173" s="143"/>
      <c r="AJ173" s="144"/>
    </row>
    <row r="174" spans="11:36">
      <c r="K174" s="85"/>
      <c r="L174" s="54" t="str">
        <f t="shared" si="31"/>
        <v/>
      </c>
      <c r="M174" s="38" t="str">
        <f t="shared" si="34"/>
        <v>0100</v>
      </c>
      <c r="N174" s="69">
        <f t="shared" si="33"/>
        <v>256</v>
      </c>
      <c r="O174" s="95"/>
      <c r="P174" s="96"/>
      <c r="Q174" s="97"/>
      <c r="R174" s="149"/>
      <c r="S174" s="153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2"/>
      <c r="AD174" s="143"/>
      <c r="AE174" s="143"/>
      <c r="AF174" s="143"/>
      <c r="AG174" s="143"/>
      <c r="AH174" s="143"/>
      <c r="AI174" s="143"/>
      <c r="AJ174" s="144"/>
    </row>
    <row r="175" spans="11:36">
      <c r="K175" s="85"/>
      <c r="L175" s="54" t="str">
        <f t="shared" si="31"/>
        <v/>
      </c>
      <c r="M175" s="38" t="str">
        <f t="shared" si="34"/>
        <v>0100</v>
      </c>
      <c r="N175" s="69">
        <f t="shared" si="33"/>
        <v>256</v>
      </c>
      <c r="O175" s="95"/>
      <c r="P175" s="96"/>
      <c r="Q175" s="97"/>
      <c r="R175" s="149"/>
      <c r="S175" s="153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2"/>
      <c r="AD175" s="143"/>
      <c r="AE175" s="143"/>
      <c r="AF175" s="143"/>
      <c r="AG175" s="143"/>
      <c r="AH175" s="143"/>
      <c r="AI175" s="143"/>
      <c r="AJ175" s="144"/>
    </row>
    <row r="176" spans="11:36">
      <c r="K176" s="85"/>
      <c r="L176" s="54" t="str">
        <f t="shared" si="31"/>
        <v/>
      </c>
      <c r="M176" s="38" t="str">
        <f t="shared" si="34"/>
        <v>0100</v>
      </c>
      <c r="N176" s="69">
        <f t="shared" si="33"/>
        <v>256</v>
      </c>
      <c r="O176" s="95"/>
      <c r="P176" s="96"/>
      <c r="Q176" s="97"/>
      <c r="R176" s="149"/>
      <c r="S176" s="153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2"/>
      <c r="AD176" s="143"/>
      <c r="AE176" s="143"/>
      <c r="AF176" s="143"/>
      <c r="AG176" s="143"/>
      <c r="AH176" s="143"/>
      <c r="AI176" s="143"/>
      <c r="AJ176" s="144"/>
    </row>
    <row r="177" spans="11:36">
      <c r="K177" s="85"/>
      <c r="L177" s="54" t="str">
        <f t="shared" si="31"/>
        <v/>
      </c>
      <c r="M177" s="38" t="str">
        <f t="shared" si="34"/>
        <v>0100</v>
      </c>
      <c r="N177" s="69">
        <f t="shared" si="33"/>
        <v>256</v>
      </c>
      <c r="O177" s="95"/>
      <c r="P177" s="96"/>
      <c r="Q177" s="97"/>
      <c r="R177" s="149"/>
      <c r="S177" s="153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2"/>
      <c r="AD177" s="143"/>
      <c r="AE177" s="143"/>
      <c r="AF177" s="143"/>
      <c r="AG177" s="143"/>
      <c r="AH177" s="143"/>
      <c r="AI177" s="143"/>
      <c r="AJ177" s="144"/>
    </row>
    <row r="178" spans="11:36">
      <c r="K178" s="85"/>
      <c r="L178" s="54" t="str">
        <f t="shared" si="31"/>
        <v/>
      </c>
      <c r="M178" s="38" t="str">
        <f t="shared" si="34"/>
        <v>0100</v>
      </c>
      <c r="N178" s="69">
        <f t="shared" si="33"/>
        <v>256</v>
      </c>
      <c r="O178" s="95"/>
      <c r="P178" s="96"/>
      <c r="Q178" s="97"/>
      <c r="R178" s="149"/>
      <c r="S178" s="153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2"/>
      <c r="AD178" s="143"/>
      <c r="AE178" s="143"/>
      <c r="AF178" s="143"/>
      <c r="AG178" s="143"/>
      <c r="AH178" s="143"/>
      <c r="AI178" s="143"/>
      <c r="AJ178" s="144"/>
    </row>
    <row r="179" spans="11:36">
      <c r="K179" s="85"/>
      <c r="L179" s="54" t="str">
        <f t="shared" si="31"/>
        <v/>
      </c>
      <c r="M179" s="38" t="str">
        <f t="shared" si="34"/>
        <v>0100</v>
      </c>
      <c r="N179" s="69">
        <f t="shared" si="33"/>
        <v>256</v>
      </c>
      <c r="O179" s="95"/>
      <c r="P179" s="96"/>
      <c r="Q179" s="97"/>
      <c r="R179" s="149"/>
      <c r="S179" s="153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2"/>
      <c r="AD179" s="143"/>
      <c r="AE179" s="143"/>
      <c r="AF179" s="143"/>
      <c r="AG179" s="143"/>
      <c r="AH179" s="143"/>
      <c r="AI179" s="143"/>
      <c r="AJ179" s="144"/>
    </row>
    <row r="180" spans="11:36">
      <c r="K180" s="85"/>
      <c r="L180" s="54" t="str">
        <f t="shared" si="31"/>
        <v/>
      </c>
      <c r="M180" s="38" t="str">
        <f t="shared" si="34"/>
        <v>0100</v>
      </c>
      <c r="N180" s="69">
        <f t="shared" si="33"/>
        <v>256</v>
      </c>
      <c r="O180" s="95"/>
      <c r="P180" s="96"/>
      <c r="Q180" s="97"/>
      <c r="R180" s="149"/>
      <c r="S180" s="153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2"/>
      <c r="AD180" s="143"/>
      <c r="AE180" s="143"/>
      <c r="AF180" s="143"/>
      <c r="AG180" s="143"/>
      <c r="AH180" s="143"/>
      <c r="AI180" s="143"/>
      <c r="AJ180" s="144"/>
    </row>
    <row r="181" spans="11:36">
      <c r="K181" s="85"/>
      <c r="L181" s="54" t="str">
        <f t="shared" si="31"/>
        <v/>
      </c>
      <c r="M181" s="38" t="str">
        <f t="shared" si="34"/>
        <v>0100</v>
      </c>
      <c r="N181" s="69">
        <f t="shared" si="33"/>
        <v>256</v>
      </c>
      <c r="O181" s="95"/>
      <c r="P181" s="96"/>
      <c r="Q181" s="97"/>
      <c r="R181" s="149"/>
      <c r="S181" s="153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2"/>
      <c r="AD181" s="143"/>
      <c r="AE181" s="143"/>
      <c r="AF181" s="143"/>
      <c r="AG181" s="143"/>
      <c r="AH181" s="143"/>
      <c r="AI181" s="143"/>
      <c r="AJ181" s="144"/>
    </row>
    <row r="182" spans="11:36">
      <c r="K182" s="85"/>
      <c r="L182" s="54" t="str">
        <f t="shared" si="31"/>
        <v/>
      </c>
      <c r="M182" s="38" t="str">
        <f t="shared" si="34"/>
        <v>0100</v>
      </c>
      <c r="N182" s="69">
        <f t="shared" si="33"/>
        <v>256</v>
      </c>
      <c r="O182" s="95"/>
      <c r="P182" s="96"/>
      <c r="Q182" s="97"/>
      <c r="R182" s="149"/>
      <c r="S182" s="153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2"/>
      <c r="AD182" s="143"/>
      <c r="AE182" s="143"/>
      <c r="AF182" s="143"/>
      <c r="AG182" s="143"/>
      <c r="AH182" s="143"/>
      <c r="AI182" s="143"/>
      <c r="AJ182" s="144"/>
    </row>
    <row r="183" spans="11:36">
      <c r="K183" s="85"/>
      <c r="L183" s="54" t="str">
        <f t="shared" si="31"/>
        <v/>
      </c>
      <c r="M183" s="38" t="str">
        <f t="shared" si="34"/>
        <v>0100</v>
      </c>
      <c r="N183" s="69">
        <f t="shared" si="33"/>
        <v>256</v>
      </c>
      <c r="O183" s="95"/>
      <c r="P183" s="96"/>
      <c r="Q183" s="97"/>
      <c r="R183" s="149"/>
      <c r="S183" s="153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2"/>
      <c r="AD183" s="143"/>
      <c r="AE183" s="143"/>
      <c r="AF183" s="143"/>
      <c r="AG183" s="143"/>
      <c r="AH183" s="143"/>
      <c r="AI183" s="143"/>
      <c r="AJ183" s="144"/>
    </row>
    <row r="184" spans="11:36">
      <c r="K184" s="85"/>
      <c r="L184" s="54" t="str">
        <f t="shared" si="31"/>
        <v/>
      </c>
      <c r="M184" s="38" t="str">
        <f t="shared" si="34"/>
        <v>0100</v>
      </c>
      <c r="N184" s="69">
        <f t="shared" si="33"/>
        <v>256</v>
      </c>
      <c r="O184" s="95"/>
      <c r="P184" s="96"/>
      <c r="Q184" s="97"/>
      <c r="R184" s="149"/>
      <c r="S184" s="153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2"/>
      <c r="AD184" s="143"/>
      <c r="AE184" s="143"/>
      <c r="AF184" s="143"/>
      <c r="AG184" s="143"/>
      <c r="AH184" s="143"/>
      <c r="AI184" s="143"/>
      <c r="AJ184" s="144"/>
    </row>
    <row r="185" spans="11:36">
      <c r="K185" s="85"/>
      <c r="L185" s="54" t="str">
        <f t="shared" si="31"/>
        <v/>
      </c>
      <c r="M185" s="38" t="str">
        <f t="shared" si="34"/>
        <v>0100</v>
      </c>
      <c r="N185" s="69">
        <f t="shared" si="33"/>
        <v>256</v>
      </c>
      <c r="O185" s="95"/>
      <c r="P185" s="96"/>
      <c r="Q185" s="97"/>
      <c r="R185" s="149"/>
      <c r="S185" s="153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2"/>
      <c r="AD185" s="143"/>
      <c r="AE185" s="143"/>
      <c r="AF185" s="143"/>
      <c r="AG185" s="143"/>
      <c r="AH185" s="143"/>
      <c r="AI185" s="143"/>
      <c r="AJ185" s="144"/>
    </row>
    <row r="186" spans="11:36">
      <c r="K186" s="85"/>
      <c r="L186" s="54" t="str">
        <f t="shared" si="31"/>
        <v/>
      </c>
      <c r="M186" s="38" t="str">
        <f t="shared" si="34"/>
        <v>0100</v>
      </c>
      <c r="N186" s="69">
        <f t="shared" si="33"/>
        <v>256</v>
      </c>
      <c r="O186" s="95"/>
      <c r="P186" s="96"/>
      <c r="Q186" s="97"/>
      <c r="R186" s="149"/>
      <c r="S186" s="153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2"/>
      <c r="AD186" s="143"/>
      <c r="AE186" s="143"/>
      <c r="AF186" s="143"/>
      <c r="AG186" s="143"/>
      <c r="AH186" s="143"/>
      <c r="AI186" s="143"/>
      <c r="AJ186" s="144"/>
    </row>
    <row r="187" spans="11:36">
      <c r="K187" s="85"/>
      <c r="L187" s="54" t="str">
        <f t="shared" si="31"/>
        <v/>
      </c>
      <c r="M187" s="38" t="str">
        <f t="shared" si="34"/>
        <v>0100</v>
      </c>
      <c r="N187" s="69">
        <f t="shared" si="33"/>
        <v>256</v>
      </c>
      <c r="O187" s="95"/>
      <c r="P187" s="96"/>
      <c r="Q187" s="97"/>
      <c r="R187" s="149"/>
      <c r="S187" s="153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2"/>
      <c r="AD187" s="143"/>
      <c r="AE187" s="143"/>
      <c r="AF187" s="143"/>
      <c r="AG187" s="143"/>
      <c r="AH187" s="143"/>
      <c r="AI187" s="143"/>
      <c r="AJ187" s="144"/>
    </row>
    <row r="188" spans="11:36">
      <c r="K188" s="85"/>
      <c r="L188" s="54" t="str">
        <f t="shared" si="31"/>
        <v/>
      </c>
      <c r="M188" s="38" t="str">
        <f t="shared" si="34"/>
        <v>0100</v>
      </c>
      <c r="N188" s="69">
        <f t="shared" si="33"/>
        <v>256</v>
      </c>
      <c r="O188" s="95"/>
      <c r="P188" s="96"/>
      <c r="Q188" s="97"/>
      <c r="R188" s="149"/>
      <c r="S188" s="153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2"/>
      <c r="AD188" s="143"/>
      <c r="AE188" s="143"/>
      <c r="AF188" s="143"/>
      <c r="AG188" s="143"/>
      <c r="AH188" s="143"/>
      <c r="AI188" s="143"/>
      <c r="AJ188" s="144"/>
    </row>
    <row r="189" spans="11:36">
      <c r="K189" s="85"/>
      <c r="L189" s="54" t="str">
        <f t="shared" si="31"/>
        <v/>
      </c>
      <c r="M189" s="38" t="str">
        <f t="shared" si="34"/>
        <v>0100</v>
      </c>
      <c r="N189" s="69">
        <f t="shared" si="33"/>
        <v>256</v>
      </c>
      <c r="O189" s="95"/>
      <c r="P189" s="96"/>
      <c r="Q189" s="97"/>
      <c r="R189" s="149"/>
      <c r="S189" s="153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2"/>
      <c r="AD189" s="143"/>
      <c r="AE189" s="143"/>
      <c r="AF189" s="143"/>
      <c r="AG189" s="143"/>
      <c r="AH189" s="143"/>
      <c r="AI189" s="143"/>
      <c r="AJ189" s="144"/>
    </row>
    <row r="190" spans="11:36">
      <c r="K190" s="85"/>
      <c r="L190" s="54" t="str">
        <f t="shared" si="31"/>
        <v/>
      </c>
      <c r="M190" s="38" t="str">
        <f t="shared" si="34"/>
        <v>0100</v>
      </c>
      <c r="N190" s="69">
        <f t="shared" si="33"/>
        <v>256</v>
      </c>
      <c r="O190" s="95"/>
      <c r="P190" s="96"/>
      <c r="Q190" s="97"/>
      <c r="R190" s="149"/>
      <c r="S190" s="153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2"/>
      <c r="AD190" s="143"/>
      <c r="AE190" s="143"/>
      <c r="AF190" s="143"/>
      <c r="AG190" s="143"/>
      <c r="AH190" s="143"/>
      <c r="AI190" s="143"/>
      <c r="AJ190" s="144"/>
    </row>
    <row r="191" spans="11:36">
      <c r="K191" s="85"/>
      <c r="L191" s="54" t="str">
        <f t="shared" si="31"/>
        <v/>
      </c>
      <c r="M191" s="38" t="str">
        <f t="shared" si="34"/>
        <v>0100</v>
      </c>
      <c r="N191" s="69">
        <f t="shared" si="33"/>
        <v>256</v>
      </c>
      <c r="O191" s="95"/>
      <c r="P191" s="96"/>
      <c r="Q191" s="97"/>
      <c r="R191" s="149"/>
      <c r="S191" s="153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2"/>
      <c r="AD191" s="143"/>
      <c r="AE191" s="143"/>
      <c r="AF191" s="143"/>
      <c r="AG191" s="143"/>
      <c r="AH191" s="143"/>
      <c r="AI191" s="143"/>
      <c r="AJ191" s="144"/>
    </row>
    <row r="192" spans="11:36">
      <c r="K192" s="85"/>
      <c r="L192" s="54" t="str">
        <f t="shared" si="31"/>
        <v/>
      </c>
      <c r="M192" s="38" t="str">
        <f t="shared" si="34"/>
        <v>0100</v>
      </c>
      <c r="N192" s="69">
        <f t="shared" si="33"/>
        <v>256</v>
      </c>
      <c r="O192" s="95"/>
      <c r="P192" s="96"/>
      <c r="Q192" s="97"/>
      <c r="R192" s="149"/>
      <c r="S192" s="153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2"/>
      <c r="AD192" s="143"/>
      <c r="AE192" s="143"/>
      <c r="AF192" s="143"/>
      <c r="AG192" s="143"/>
      <c r="AH192" s="143"/>
      <c r="AI192" s="143"/>
      <c r="AJ192" s="144"/>
    </row>
    <row r="193" spans="11:36">
      <c r="K193" s="85"/>
      <c r="L193" s="54" t="str">
        <f t="shared" si="31"/>
        <v/>
      </c>
      <c r="M193" s="38" t="str">
        <f t="shared" si="34"/>
        <v>0100</v>
      </c>
      <c r="N193" s="69">
        <f t="shared" si="33"/>
        <v>256</v>
      </c>
      <c r="O193" s="95"/>
      <c r="P193" s="96"/>
      <c r="Q193" s="97"/>
      <c r="R193" s="149"/>
      <c r="S193" s="153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2"/>
      <c r="AD193" s="143"/>
      <c r="AE193" s="143"/>
      <c r="AF193" s="143"/>
      <c r="AG193" s="143"/>
      <c r="AH193" s="143"/>
      <c r="AI193" s="143"/>
      <c r="AJ193" s="144"/>
    </row>
    <row r="194" spans="11:36">
      <c r="K194" s="85"/>
      <c r="L194" s="54" t="str">
        <f t="shared" si="31"/>
        <v/>
      </c>
      <c r="M194" s="38" t="str">
        <f t="shared" si="34"/>
        <v>0100</v>
      </c>
      <c r="N194" s="69">
        <f t="shared" si="33"/>
        <v>256</v>
      </c>
      <c r="O194" s="95"/>
      <c r="P194" s="96"/>
      <c r="Q194" s="97"/>
      <c r="R194" s="149"/>
      <c r="S194" s="153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2"/>
      <c r="AD194" s="143"/>
      <c r="AE194" s="143"/>
      <c r="AF194" s="143"/>
      <c r="AG194" s="143"/>
      <c r="AH194" s="143"/>
      <c r="AI194" s="143"/>
      <c r="AJ194" s="144"/>
    </row>
    <row r="195" spans="11:36">
      <c r="K195" s="85"/>
      <c r="L195" s="54" t="str">
        <f t="shared" si="31"/>
        <v/>
      </c>
      <c r="M195" s="38" t="str">
        <f t="shared" si="34"/>
        <v>0100</v>
      </c>
      <c r="N195" s="69">
        <f t="shared" si="33"/>
        <v>256</v>
      </c>
      <c r="O195" s="95"/>
      <c r="P195" s="96"/>
      <c r="Q195" s="97"/>
      <c r="R195" s="149"/>
      <c r="S195" s="153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2"/>
      <c r="AD195" s="143"/>
      <c r="AE195" s="143"/>
      <c r="AF195" s="143"/>
      <c r="AG195" s="143"/>
      <c r="AH195" s="143"/>
      <c r="AI195" s="143"/>
      <c r="AJ195" s="144"/>
    </row>
    <row r="196" spans="11:36">
      <c r="K196" s="85"/>
      <c r="L196" s="54" t="str">
        <f t="shared" si="31"/>
        <v/>
      </c>
      <c r="M196" s="38" t="str">
        <f t="shared" si="34"/>
        <v>0100</v>
      </c>
      <c r="N196" s="69">
        <f t="shared" si="33"/>
        <v>256</v>
      </c>
      <c r="O196" s="95"/>
      <c r="P196" s="96"/>
      <c r="Q196" s="97"/>
      <c r="R196" s="149"/>
      <c r="S196" s="153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2"/>
      <c r="AD196" s="143"/>
      <c r="AE196" s="143"/>
      <c r="AF196" s="143"/>
      <c r="AG196" s="143"/>
      <c r="AH196" s="143"/>
      <c r="AI196" s="143"/>
      <c r="AJ196" s="144"/>
    </row>
    <row r="197" spans="11:36">
      <c r="K197" s="85"/>
      <c r="L197" s="54" t="str">
        <f t="shared" si="31"/>
        <v/>
      </c>
      <c r="M197" s="38" t="str">
        <f t="shared" si="34"/>
        <v>0100</v>
      </c>
      <c r="N197" s="69">
        <f t="shared" si="33"/>
        <v>256</v>
      </c>
      <c r="O197" s="95"/>
      <c r="P197" s="96"/>
      <c r="Q197" s="97"/>
      <c r="R197" s="149"/>
      <c r="S197" s="153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2"/>
      <c r="AD197" s="143"/>
      <c r="AE197" s="143"/>
      <c r="AF197" s="143"/>
      <c r="AG197" s="143"/>
      <c r="AH197" s="143"/>
      <c r="AI197" s="143"/>
      <c r="AJ197" s="144"/>
    </row>
    <row r="198" spans="11:36">
      <c r="K198" s="85"/>
      <c r="L198" s="54" t="str">
        <f t="shared" si="31"/>
        <v/>
      </c>
      <c r="M198" s="38" t="str">
        <f t="shared" si="34"/>
        <v>0100</v>
      </c>
      <c r="N198" s="69">
        <f t="shared" si="33"/>
        <v>256</v>
      </c>
      <c r="O198" s="95"/>
      <c r="P198" s="96"/>
      <c r="Q198" s="97"/>
      <c r="R198" s="149"/>
      <c r="S198" s="153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2"/>
      <c r="AD198" s="143"/>
      <c r="AE198" s="143"/>
      <c r="AF198" s="143"/>
      <c r="AG198" s="143"/>
      <c r="AH198" s="143"/>
      <c r="AI198" s="143"/>
      <c r="AJ198" s="144"/>
    </row>
    <row r="199" spans="11:36">
      <c r="K199" s="85"/>
      <c r="L199" s="54" t="str">
        <f t="shared" si="31"/>
        <v/>
      </c>
      <c r="M199" s="38" t="str">
        <f t="shared" si="34"/>
        <v>0100</v>
      </c>
      <c r="N199" s="69">
        <f t="shared" si="33"/>
        <v>256</v>
      </c>
      <c r="O199" s="95"/>
      <c r="P199" s="96"/>
      <c r="Q199" s="97"/>
      <c r="R199" s="149"/>
      <c r="S199" s="153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2"/>
      <c r="AD199" s="143"/>
      <c r="AE199" s="143"/>
      <c r="AF199" s="143"/>
      <c r="AG199" s="143"/>
      <c r="AH199" s="143"/>
      <c r="AI199" s="143"/>
      <c r="AJ199" s="144"/>
    </row>
    <row r="200" spans="11:36">
      <c r="K200" s="85"/>
      <c r="L200" s="54" t="str">
        <f t="shared" si="31"/>
        <v/>
      </c>
      <c r="M200" s="38" t="str">
        <f t="shared" si="34"/>
        <v>0100</v>
      </c>
      <c r="N200" s="69">
        <f t="shared" si="33"/>
        <v>256</v>
      </c>
      <c r="O200" s="95"/>
      <c r="P200" s="96"/>
      <c r="Q200" s="97"/>
      <c r="R200" s="149"/>
      <c r="S200" s="153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2"/>
      <c r="AD200" s="143"/>
      <c r="AE200" s="143"/>
      <c r="AF200" s="143"/>
      <c r="AG200" s="143"/>
      <c r="AH200" s="143"/>
      <c r="AI200" s="143"/>
      <c r="AJ200" s="144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0100</v>
      </c>
      <c r="N201" s="69">
        <f t="shared" si="33"/>
        <v>256</v>
      </c>
      <c r="O201" s="95"/>
      <c r="P201" s="96"/>
      <c r="Q201" s="97"/>
      <c r="R201" s="149"/>
      <c r="S201" s="153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2"/>
      <c r="AD201" s="143"/>
      <c r="AE201" s="143"/>
      <c r="AF201" s="143"/>
      <c r="AG201" s="143"/>
      <c r="AH201" s="143"/>
      <c r="AI201" s="143"/>
      <c r="AJ201" s="144"/>
    </row>
    <row r="202" spans="11:36">
      <c r="K202" s="85"/>
      <c r="L202" s="54" t="str">
        <f t="shared" si="35"/>
        <v/>
      </c>
      <c r="M202" s="38" t="str">
        <f t="shared" si="34"/>
        <v>0100</v>
      </c>
      <c r="N202" s="69">
        <f t="shared" ref="N202:N265" si="37">N201+S201</f>
        <v>256</v>
      </c>
      <c r="O202" s="95"/>
      <c r="P202" s="96"/>
      <c r="Q202" s="97"/>
      <c r="R202" s="149"/>
      <c r="S202" s="153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2"/>
      <c r="AD202" s="143"/>
      <c r="AE202" s="143"/>
      <c r="AF202" s="143"/>
      <c r="AG202" s="143"/>
      <c r="AH202" s="143"/>
      <c r="AI202" s="143"/>
      <c r="AJ202" s="144"/>
    </row>
    <row r="203" spans="11:36">
      <c r="K203" s="85"/>
      <c r="L203" s="54" t="str">
        <f t="shared" si="35"/>
        <v/>
      </c>
      <c r="M203" s="38" t="str">
        <f t="shared" si="34"/>
        <v>0100</v>
      </c>
      <c r="N203" s="69">
        <f t="shared" si="37"/>
        <v>256</v>
      </c>
      <c r="O203" s="95"/>
      <c r="P203" s="96"/>
      <c r="Q203" s="97"/>
      <c r="R203" s="149"/>
      <c r="S203" s="153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2"/>
      <c r="AD203" s="143"/>
      <c r="AE203" s="143"/>
      <c r="AF203" s="143"/>
      <c r="AG203" s="143"/>
      <c r="AH203" s="143"/>
      <c r="AI203" s="143"/>
      <c r="AJ203" s="144"/>
    </row>
    <row r="204" spans="11:36">
      <c r="K204" s="85"/>
      <c r="L204" s="54" t="str">
        <f t="shared" si="35"/>
        <v/>
      </c>
      <c r="M204" s="38" t="str">
        <f t="shared" si="34"/>
        <v>0100</v>
      </c>
      <c r="N204" s="69">
        <f t="shared" si="37"/>
        <v>256</v>
      </c>
      <c r="O204" s="95"/>
      <c r="P204" s="96"/>
      <c r="Q204" s="97"/>
      <c r="R204" s="149"/>
      <c r="S204" s="153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2"/>
      <c r="AD204" s="143"/>
      <c r="AE204" s="143"/>
      <c r="AF204" s="143"/>
      <c r="AG204" s="143"/>
      <c r="AH204" s="143"/>
      <c r="AI204" s="143"/>
      <c r="AJ204" s="144"/>
    </row>
    <row r="205" spans="11:36">
      <c r="K205" s="85"/>
      <c r="L205" s="54" t="str">
        <f t="shared" si="35"/>
        <v/>
      </c>
      <c r="M205" s="38" t="str">
        <f t="shared" si="34"/>
        <v>0100</v>
      </c>
      <c r="N205" s="69">
        <f t="shared" si="37"/>
        <v>256</v>
      </c>
      <c r="O205" s="95"/>
      <c r="P205" s="96"/>
      <c r="Q205" s="97"/>
      <c r="R205" s="149"/>
      <c r="S205" s="153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2"/>
      <c r="AD205" s="143"/>
      <c r="AE205" s="143"/>
      <c r="AF205" s="143"/>
      <c r="AG205" s="143"/>
      <c r="AH205" s="143"/>
      <c r="AI205" s="143"/>
      <c r="AJ205" s="144"/>
    </row>
    <row r="206" spans="11:36">
      <c r="K206" s="85"/>
      <c r="L206" s="54" t="str">
        <f t="shared" si="35"/>
        <v/>
      </c>
      <c r="M206" s="38" t="str">
        <f t="shared" si="34"/>
        <v>0100</v>
      </c>
      <c r="N206" s="69">
        <f t="shared" si="37"/>
        <v>256</v>
      </c>
      <c r="O206" s="95"/>
      <c r="P206" s="96"/>
      <c r="Q206" s="97"/>
      <c r="R206" s="149"/>
      <c r="S206" s="153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2"/>
      <c r="AD206" s="143"/>
      <c r="AE206" s="143"/>
      <c r="AF206" s="143"/>
      <c r="AG206" s="143"/>
      <c r="AH206" s="143"/>
      <c r="AI206" s="143"/>
      <c r="AJ206" s="144"/>
    </row>
    <row r="207" spans="11:36">
      <c r="K207" s="85"/>
      <c r="L207" s="54" t="str">
        <f t="shared" si="35"/>
        <v/>
      </c>
      <c r="M207" s="38" t="str">
        <f t="shared" si="34"/>
        <v>0100</v>
      </c>
      <c r="N207" s="69">
        <f t="shared" si="37"/>
        <v>256</v>
      </c>
      <c r="O207" s="95"/>
      <c r="P207" s="96"/>
      <c r="Q207" s="97"/>
      <c r="R207" s="149"/>
      <c r="S207" s="153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2"/>
      <c r="AD207" s="143"/>
      <c r="AE207" s="143"/>
      <c r="AF207" s="143"/>
      <c r="AG207" s="143"/>
      <c r="AH207" s="143"/>
      <c r="AI207" s="143"/>
      <c r="AJ207" s="144"/>
    </row>
    <row r="208" spans="11:36">
      <c r="K208" s="85"/>
      <c r="L208" s="54" t="str">
        <f t="shared" si="35"/>
        <v/>
      </c>
      <c r="M208" s="38" t="str">
        <f t="shared" si="34"/>
        <v>0100</v>
      </c>
      <c r="N208" s="69">
        <f t="shared" si="37"/>
        <v>256</v>
      </c>
      <c r="O208" s="95"/>
      <c r="P208" s="96"/>
      <c r="Q208" s="97"/>
      <c r="R208" s="149"/>
      <c r="S208" s="153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2"/>
      <c r="AD208" s="143"/>
      <c r="AE208" s="143"/>
      <c r="AF208" s="143"/>
      <c r="AG208" s="143"/>
      <c r="AH208" s="143"/>
      <c r="AI208" s="143"/>
      <c r="AJ208" s="144"/>
    </row>
    <row r="209" spans="11:36">
      <c r="K209" s="85"/>
      <c r="L209" s="54" t="str">
        <f t="shared" si="35"/>
        <v/>
      </c>
      <c r="M209" s="38" t="str">
        <f t="shared" si="34"/>
        <v>0100</v>
      </c>
      <c r="N209" s="69">
        <f t="shared" si="37"/>
        <v>256</v>
      </c>
      <c r="O209" s="95"/>
      <c r="P209" s="96"/>
      <c r="Q209" s="97"/>
      <c r="R209" s="149"/>
      <c r="S209" s="153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2"/>
      <c r="AD209" s="143"/>
      <c r="AE209" s="143"/>
      <c r="AF209" s="143"/>
      <c r="AG209" s="143"/>
      <c r="AH209" s="143"/>
      <c r="AI209" s="143"/>
      <c r="AJ209" s="144"/>
    </row>
    <row r="210" spans="11:36">
      <c r="K210" s="85"/>
      <c r="L210" s="54" t="str">
        <f t="shared" si="35"/>
        <v/>
      </c>
      <c r="M210" s="38" t="str">
        <f t="shared" si="34"/>
        <v>0100</v>
      </c>
      <c r="N210" s="69">
        <f t="shared" si="37"/>
        <v>256</v>
      </c>
      <c r="O210" s="95"/>
      <c r="P210" s="96"/>
      <c r="Q210" s="97"/>
      <c r="R210" s="149"/>
      <c r="S210" s="153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2"/>
      <c r="AD210" s="143"/>
      <c r="AE210" s="143"/>
      <c r="AF210" s="143"/>
      <c r="AG210" s="143"/>
      <c r="AH210" s="143"/>
      <c r="AI210" s="143"/>
      <c r="AJ210" s="144"/>
    </row>
    <row r="211" spans="11:36">
      <c r="K211" s="85"/>
      <c r="L211" s="54" t="str">
        <f t="shared" si="35"/>
        <v/>
      </c>
      <c r="M211" s="38" t="str">
        <f t="shared" si="34"/>
        <v>0100</v>
      </c>
      <c r="N211" s="69">
        <f t="shared" si="37"/>
        <v>256</v>
      </c>
      <c r="O211" s="95"/>
      <c r="P211" s="96"/>
      <c r="Q211" s="97"/>
      <c r="R211" s="149"/>
      <c r="S211" s="153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2"/>
      <c r="AD211" s="143"/>
      <c r="AE211" s="143"/>
      <c r="AF211" s="143"/>
      <c r="AG211" s="143"/>
      <c r="AH211" s="143"/>
      <c r="AI211" s="143"/>
      <c r="AJ211" s="144"/>
    </row>
    <row r="212" spans="11:36">
      <c r="K212" s="85"/>
      <c r="L212" s="54" t="str">
        <f t="shared" si="35"/>
        <v/>
      </c>
      <c r="M212" s="38" t="str">
        <f t="shared" si="34"/>
        <v>0100</v>
      </c>
      <c r="N212" s="69">
        <f t="shared" si="37"/>
        <v>256</v>
      </c>
      <c r="O212" s="95"/>
      <c r="P212" s="96"/>
      <c r="Q212" s="97"/>
      <c r="R212" s="149"/>
      <c r="S212" s="153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2"/>
      <c r="AD212" s="143"/>
      <c r="AE212" s="143"/>
      <c r="AF212" s="143"/>
      <c r="AG212" s="143"/>
      <c r="AH212" s="143"/>
      <c r="AI212" s="143"/>
      <c r="AJ212" s="144"/>
    </row>
    <row r="213" spans="11:36">
      <c r="K213" s="85"/>
      <c r="L213" s="54" t="str">
        <f t="shared" si="35"/>
        <v/>
      </c>
      <c r="M213" s="38" t="str">
        <f t="shared" si="34"/>
        <v>0100</v>
      </c>
      <c r="N213" s="69">
        <f t="shared" si="37"/>
        <v>256</v>
      </c>
      <c r="O213" s="95"/>
      <c r="P213" s="96"/>
      <c r="Q213" s="97"/>
      <c r="R213" s="149"/>
      <c r="S213" s="153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2"/>
      <c r="AD213" s="143"/>
      <c r="AE213" s="143"/>
      <c r="AF213" s="143"/>
      <c r="AG213" s="143"/>
      <c r="AH213" s="143"/>
      <c r="AI213" s="143"/>
      <c r="AJ213" s="144"/>
    </row>
    <row r="214" spans="11:36">
      <c r="K214" s="85"/>
      <c r="L214" s="54" t="str">
        <f t="shared" si="35"/>
        <v/>
      </c>
      <c r="M214" s="38" t="str">
        <f t="shared" si="34"/>
        <v>0100</v>
      </c>
      <c r="N214" s="69">
        <f t="shared" si="37"/>
        <v>256</v>
      </c>
      <c r="O214" s="95"/>
      <c r="P214" s="96"/>
      <c r="Q214" s="97"/>
      <c r="R214" s="149"/>
      <c r="S214" s="153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2"/>
      <c r="AD214" s="143"/>
      <c r="AE214" s="143"/>
      <c r="AF214" s="143"/>
      <c r="AG214" s="143"/>
      <c r="AH214" s="143"/>
      <c r="AI214" s="143"/>
      <c r="AJ214" s="144"/>
    </row>
    <row r="215" spans="11:36">
      <c r="K215" s="85"/>
      <c r="L215" s="54" t="str">
        <f t="shared" si="35"/>
        <v/>
      </c>
      <c r="M215" s="38" t="str">
        <f t="shared" si="34"/>
        <v>0100</v>
      </c>
      <c r="N215" s="69">
        <f t="shared" si="37"/>
        <v>256</v>
      </c>
      <c r="O215" s="95"/>
      <c r="P215" s="96"/>
      <c r="Q215" s="97"/>
      <c r="R215" s="149"/>
      <c r="S215" s="153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2"/>
      <c r="AD215" s="143"/>
      <c r="AE215" s="143"/>
      <c r="AF215" s="143"/>
      <c r="AG215" s="143"/>
      <c r="AH215" s="143"/>
      <c r="AI215" s="143"/>
      <c r="AJ215" s="144"/>
    </row>
    <row r="216" spans="11:36">
      <c r="K216" s="85"/>
      <c r="L216" s="54" t="str">
        <f t="shared" si="35"/>
        <v/>
      </c>
      <c r="M216" s="38" t="str">
        <f t="shared" si="34"/>
        <v>0100</v>
      </c>
      <c r="N216" s="69">
        <f t="shared" si="37"/>
        <v>256</v>
      </c>
      <c r="O216" s="95"/>
      <c r="P216" s="96"/>
      <c r="Q216" s="97"/>
      <c r="R216" s="149"/>
      <c r="S216" s="153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2"/>
      <c r="AD216" s="143"/>
      <c r="AE216" s="143"/>
      <c r="AF216" s="143"/>
      <c r="AG216" s="143"/>
      <c r="AH216" s="143"/>
      <c r="AI216" s="143"/>
      <c r="AJ216" s="144"/>
    </row>
    <row r="217" spans="11:36">
      <c r="K217" s="85"/>
      <c r="L217" s="54" t="str">
        <f t="shared" si="35"/>
        <v/>
      </c>
      <c r="M217" s="38" t="str">
        <f t="shared" si="34"/>
        <v>0100</v>
      </c>
      <c r="N217" s="69">
        <f t="shared" si="37"/>
        <v>256</v>
      </c>
      <c r="O217" s="95"/>
      <c r="P217" s="96"/>
      <c r="Q217" s="97"/>
      <c r="R217" s="149"/>
      <c r="S217" s="153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2"/>
      <c r="AD217" s="143"/>
      <c r="AE217" s="143"/>
      <c r="AF217" s="143"/>
      <c r="AG217" s="143"/>
      <c r="AH217" s="143"/>
      <c r="AI217" s="143"/>
      <c r="AJ217" s="144"/>
    </row>
    <row r="218" spans="11:36">
      <c r="K218" s="85"/>
      <c r="L218" s="54" t="str">
        <f t="shared" si="35"/>
        <v/>
      </c>
      <c r="M218" s="38" t="str">
        <f t="shared" si="34"/>
        <v>0100</v>
      </c>
      <c r="N218" s="69">
        <f t="shared" si="37"/>
        <v>256</v>
      </c>
      <c r="O218" s="95"/>
      <c r="P218" s="96"/>
      <c r="Q218" s="97"/>
      <c r="R218" s="149"/>
      <c r="S218" s="153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2"/>
      <c r="AD218" s="143"/>
      <c r="AE218" s="143"/>
      <c r="AF218" s="143"/>
      <c r="AG218" s="143"/>
      <c r="AH218" s="143"/>
      <c r="AI218" s="143"/>
      <c r="AJ218" s="144"/>
    </row>
    <row r="219" spans="11:36">
      <c r="K219" s="85"/>
      <c r="L219" s="54" t="str">
        <f t="shared" si="35"/>
        <v/>
      </c>
      <c r="M219" s="38" t="str">
        <f t="shared" si="34"/>
        <v>0100</v>
      </c>
      <c r="N219" s="69">
        <f t="shared" si="37"/>
        <v>256</v>
      </c>
      <c r="O219" s="95"/>
      <c r="P219" s="96"/>
      <c r="Q219" s="97"/>
      <c r="R219" s="149"/>
      <c r="S219" s="153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2"/>
      <c r="AD219" s="143"/>
      <c r="AE219" s="143"/>
      <c r="AF219" s="143"/>
      <c r="AG219" s="143"/>
      <c r="AH219" s="143"/>
      <c r="AI219" s="143"/>
      <c r="AJ219" s="144"/>
    </row>
    <row r="220" spans="11:36">
      <c r="K220" s="85"/>
      <c r="L220" s="54" t="str">
        <f t="shared" si="35"/>
        <v/>
      </c>
      <c r="M220" s="38" t="str">
        <f t="shared" si="34"/>
        <v>0100</v>
      </c>
      <c r="N220" s="69">
        <f t="shared" si="37"/>
        <v>256</v>
      </c>
      <c r="O220" s="95"/>
      <c r="P220" s="96"/>
      <c r="Q220" s="97"/>
      <c r="R220" s="149"/>
      <c r="S220" s="153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2"/>
      <c r="AD220" s="143"/>
      <c r="AE220" s="143"/>
      <c r="AF220" s="143"/>
      <c r="AG220" s="143"/>
      <c r="AH220" s="143"/>
      <c r="AI220" s="143"/>
      <c r="AJ220" s="144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0100</v>
      </c>
      <c r="N221" s="69">
        <f t="shared" si="37"/>
        <v>256</v>
      </c>
      <c r="O221" s="95"/>
      <c r="P221" s="96"/>
      <c r="Q221" s="97"/>
      <c r="R221" s="149"/>
      <c r="S221" s="153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2"/>
      <c r="AD221" s="143"/>
      <c r="AE221" s="143"/>
      <c r="AF221" s="143"/>
      <c r="AG221" s="143"/>
      <c r="AH221" s="143"/>
      <c r="AI221" s="143"/>
      <c r="AJ221" s="144"/>
    </row>
    <row r="222" spans="11:36">
      <c r="K222" s="85"/>
      <c r="L222" s="54" t="str">
        <f t="shared" si="35"/>
        <v/>
      </c>
      <c r="M222" s="38" t="str">
        <f t="shared" si="38"/>
        <v>0100</v>
      </c>
      <c r="N222" s="69">
        <f t="shared" si="37"/>
        <v>256</v>
      </c>
      <c r="O222" s="95"/>
      <c r="P222" s="96"/>
      <c r="Q222" s="97"/>
      <c r="R222" s="149"/>
      <c r="S222" s="153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2"/>
      <c r="AD222" s="143"/>
      <c r="AE222" s="143"/>
      <c r="AF222" s="143"/>
      <c r="AG222" s="143"/>
      <c r="AH222" s="143"/>
      <c r="AI222" s="143"/>
      <c r="AJ222" s="144"/>
    </row>
    <row r="223" spans="11:36">
      <c r="K223" s="85"/>
      <c r="L223" s="54" t="str">
        <f t="shared" si="35"/>
        <v/>
      </c>
      <c r="M223" s="38" t="str">
        <f t="shared" si="38"/>
        <v>0100</v>
      </c>
      <c r="N223" s="69">
        <f t="shared" si="37"/>
        <v>256</v>
      </c>
      <c r="O223" s="95"/>
      <c r="P223" s="96"/>
      <c r="Q223" s="97"/>
      <c r="R223" s="149"/>
      <c r="S223" s="153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2"/>
      <c r="AD223" s="143"/>
      <c r="AE223" s="143"/>
      <c r="AF223" s="143"/>
      <c r="AG223" s="143"/>
      <c r="AH223" s="143"/>
      <c r="AI223" s="143"/>
      <c r="AJ223" s="144"/>
    </row>
    <row r="224" spans="11:36">
      <c r="K224" s="85"/>
      <c r="L224" s="54" t="str">
        <f t="shared" si="35"/>
        <v/>
      </c>
      <c r="M224" s="38" t="str">
        <f t="shared" si="38"/>
        <v>0100</v>
      </c>
      <c r="N224" s="69">
        <f t="shared" si="37"/>
        <v>256</v>
      </c>
      <c r="O224" s="95"/>
      <c r="P224" s="96"/>
      <c r="Q224" s="97"/>
      <c r="R224" s="149"/>
      <c r="S224" s="153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2"/>
      <c r="AD224" s="143"/>
      <c r="AE224" s="143"/>
      <c r="AF224" s="143"/>
      <c r="AG224" s="143"/>
      <c r="AH224" s="143"/>
      <c r="AI224" s="143"/>
      <c r="AJ224" s="144"/>
    </row>
    <row r="225" spans="11:36">
      <c r="K225" s="85"/>
      <c r="L225" s="54" t="str">
        <f t="shared" si="35"/>
        <v/>
      </c>
      <c r="M225" s="38" t="str">
        <f t="shared" si="38"/>
        <v>0100</v>
      </c>
      <c r="N225" s="69">
        <f t="shared" si="37"/>
        <v>256</v>
      </c>
      <c r="O225" s="95"/>
      <c r="P225" s="96"/>
      <c r="Q225" s="97"/>
      <c r="R225" s="149"/>
      <c r="S225" s="153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2"/>
      <c r="AD225" s="143"/>
      <c r="AE225" s="143"/>
      <c r="AF225" s="143"/>
      <c r="AG225" s="143"/>
      <c r="AH225" s="143"/>
      <c r="AI225" s="143"/>
      <c r="AJ225" s="144"/>
    </row>
    <row r="226" spans="11:36">
      <c r="K226" s="85"/>
      <c r="L226" s="54" t="str">
        <f t="shared" si="35"/>
        <v/>
      </c>
      <c r="M226" s="38" t="str">
        <f t="shared" si="38"/>
        <v>0100</v>
      </c>
      <c r="N226" s="69">
        <f t="shared" si="37"/>
        <v>256</v>
      </c>
      <c r="O226" s="95"/>
      <c r="P226" s="96"/>
      <c r="Q226" s="97"/>
      <c r="R226" s="149"/>
      <c r="S226" s="153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2"/>
      <c r="AD226" s="143"/>
      <c r="AE226" s="143"/>
      <c r="AF226" s="143"/>
      <c r="AG226" s="143"/>
      <c r="AH226" s="143"/>
      <c r="AI226" s="143"/>
      <c r="AJ226" s="144"/>
    </row>
    <row r="227" spans="11:36">
      <c r="K227" s="85"/>
      <c r="L227" s="54" t="str">
        <f t="shared" si="35"/>
        <v/>
      </c>
      <c r="M227" s="38" t="str">
        <f t="shared" si="38"/>
        <v>0100</v>
      </c>
      <c r="N227" s="69">
        <f t="shared" si="37"/>
        <v>256</v>
      </c>
      <c r="O227" s="95"/>
      <c r="P227" s="96"/>
      <c r="Q227" s="97"/>
      <c r="R227" s="149"/>
      <c r="S227" s="153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2"/>
      <c r="AD227" s="143"/>
      <c r="AE227" s="143"/>
      <c r="AF227" s="143"/>
      <c r="AG227" s="143"/>
      <c r="AH227" s="143"/>
      <c r="AI227" s="143"/>
      <c r="AJ227" s="144"/>
    </row>
    <row r="228" spans="11:36">
      <c r="K228" s="85"/>
      <c r="L228" s="54" t="str">
        <f t="shared" si="35"/>
        <v/>
      </c>
      <c r="M228" s="38" t="str">
        <f t="shared" si="38"/>
        <v>0100</v>
      </c>
      <c r="N228" s="69">
        <f t="shared" si="37"/>
        <v>256</v>
      </c>
      <c r="O228" s="95"/>
      <c r="P228" s="96"/>
      <c r="Q228" s="97"/>
      <c r="R228" s="149"/>
      <c r="S228" s="153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2"/>
      <c r="AD228" s="143"/>
      <c r="AE228" s="143"/>
      <c r="AF228" s="143"/>
      <c r="AG228" s="143"/>
      <c r="AH228" s="143"/>
      <c r="AI228" s="143"/>
      <c r="AJ228" s="144"/>
    </row>
    <row r="229" spans="11:36">
      <c r="K229" s="85"/>
      <c r="L229" s="54" t="str">
        <f t="shared" si="35"/>
        <v/>
      </c>
      <c r="M229" s="38" t="str">
        <f t="shared" si="38"/>
        <v>0100</v>
      </c>
      <c r="N229" s="69">
        <f t="shared" si="37"/>
        <v>256</v>
      </c>
      <c r="O229" s="95"/>
      <c r="P229" s="96"/>
      <c r="Q229" s="97"/>
      <c r="R229" s="149"/>
      <c r="S229" s="153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2"/>
      <c r="AD229" s="143"/>
      <c r="AE229" s="143"/>
      <c r="AF229" s="143"/>
      <c r="AG229" s="143"/>
      <c r="AH229" s="143"/>
      <c r="AI229" s="143"/>
      <c r="AJ229" s="144"/>
    </row>
    <row r="230" spans="11:36">
      <c r="K230" s="85"/>
      <c r="L230" s="54" t="str">
        <f t="shared" si="35"/>
        <v/>
      </c>
      <c r="M230" s="38" t="str">
        <f t="shared" si="38"/>
        <v>0100</v>
      </c>
      <c r="N230" s="69">
        <f t="shared" si="37"/>
        <v>256</v>
      </c>
      <c r="O230" s="95"/>
      <c r="P230" s="96"/>
      <c r="Q230" s="97"/>
      <c r="R230" s="149"/>
      <c r="S230" s="153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2"/>
      <c r="AD230" s="143"/>
      <c r="AE230" s="143"/>
      <c r="AF230" s="143"/>
      <c r="AG230" s="143"/>
      <c r="AH230" s="143"/>
      <c r="AI230" s="143"/>
      <c r="AJ230" s="144"/>
    </row>
    <row r="231" spans="11:36">
      <c r="K231" s="85"/>
      <c r="L231" s="54" t="str">
        <f t="shared" si="35"/>
        <v/>
      </c>
      <c r="M231" s="38" t="str">
        <f t="shared" si="38"/>
        <v>0100</v>
      </c>
      <c r="N231" s="69">
        <f t="shared" si="37"/>
        <v>256</v>
      </c>
      <c r="O231" s="95"/>
      <c r="P231" s="96"/>
      <c r="Q231" s="97"/>
      <c r="R231" s="149"/>
      <c r="S231" s="153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2"/>
      <c r="AD231" s="143"/>
      <c r="AE231" s="143"/>
      <c r="AF231" s="143"/>
      <c r="AG231" s="143"/>
      <c r="AH231" s="143"/>
      <c r="AI231" s="143"/>
      <c r="AJ231" s="144"/>
    </row>
    <row r="232" spans="11:36">
      <c r="K232" s="85"/>
      <c r="L232" s="54" t="str">
        <f t="shared" si="35"/>
        <v/>
      </c>
      <c r="M232" s="38" t="str">
        <f t="shared" si="38"/>
        <v>0100</v>
      </c>
      <c r="N232" s="69">
        <f t="shared" si="37"/>
        <v>256</v>
      </c>
      <c r="O232" s="95"/>
      <c r="P232" s="96"/>
      <c r="Q232" s="97"/>
      <c r="R232" s="149"/>
      <c r="S232" s="153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2"/>
      <c r="AD232" s="143"/>
      <c r="AE232" s="143"/>
      <c r="AF232" s="143"/>
      <c r="AG232" s="143"/>
      <c r="AH232" s="143"/>
      <c r="AI232" s="143"/>
      <c r="AJ232" s="144"/>
    </row>
    <row r="233" spans="11:36">
      <c r="K233" s="85"/>
      <c r="L233" s="54" t="str">
        <f t="shared" si="35"/>
        <v/>
      </c>
      <c r="M233" s="38" t="str">
        <f t="shared" si="38"/>
        <v>0100</v>
      </c>
      <c r="N233" s="69">
        <f t="shared" si="37"/>
        <v>256</v>
      </c>
      <c r="O233" s="95"/>
      <c r="P233" s="96"/>
      <c r="Q233" s="97"/>
      <c r="R233" s="149"/>
      <c r="S233" s="153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2"/>
      <c r="AD233" s="143"/>
      <c r="AE233" s="143"/>
      <c r="AF233" s="143"/>
      <c r="AG233" s="143"/>
      <c r="AH233" s="143"/>
      <c r="AI233" s="143"/>
      <c r="AJ233" s="144"/>
    </row>
    <row r="234" spans="11:36">
      <c r="K234" s="85"/>
      <c r="L234" s="54" t="str">
        <f t="shared" si="35"/>
        <v/>
      </c>
      <c r="M234" s="38" t="str">
        <f t="shared" si="38"/>
        <v>0100</v>
      </c>
      <c r="N234" s="69">
        <f t="shared" si="37"/>
        <v>256</v>
      </c>
      <c r="O234" s="95"/>
      <c r="P234" s="96"/>
      <c r="Q234" s="97"/>
      <c r="R234" s="149"/>
      <c r="S234" s="153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2"/>
      <c r="AD234" s="143"/>
      <c r="AE234" s="143"/>
      <c r="AF234" s="143"/>
      <c r="AG234" s="143"/>
      <c r="AH234" s="143"/>
      <c r="AI234" s="143"/>
      <c r="AJ234" s="144"/>
    </row>
    <row r="235" spans="11:36">
      <c r="K235" s="85"/>
      <c r="L235" s="54" t="str">
        <f t="shared" si="35"/>
        <v/>
      </c>
      <c r="M235" s="38" t="str">
        <f t="shared" si="38"/>
        <v>0100</v>
      </c>
      <c r="N235" s="69">
        <f t="shared" si="37"/>
        <v>256</v>
      </c>
      <c r="O235" s="95"/>
      <c r="P235" s="96"/>
      <c r="Q235" s="97"/>
      <c r="R235" s="149"/>
      <c r="S235" s="153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2"/>
      <c r="AD235" s="143"/>
      <c r="AE235" s="143"/>
      <c r="AF235" s="143"/>
      <c r="AG235" s="143"/>
      <c r="AH235" s="143"/>
      <c r="AI235" s="143"/>
      <c r="AJ235" s="144"/>
    </row>
    <row r="236" spans="11:36">
      <c r="K236" s="85"/>
      <c r="L236" s="54" t="str">
        <f t="shared" si="35"/>
        <v/>
      </c>
      <c r="M236" s="38" t="str">
        <f t="shared" si="38"/>
        <v>0100</v>
      </c>
      <c r="N236" s="69">
        <f t="shared" si="37"/>
        <v>256</v>
      </c>
      <c r="O236" s="95"/>
      <c r="P236" s="96"/>
      <c r="Q236" s="97"/>
      <c r="R236" s="149"/>
      <c r="S236" s="153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2"/>
      <c r="AD236" s="143"/>
      <c r="AE236" s="143"/>
      <c r="AF236" s="143"/>
      <c r="AG236" s="143"/>
      <c r="AH236" s="143"/>
      <c r="AI236" s="143"/>
      <c r="AJ236" s="144"/>
    </row>
    <row r="237" spans="11:36">
      <c r="K237" s="85"/>
      <c r="L237" s="54" t="str">
        <f t="shared" si="35"/>
        <v/>
      </c>
      <c r="M237" s="38" t="str">
        <f t="shared" si="38"/>
        <v>0100</v>
      </c>
      <c r="N237" s="69">
        <f t="shared" si="37"/>
        <v>256</v>
      </c>
      <c r="O237" s="95"/>
      <c r="P237" s="96"/>
      <c r="Q237" s="97"/>
      <c r="R237" s="149"/>
      <c r="S237" s="153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2"/>
      <c r="AD237" s="143"/>
      <c r="AE237" s="143"/>
      <c r="AF237" s="143"/>
      <c r="AG237" s="143"/>
      <c r="AH237" s="143"/>
      <c r="AI237" s="143"/>
      <c r="AJ237" s="144"/>
    </row>
    <row r="238" spans="11:36">
      <c r="K238" s="85"/>
      <c r="L238" s="54" t="str">
        <f t="shared" si="35"/>
        <v/>
      </c>
      <c r="M238" s="38" t="str">
        <f t="shared" si="38"/>
        <v>0100</v>
      </c>
      <c r="N238" s="69">
        <f t="shared" si="37"/>
        <v>256</v>
      </c>
      <c r="O238" s="95"/>
      <c r="P238" s="96"/>
      <c r="Q238" s="97"/>
      <c r="R238" s="149"/>
      <c r="S238" s="153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2"/>
      <c r="AD238" s="143"/>
      <c r="AE238" s="143"/>
      <c r="AF238" s="143"/>
      <c r="AG238" s="143"/>
      <c r="AH238" s="143"/>
      <c r="AI238" s="143"/>
      <c r="AJ238" s="144"/>
    </row>
    <row r="239" spans="11:36">
      <c r="K239" s="85"/>
      <c r="L239" s="54" t="str">
        <f t="shared" si="35"/>
        <v/>
      </c>
      <c r="M239" s="38" t="str">
        <f t="shared" si="38"/>
        <v>0100</v>
      </c>
      <c r="N239" s="69">
        <f t="shared" si="37"/>
        <v>256</v>
      </c>
      <c r="O239" s="95"/>
      <c r="P239" s="96"/>
      <c r="Q239" s="97"/>
      <c r="R239" s="149"/>
      <c r="S239" s="153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2"/>
      <c r="AD239" s="143"/>
      <c r="AE239" s="143"/>
      <c r="AF239" s="143"/>
      <c r="AG239" s="143"/>
      <c r="AH239" s="143"/>
      <c r="AI239" s="143"/>
      <c r="AJ239" s="144"/>
    </row>
    <row r="240" spans="11:36">
      <c r="K240" s="85"/>
      <c r="L240" s="54" t="str">
        <f t="shared" si="35"/>
        <v/>
      </c>
      <c r="M240" s="38" t="str">
        <f t="shared" si="38"/>
        <v>0100</v>
      </c>
      <c r="N240" s="69">
        <f t="shared" si="37"/>
        <v>256</v>
      </c>
      <c r="O240" s="95"/>
      <c r="P240" s="96"/>
      <c r="Q240" s="97"/>
      <c r="R240" s="149"/>
      <c r="S240" s="153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2"/>
      <c r="AD240" s="143"/>
      <c r="AE240" s="143"/>
      <c r="AF240" s="143"/>
      <c r="AG240" s="143"/>
      <c r="AH240" s="143"/>
      <c r="AI240" s="143"/>
      <c r="AJ240" s="144"/>
    </row>
    <row r="241" spans="11:36">
      <c r="K241" s="85"/>
      <c r="L241" s="54" t="str">
        <f t="shared" si="35"/>
        <v/>
      </c>
      <c r="M241" s="38" t="str">
        <f t="shared" si="38"/>
        <v>0100</v>
      </c>
      <c r="N241" s="69">
        <f t="shared" si="37"/>
        <v>256</v>
      </c>
      <c r="O241" s="95"/>
      <c r="P241" s="96"/>
      <c r="Q241" s="97"/>
      <c r="R241" s="149"/>
      <c r="S241" s="153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2"/>
      <c r="AD241" s="143"/>
      <c r="AE241" s="143"/>
      <c r="AF241" s="143"/>
      <c r="AG241" s="143"/>
      <c r="AH241" s="143"/>
      <c r="AI241" s="143"/>
      <c r="AJ241" s="144"/>
    </row>
    <row r="242" spans="11:36">
      <c r="K242" s="85"/>
      <c r="L242" s="54" t="str">
        <f t="shared" si="35"/>
        <v/>
      </c>
      <c r="M242" s="38" t="str">
        <f t="shared" si="38"/>
        <v>0100</v>
      </c>
      <c r="N242" s="69">
        <f t="shared" si="37"/>
        <v>256</v>
      </c>
      <c r="O242" s="95"/>
      <c r="P242" s="96"/>
      <c r="Q242" s="97"/>
      <c r="R242" s="149"/>
      <c r="S242" s="153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2"/>
      <c r="AD242" s="143"/>
      <c r="AE242" s="143"/>
      <c r="AF242" s="143"/>
      <c r="AG242" s="143"/>
      <c r="AH242" s="143"/>
      <c r="AI242" s="143"/>
      <c r="AJ242" s="144"/>
    </row>
    <row r="243" spans="11:36">
      <c r="K243" s="85"/>
      <c r="L243" s="54" t="str">
        <f t="shared" si="35"/>
        <v/>
      </c>
      <c r="M243" s="38" t="str">
        <f t="shared" si="38"/>
        <v>0100</v>
      </c>
      <c r="N243" s="69">
        <f t="shared" si="37"/>
        <v>256</v>
      </c>
      <c r="O243" s="95"/>
      <c r="P243" s="96"/>
      <c r="Q243" s="97"/>
      <c r="R243" s="149"/>
      <c r="S243" s="153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2"/>
      <c r="AD243" s="143"/>
      <c r="AE243" s="143"/>
      <c r="AF243" s="143"/>
      <c r="AG243" s="143"/>
      <c r="AH243" s="143"/>
      <c r="AI243" s="143"/>
      <c r="AJ243" s="144"/>
    </row>
    <row r="244" spans="11:36">
      <c r="K244" s="85"/>
      <c r="L244" s="54" t="str">
        <f t="shared" si="35"/>
        <v/>
      </c>
      <c r="M244" s="38" t="str">
        <f t="shared" si="38"/>
        <v>0100</v>
      </c>
      <c r="N244" s="69">
        <f t="shared" si="37"/>
        <v>256</v>
      </c>
      <c r="O244" s="95"/>
      <c r="P244" s="96"/>
      <c r="Q244" s="97"/>
      <c r="R244" s="149"/>
      <c r="S244" s="153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2"/>
      <c r="AD244" s="143"/>
      <c r="AE244" s="143"/>
      <c r="AF244" s="143"/>
      <c r="AG244" s="143"/>
      <c r="AH244" s="143"/>
      <c r="AI244" s="143"/>
      <c r="AJ244" s="144"/>
    </row>
    <row r="245" spans="11:36">
      <c r="K245" s="85"/>
      <c r="L245" s="54" t="str">
        <f t="shared" si="35"/>
        <v/>
      </c>
      <c r="M245" s="38" t="str">
        <f t="shared" si="38"/>
        <v>0100</v>
      </c>
      <c r="N245" s="69">
        <f t="shared" si="37"/>
        <v>256</v>
      </c>
      <c r="O245" s="95"/>
      <c r="P245" s="96"/>
      <c r="Q245" s="97"/>
      <c r="R245" s="149"/>
      <c r="S245" s="153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2"/>
      <c r="AD245" s="143"/>
      <c r="AE245" s="143"/>
      <c r="AF245" s="143"/>
      <c r="AG245" s="143"/>
      <c r="AH245" s="143"/>
      <c r="AI245" s="143"/>
      <c r="AJ245" s="144"/>
    </row>
    <row r="246" spans="11:36">
      <c r="K246" s="85"/>
      <c r="L246" s="54" t="str">
        <f t="shared" si="35"/>
        <v/>
      </c>
      <c r="M246" s="38" t="str">
        <f t="shared" si="38"/>
        <v>0100</v>
      </c>
      <c r="N246" s="69">
        <f t="shared" si="37"/>
        <v>256</v>
      </c>
      <c r="O246" s="95"/>
      <c r="P246" s="96"/>
      <c r="Q246" s="97"/>
      <c r="R246" s="149"/>
      <c r="S246" s="153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2"/>
      <c r="AD246" s="143"/>
      <c r="AE246" s="143"/>
      <c r="AF246" s="143"/>
      <c r="AG246" s="143"/>
      <c r="AH246" s="143"/>
      <c r="AI246" s="143"/>
      <c r="AJ246" s="144"/>
    </row>
    <row r="247" spans="11:36">
      <c r="K247" s="85"/>
      <c r="L247" s="54" t="str">
        <f t="shared" si="35"/>
        <v/>
      </c>
      <c r="M247" s="38" t="str">
        <f t="shared" si="38"/>
        <v>0100</v>
      </c>
      <c r="N247" s="69">
        <f t="shared" si="37"/>
        <v>256</v>
      </c>
      <c r="O247" s="95"/>
      <c r="P247" s="96"/>
      <c r="Q247" s="97"/>
      <c r="R247" s="149"/>
      <c r="S247" s="153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2"/>
      <c r="AD247" s="143"/>
      <c r="AE247" s="143"/>
      <c r="AF247" s="143"/>
      <c r="AG247" s="143"/>
      <c r="AH247" s="143"/>
      <c r="AI247" s="143"/>
      <c r="AJ247" s="144"/>
    </row>
    <row r="248" spans="11:36">
      <c r="K248" s="85"/>
      <c r="L248" s="54" t="str">
        <f t="shared" si="35"/>
        <v/>
      </c>
      <c r="M248" s="38" t="str">
        <f t="shared" si="38"/>
        <v>0100</v>
      </c>
      <c r="N248" s="69">
        <f t="shared" si="37"/>
        <v>256</v>
      </c>
      <c r="O248" s="95"/>
      <c r="P248" s="96"/>
      <c r="Q248" s="97"/>
      <c r="R248" s="149"/>
      <c r="S248" s="153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2"/>
      <c r="AD248" s="143"/>
      <c r="AE248" s="143"/>
      <c r="AF248" s="143"/>
      <c r="AG248" s="143"/>
      <c r="AH248" s="143"/>
      <c r="AI248" s="143"/>
      <c r="AJ248" s="144"/>
    </row>
    <row r="249" spans="11:36">
      <c r="K249" s="85"/>
      <c r="L249" s="54" t="str">
        <f t="shared" si="35"/>
        <v/>
      </c>
      <c r="M249" s="38" t="str">
        <f t="shared" si="38"/>
        <v>0100</v>
      </c>
      <c r="N249" s="69">
        <f t="shared" si="37"/>
        <v>256</v>
      </c>
      <c r="O249" s="95"/>
      <c r="P249" s="96"/>
      <c r="Q249" s="97"/>
      <c r="R249" s="149"/>
      <c r="S249" s="153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2"/>
      <c r="AD249" s="143"/>
      <c r="AE249" s="143"/>
      <c r="AF249" s="143"/>
      <c r="AG249" s="143"/>
      <c r="AH249" s="143"/>
      <c r="AI249" s="143"/>
      <c r="AJ249" s="144"/>
    </row>
    <row r="250" spans="11:36">
      <c r="K250" s="85"/>
      <c r="L250" s="54" t="str">
        <f t="shared" si="35"/>
        <v/>
      </c>
      <c r="M250" s="38" t="str">
        <f t="shared" si="38"/>
        <v>0100</v>
      </c>
      <c r="N250" s="69">
        <f t="shared" si="37"/>
        <v>256</v>
      </c>
      <c r="O250" s="95"/>
      <c r="P250" s="96"/>
      <c r="Q250" s="97"/>
      <c r="R250" s="149"/>
      <c r="S250" s="153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2"/>
      <c r="AD250" s="143"/>
      <c r="AE250" s="143"/>
      <c r="AF250" s="143"/>
      <c r="AG250" s="143"/>
      <c r="AH250" s="143"/>
      <c r="AI250" s="143"/>
      <c r="AJ250" s="144"/>
    </row>
    <row r="251" spans="11:36">
      <c r="K251" s="85"/>
      <c r="L251" s="54" t="str">
        <f t="shared" si="35"/>
        <v/>
      </c>
      <c r="M251" s="38" t="str">
        <f t="shared" si="38"/>
        <v>0100</v>
      </c>
      <c r="N251" s="69">
        <f t="shared" si="37"/>
        <v>256</v>
      </c>
      <c r="O251" s="95"/>
      <c r="P251" s="96"/>
      <c r="Q251" s="97"/>
      <c r="R251" s="149"/>
      <c r="S251" s="153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2"/>
      <c r="AD251" s="143"/>
      <c r="AE251" s="143"/>
      <c r="AF251" s="143"/>
      <c r="AG251" s="143"/>
      <c r="AH251" s="143"/>
      <c r="AI251" s="143"/>
      <c r="AJ251" s="144"/>
    </row>
    <row r="252" spans="11:36">
      <c r="K252" s="85"/>
      <c r="L252" s="54" t="str">
        <f t="shared" si="35"/>
        <v/>
      </c>
      <c r="M252" s="38" t="str">
        <f t="shared" si="38"/>
        <v>0100</v>
      </c>
      <c r="N252" s="69">
        <f t="shared" si="37"/>
        <v>256</v>
      </c>
      <c r="O252" s="95"/>
      <c r="P252" s="96"/>
      <c r="Q252" s="97"/>
      <c r="R252" s="149"/>
      <c r="S252" s="153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2"/>
      <c r="AD252" s="143"/>
      <c r="AE252" s="143"/>
      <c r="AF252" s="143"/>
      <c r="AG252" s="143"/>
      <c r="AH252" s="143"/>
      <c r="AI252" s="143"/>
      <c r="AJ252" s="144"/>
    </row>
    <row r="253" spans="11:36">
      <c r="K253" s="85"/>
      <c r="L253" s="54" t="str">
        <f t="shared" si="35"/>
        <v/>
      </c>
      <c r="M253" s="38" t="str">
        <f t="shared" si="38"/>
        <v>0100</v>
      </c>
      <c r="N253" s="69">
        <f t="shared" si="37"/>
        <v>256</v>
      </c>
      <c r="O253" s="95"/>
      <c r="P253" s="96"/>
      <c r="Q253" s="97"/>
      <c r="R253" s="149"/>
      <c r="S253" s="153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2"/>
      <c r="AD253" s="143"/>
      <c r="AE253" s="143"/>
      <c r="AF253" s="143"/>
      <c r="AG253" s="143"/>
      <c r="AH253" s="143"/>
      <c r="AI253" s="143"/>
      <c r="AJ253" s="144"/>
    </row>
    <row r="254" spans="11:36">
      <c r="K254" s="85"/>
      <c r="L254" s="54" t="str">
        <f t="shared" si="35"/>
        <v/>
      </c>
      <c r="M254" s="38" t="str">
        <f t="shared" si="38"/>
        <v>0100</v>
      </c>
      <c r="N254" s="69">
        <f t="shared" si="37"/>
        <v>256</v>
      </c>
      <c r="O254" s="95"/>
      <c r="P254" s="96"/>
      <c r="Q254" s="97"/>
      <c r="R254" s="149"/>
      <c r="S254" s="153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2"/>
      <c r="AD254" s="143"/>
      <c r="AE254" s="143"/>
      <c r="AF254" s="143"/>
      <c r="AG254" s="143"/>
      <c r="AH254" s="143"/>
      <c r="AI254" s="143"/>
      <c r="AJ254" s="144"/>
    </row>
    <row r="255" spans="11:36">
      <c r="K255" s="85"/>
      <c r="L255" s="54" t="str">
        <f t="shared" si="35"/>
        <v/>
      </c>
      <c r="M255" s="38" t="str">
        <f t="shared" si="38"/>
        <v>0100</v>
      </c>
      <c r="N255" s="69">
        <f t="shared" si="37"/>
        <v>256</v>
      </c>
      <c r="O255" s="95"/>
      <c r="P255" s="96"/>
      <c r="Q255" s="97"/>
      <c r="R255" s="149"/>
      <c r="S255" s="153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2"/>
      <c r="AD255" s="143"/>
      <c r="AE255" s="143"/>
      <c r="AF255" s="143"/>
      <c r="AG255" s="143"/>
      <c r="AH255" s="143"/>
      <c r="AI255" s="143"/>
      <c r="AJ255" s="144"/>
    </row>
    <row r="256" spans="11:36">
      <c r="K256" s="85"/>
      <c r="L256" s="54" t="str">
        <f t="shared" si="35"/>
        <v/>
      </c>
      <c r="M256" s="38" t="str">
        <f t="shared" si="38"/>
        <v>0100</v>
      </c>
      <c r="N256" s="69">
        <f t="shared" si="37"/>
        <v>256</v>
      </c>
      <c r="O256" s="95"/>
      <c r="P256" s="96"/>
      <c r="Q256" s="97"/>
      <c r="R256" s="149"/>
      <c r="S256" s="153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2"/>
      <c r="AD256" s="143"/>
      <c r="AE256" s="143"/>
      <c r="AF256" s="143"/>
      <c r="AG256" s="143"/>
      <c r="AH256" s="143"/>
      <c r="AI256" s="143"/>
      <c r="AJ256" s="144"/>
    </row>
    <row r="257" spans="11:36">
      <c r="K257" s="85"/>
      <c r="L257" s="54" t="str">
        <f t="shared" si="35"/>
        <v/>
      </c>
      <c r="M257" s="38" t="str">
        <f t="shared" si="38"/>
        <v>0100</v>
      </c>
      <c r="N257" s="69">
        <f t="shared" si="37"/>
        <v>256</v>
      </c>
      <c r="O257" s="95"/>
      <c r="P257" s="96"/>
      <c r="Q257" s="97"/>
      <c r="R257" s="149"/>
      <c r="S257" s="153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2"/>
      <c r="AD257" s="143"/>
      <c r="AE257" s="143"/>
      <c r="AF257" s="143"/>
      <c r="AG257" s="143"/>
      <c r="AH257" s="143"/>
      <c r="AI257" s="143"/>
      <c r="AJ257" s="144"/>
    </row>
    <row r="258" spans="11:36">
      <c r="K258" s="85"/>
      <c r="L258" s="54" t="str">
        <f t="shared" si="35"/>
        <v/>
      </c>
      <c r="M258" s="38" t="str">
        <f t="shared" si="38"/>
        <v>0100</v>
      </c>
      <c r="N258" s="69">
        <f t="shared" si="37"/>
        <v>256</v>
      </c>
      <c r="O258" s="95"/>
      <c r="P258" s="96"/>
      <c r="Q258" s="97"/>
      <c r="R258" s="149"/>
      <c r="S258" s="153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2"/>
      <c r="AD258" s="143"/>
      <c r="AE258" s="143"/>
      <c r="AF258" s="143"/>
      <c r="AG258" s="143"/>
      <c r="AH258" s="143"/>
      <c r="AI258" s="143"/>
      <c r="AJ258" s="144"/>
    </row>
    <row r="259" spans="11:36">
      <c r="K259" s="85"/>
      <c r="L259" s="54" t="str">
        <f t="shared" si="35"/>
        <v/>
      </c>
      <c r="M259" s="38" t="str">
        <f t="shared" si="38"/>
        <v>0100</v>
      </c>
      <c r="N259" s="69">
        <f t="shared" si="37"/>
        <v>256</v>
      </c>
      <c r="O259" s="95"/>
      <c r="P259" s="96"/>
      <c r="Q259" s="97"/>
      <c r="R259" s="149"/>
      <c r="S259" s="153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2"/>
      <c r="AD259" s="143"/>
      <c r="AE259" s="143"/>
      <c r="AF259" s="143"/>
      <c r="AG259" s="143"/>
      <c r="AH259" s="143"/>
      <c r="AI259" s="143"/>
      <c r="AJ259" s="144"/>
    </row>
    <row r="260" spans="11:36">
      <c r="K260" s="85"/>
      <c r="L260" s="54" t="str">
        <f t="shared" si="35"/>
        <v/>
      </c>
      <c r="M260" s="38" t="str">
        <f t="shared" si="38"/>
        <v>0100</v>
      </c>
      <c r="N260" s="69">
        <f t="shared" si="37"/>
        <v>256</v>
      </c>
      <c r="O260" s="95"/>
      <c r="P260" s="96"/>
      <c r="Q260" s="97"/>
      <c r="R260" s="149"/>
      <c r="S260" s="153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2"/>
      <c r="AD260" s="143"/>
      <c r="AE260" s="143"/>
      <c r="AF260" s="143"/>
      <c r="AG260" s="143"/>
      <c r="AH260" s="143"/>
      <c r="AI260" s="143"/>
      <c r="AJ260" s="144"/>
    </row>
    <row r="261" spans="11:36">
      <c r="K261" s="85"/>
      <c r="L261" s="54" t="str">
        <f t="shared" si="35"/>
        <v/>
      </c>
      <c r="M261" s="38" t="str">
        <f t="shared" si="38"/>
        <v>0100</v>
      </c>
      <c r="N261" s="69">
        <f t="shared" si="37"/>
        <v>256</v>
      </c>
      <c r="O261" s="95"/>
      <c r="P261" s="96"/>
      <c r="Q261" s="97"/>
      <c r="R261" s="149"/>
      <c r="S261" s="153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2"/>
      <c r="AD261" s="143"/>
      <c r="AE261" s="143"/>
      <c r="AF261" s="143"/>
      <c r="AG261" s="143"/>
      <c r="AH261" s="143"/>
      <c r="AI261" s="143"/>
      <c r="AJ261" s="144"/>
    </row>
    <row r="262" spans="11:36">
      <c r="K262" s="85"/>
      <c r="L262" s="54" t="str">
        <f t="shared" si="35"/>
        <v/>
      </c>
      <c r="M262" s="38" t="str">
        <f t="shared" si="38"/>
        <v>0100</v>
      </c>
      <c r="N262" s="69">
        <f t="shared" si="37"/>
        <v>256</v>
      </c>
      <c r="O262" s="95"/>
      <c r="P262" s="96"/>
      <c r="Q262" s="97"/>
      <c r="R262" s="149"/>
      <c r="S262" s="153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2"/>
      <c r="AD262" s="143"/>
      <c r="AE262" s="143"/>
      <c r="AF262" s="143"/>
      <c r="AG262" s="143"/>
      <c r="AH262" s="143"/>
      <c r="AI262" s="143"/>
      <c r="AJ262" s="144"/>
    </row>
    <row r="263" spans="11:36">
      <c r="K263" s="85"/>
      <c r="L263" s="54" t="str">
        <f t="shared" si="35"/>
        <v/>
      </c>
      <c r="M263" s="38" t="str">
        <f t="shared" si="38"/>
        <v>0100</v>
      </c>
      <c r="N263" s="69">
        <f t="shared" si="37"/>
        <v>256</v>
      </c>
      <c r="O263" s="95"/>
      <c r="P263" s="96"/>
      <c r="Q263" s="97"/>
      <c r="R263" s="149"/>
      <c r="S263" s="153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2"/>
      <c r="AD263" s="143"/>
      <c r="AE263" s="143"/>
      <c r="AF263" s="143"/>
      <c r="AG263" s="143"/>
      <c r="AH263" s="143"/>
      <c r="AI263" s="143"/>
      <c r="AJ263" s="144"/>
    </row>
    <row r="264" spans="11:36">
      <c r="K264" s="85"/>
      <c r="L264" s="54" t="str">
        <f t="shared" si="35"/>
        <v/>
      </c>
      <c r="M264" s="38" t="str">
        <f t="shared" si="38"/>
        <v>0100</v>
      </c>
      <c r="N264" s="69">
        <f t="shared" si="37"/>
        <v>256</v>
      </c>
      <c r="O264" s="95"/>
      <c r="P264" s="96"/>
      <c r="Q264" s="97"/>
      <c r="R264" s="149"/>
      <c r="S264" s="153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2"/>
      <c r="AD264" s="143"/>
      <c r="AE264" s="143"/>
      <c r="AF264" s="143"/>
      <c r="AG264" s="143"/>
      <c r="AH264" s="143"/>
      <c r="AI264" s="143"/>
      <c r="AJ264" s="144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0100</v>
      </c>
      <c r="N265" s="69">
        <f t="shared" si="37"/>
        <v>256</v>
      </c>
      <c r="O265" s="95"/>
      <c r="P265" s="96"/>
      <c r="Q265" s="97"/>
      <c r="R265" s="149"/>
      <c r="S265" s="153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2"/>
      <c r="AD265" s="143"/>
      <c r="AE265" s="143"/>
      <c r="AF265" s="143"/>
      <c r="AG265" s="143"/>
      <c r="AH265" s="143"/>
      <c r="AI265" s="143"/>
      <c r="AJ265" s="144"/>
    </row>
    <row r="266" spans="11:36">
      <c r="K266" s="85"/>
      <c r="L266" s="54" t="str">
        <f t="shared" si="39"/>
        <v/>
      </c>
      <c r="M266" s="38" t="str">
        <f t="shared" si="38"/>
        <v>0100</v>
      </c>
      <c r="N266" s="69">
        <f t="shared" ref="N266:N329" si="41">N265+S265</f>
        <v>256</v>
      </c>
      <c r="O266" s="95"/>
      <c r="P266" s="96"/>
      <c r="Q266" s="97"/>
      <c r="R266" s="149"/>
      <c r="S266" s="153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2"/>
      <c r="AD266" s="143"/>
      <c r="AE266" s="143"/>
      <c r="AF266" s="143"/>
      <c r="AG266" s="143"/>
      <c r="AH266" s="143"/>
      <c r="AI266" s="143"/>
      <c r="AJ266" s="144"/>
    </row>
    <row r="267" spans="11:36">
      <c r="K267" s="85"/>
      <c r="L267" s="54" t="str">
        <f t="shared" si="39"/>
        <v/>
      </c>
      <c r="M267" s="38" t="str">
        <f t="shared" si="38"/>
        <v>0100</v>
      </c>
      <c r="N267" s="69">
        <f t="shared" si="41"/>
        <v>256</v>
      </c>
      <c r="O267" s="95"/>
      <c r="P267" s="96"/>
      <c r="Q267" s="97"/>
      <c r="R267" s="149"/>
      <c r="S267" s="153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2"/>
      <c r="AD267" s="143"/>
      <c r="AE267" s="143"/>
      <c r="AF267" s="143"/>
      <c r="AG267" s="143"/>
      <c r="AH267" s="143"/>
      <c r="AI267" s="143"/>
      <c r="AJ267" s="144"/>
    </row>
    <row r="268" spans="11:36">
      <c r="K268" s="85"/>
      <c r="L268" s="54" t="str">
        <f t="shared" si="39"/>
        <v/>
      </c>
      <c r="M268" s="38" t="str">
        <f t="shared" si="38"/>
        <v>0100</v>
      </c>
      <c r="N268" s="69">
        <f t="shared" si="41"/>
        <v>256</v>
      </c>
      <c r="O268" s="95"/>
      <c r="P268" s="96"/>
      <c r="Q268" s="97"/>
      <c r="R268" s="149"/>
      <c r="S268" s="153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2"/>
      <c r="AD268" s="143"/>
      <c r="AE268" s="143"/>
      <c r="AF268" s="143"/>
      <c r="AG268" s="143"/>
      <c r="AH268" s="143"/>
      <c r="AI268" s="143"/>
      <c r="AJ268" s="144"/>
    </row>
    <row r="269" spans="11:36">
      <c r="K269" s="85"/>
      <c r="L269" s="54" t="str">
        <f t="shared" si="39"/>
        <v/>
      </c>
      <c r="M269" s="38" t="str">
        <f t="shared" si="38"/>
        <v>0100</v>
      </c>
      <c r="N269" s="69">
        <f t="shared" si="41"/>
        <v>256</v>
      </c>
      <c r="O269" s="95"/>
      <c r="P269" s="96"/>
      <c r="Q269" s="97"/>
      <c r="R269" s="149"/>
      <c r="S269" s="153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2"/>
      <c r="AD269" s="143"/>
      <c r="AE269" s="143"/>
      <c r="AF269" s="143"/>
      <c r="AG269" s="143"/>
      <c r="AH269" s="143"/>
      <c r="AI269" s="143"/>
      <c r="AJ269" s="144"/>
    </row>
    <row r="270" spans="11:36">
      <c r="K270" s="85"/>
      <c r="L270" s="54" t="str">
        <f t="shared" si="39"/>
        <v/>
      </c>
      <c r="M270" s="38" t="str">
        <f t="shared" si="38"/>
        <v>0100</v>
      </c>
      <c r="N270" s="69">
        <f t="shared" si="41"/>
        <v>256</v>
      </c>
      <c r="O270" s="95"/>
      <c r="P270" s="96"/>
      <c r="Q270" s="97"/>
      <c r="R270" s="149"/>
      <c r="S270" s="153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2"/>
      <c r="AD270" s="143"/>
      <c r="AE270" s="143"/>
      <c r="AF270" s="143"/>
      <c r="AG270" s="143"/>
      <c r="AH270" s="143"/>
      <c r="AI270" s="143"/>
      <c r="AJ270" s="144"/>
    </row>
    <row r="271" spans="11:36">
      <c r="K271" s="85"/>
      <c r="L271" s="54" t="str">
        <f t="shared" si="39"/>
        <v/>
      </c>
      <c r="M271" s="38" t="str">
        <f t="shared" si="38"/>
        <v>0100</v>
      </c>
      <c r="N271" s="69">
        <f t="shared" si="41"/>
        <v>256</v>
      </c>
      <c r="O271" s="95"/>
      <c r="P271" s="96"/>
      <c r="Q271" s="97"/>
      <c r="R271" s="149"/>
      <c r="S271" s="153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2"/>
      <c r="AD271" s="143"/>
      <c r="AE271" s="143"/>
      <c r="AF271" s="143"/>
      <c r="AG271" s="143"/>
      <c r="AH271" s="143"/>
      <c r="AI271" s="143"/>
      <c r="AJ271" s="144"/>
    </row>
    <row r="272" spans="11:36">
      <c r="K272" s="85"/>
      <c r="L272" s="54" t="str">
        <f t="shared" si="39"/>
        <v/>
      </c>
      <c r="M272" s="38" t="str">
        <f t="shared" si="38"/>
        <v>0100</v>
      </c>
      <c r="N272" s="69">
        <f t="shared" si="41"/>
        <v>256</v>
      </c>
      <c r="O272" s="95"/>
      <c r="P272" s="96"/>
      <c r="Q272" s="97"/>
      <c r="R272" s="149"/>
      <c r="S272" s="153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2"/>
      <c r="AD272" s="143"/>
      <c r="AE272" s="143"/>
      <c r="AF272" s="143"/>
      <c r="AG272" s="143"/>
      <c r="AH272" s="143"/>
      <c r="AI272" s="143"/>
      <c r="AJ272" s="144"/>
    </row>
    <row r="273" spans="11:36">
      <c r="K273" s="85"/>
      <c r="L273" s="54" t="str">
        <f t="shared" si="39"/>
        <v/>
      </c>
      <c r="M273" s="38" t="str">
        <f t="shared" si="38"/>
        <v>0100</v>
      </c>
      <c r="N273" s="69">
        <f t="shared" si="41"/>
        <v>256</v>
      </c>
      <c r="O273" s="95"/>
      <c r="P273" s="96"/>
      <c r="Q273" s="97"/>
      <c r="R273" s="149"/>
      <c r="S273" s="153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2"/>
      <c r="AD273" s="143"/>
      <c r="AE273" s="143"/>
      <c r="AF273" s="143"/>
      <c r="AG273" s="143"/>
      <c r="AH273" s="143"/>
      <c r="AI273" s="143"/>
      <c r="AJ273" s="144"/>
    </row>
    <row r="274" spans="11:36">
      <c r="K274" s="85"/>
      <c r="L274" s="54" t="str">
        <f t="shared" si="39"/>
        <v/>
      </c>
      <c r="M274" s="38" t="str">
        <f t="shared" si="38"/>
        <v>0100</v>
      </c>
      <c r="N274" s="69">
        <f t="shared" si="41"/>
        <v>256</v>
      </c>
      <c r="O274" s="95"/>
      <c r="P274" s="96"/>
      <c r="Q274" s="97"/>
      <c r="R274" s="149"/>
      <c r="S274" s="153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2"/>
      <c r="AD274" s="143"/>
      <c r="AE274" s="143"/>
      <c r="AF274" s="143"/>
      <c r="AG274" s="143"/>
      <c r="AH274" s="143"/>
      <c r="AI274" s="143"/>
      <c r="AJ274" s="144"/>
    </row>
    <row r="275" spans="11:36">
      <c r="K275" s="85"/>
      <c r="L275" s="54" t="str">
        <f t="shared" si="39"/>
        <v/>
      </c>
      <c r="M275" s="38" t="str">
        <f t="shared" si="38"/>
        <v>0100</v>
      </c>
      <c r="N275" s="69">
        <f t="shared" si="41"/>
        <v>256</v>
      </c>
      <c r="O275" s="95"/>
      <c r="P275" s="96"/>
      <c r="Q275" s="97"/>
      <c r="R275" s="149"/>
      <c r="S275" s="153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2"/>
      <c r="AD275" s="143"/>
      <c r="AE275" s="143"/>
      <c r="AF275" s="143"/>
      <c r="AG275" s="143"/>
      <c r="AH275" s="143"/>
      <c r="AI275" s="143"/>
      <c r="AJ275" s="144"/>
    </row>
    <row r="276" spans="11:36">
      <c r="K276" s="85"/>
      <c r="L276" s="54" t="str">
        <f t="shared" si="39"/>
        <v/>
      </c>
      <c r="M276" s="38" t="str">
        <f t="shared" si="38"/>
        <v>0100</v>
      </c>
      <c r="N276" s="69">
        <f t="shared" si="41"/>
        <v>256</v>
      </c>
      <c r="O276" s="95"/>
      <c r="P276" s="96"/>
      <c r="Q276" s="97"/>
      <c r="R276" s="149"/>
      <c r="S276" s="153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2"/>
      <c r="AD276" s="143"/>
      <c r="AE276" s="143"/>
      <c r="AF276" s="143"/>
      <c r="AG276" s="143"/>
      <c r="AH276" s="143"/>
      <c r="AI276" s="143"/>
      <c r="AJ276" s="144"/>
    </row>
    <row r="277" spans="11:36">
      <c r="K277" s="85"/>
      <c r="L277" s="54" t="str">
        <f t="shared" si="39"/>
        <v/>
      </c>
      <c r="M277" s="38" t="str">
        <f t="shared" si="38"/>
        <v>0100</v>
      </c>
      <c r="N277" s="69">
        <f t="shared" si="41"/>
        <v>256</v>
      </c>
      <c r="O277" s="95"/>
      <c r="P277" s="96"/>
      <c r="Q277" s="97"/>
      <c r="R277" s="149"/>
      <c r="S277" s="153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2"/>
      <c r="AD277" s="143"/>
      <c r="AE277" s="143"/>
      <c r="AF277" s="143"/>
      <c r="AG277" s="143"/>
      <c r="AH277" s="143"/>
      <c r="AI277" s="143"/>
      <c r="AJ277" s="144"/>
    </row>
    <row r="278" spans="11:36">
      <c r="K278" s="85"/>
      <c r="L278" s="54" t="str">
        <f t="shared" si="39"/>
        <v/>
      </c>
      <c r="M278" s="38" t="str">
        <f t="shared" si="38"/>
        <v>0100</v>
      </c>
      <c r="N278" s="69">
        <f t="shared" si="41"/>
        <v>256</v>
      </c>
      <c r="O278" s="95"/>
      <c r="P278" s="96"/>
      <c r="Q278" s="97"/>
      <c r="R278" s="149"/>
      <c r="S278" s="153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2"/>
      <c r="AD278" s="143"/>
      <c r="AE278" s="143"/>
      <c r="AF278" s="143"/>
      <c r="AG278" s="143"/>
      <c r="AH278" s="143"/>
      <c r="AI278" s="143"/>
      <c r="AJ278" s="144"/>
    </row>
    <row r="279" spans="11:36">
      <c r="K279" s="85"/>
      <c r="L279" s="54" t="str">
        <f t="shared" si="39"/>
        <v/>
      </c>
      <c r="M279" s="38" t="str">
        <f t="shared" si="38"/>
        <v>0100</v>
      </c>
      <c r="N279" s="69">
        <f t="shared" si="41"/>
        <v>256</v>
      </c>
      <c r="O279" s="95"/>
      <c r="P279" s="96"/>
      <c r="Q279" s="97"/>
      <c r="R279" s="149"/>
      <c r="S279" s="153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2"/>
      <c r="AD279" s="143"/>
      <c r="AE279" s="143"/>
      <c r="AF279" s="143"/>
      <c r="AG279" s="143"/>
      <c r="AH279" s="143"/>
      <c r="AI279" s="143"/>
      <c r="AJ279" s="144"/>
    </row>
    <row r="280" spans="11:36">
      <c r="K280" s="85"/>
      <c r="L280" s="54" t="str">
        <f t="shared" si="39"/>
        <v/>
      </c>
      <c r="M280" s="38" t="str">
        <f t="shared" si="38"/>
        <v>0100</v>
      </c>
      <c r="N280" s="69">
        <f t="shared" si="41"/>
        <v>256</v>
      </c>
      <c r="O280" s="95"/>
      <c r="P280" s="96"/>
      <c r="Q280" s="97"/>
      <c r="R280" s="149"/>
      <c r="S280" s="153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2"/>
      <c r="AD280" s="143"/>
      <c r="AE280" s="143"/>
      <c r="AF280" s="143"/>
      <c r="AG280" s="143"/>
      <c r="AH280" s="143"/>
      <c r="AI280" s="143"/>
      <c r="AJ280" s="144"/>
    </row>
    <row r="281" spans="11:36">
      <c r="K281" s="85"/>
      <c r="L281" s="54" t="str">
        <f t="shared" si="39"/>
        <v/>
      </c>
      <c r="M281" s="38" t="str">
        <f t="shared" si="38"/>
        <v>0100</v>
      </c>
      <c r="N281" s="69">
        <f t="shared" si="41"/>
        <v>256</v>
      </c>
      <c r="O281" s="95"/>
      <c r="P281" s="96"/>
      <c r="Q281" s="97"/>
      <c r="R281" s="149"/>
      <c r="S281" s="153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2"/>
      <c r="AD281" s="143"/>
      <c r="AE281" s="143"/>
      <c r="AF281" s="143"/>
      <c r="AG281" s="143"/>
      <c r="AH281" s="143"/>
      <c r="AI281" s="143"/>
      <c r="AJ281" s="144"/>
    </row>
    <row r="282" spans="11:36">
      <c r="K282" s="85"/>
      <c r="L282" s="54" t="str">
        <f t="shared" si="39"/>
        <v/>
      </c>
      <c r="M282" s="38" t="str">
        <f t="shared" si="38"/>
        <v>0100</v>
      </c>
      <c r="N282" s="69">
        <f t="shared" si="41"/>
        <v>256</v>
      </c>
      <c r="O282" s="95"/>
      <c r="P282" s="96"/>
      <c r="Q282" s="97"/>
      <c r="R282" s="149"/>
      <c r="S282" s="153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2"/>
      <c r="AD282" s="143"/>
      <c r="AE282" s="143"/>
      <c r="AF282" s="143"/>
      <c r="AG282" s="143"/>
      <c r="AH282" s="143"/>
      <c r="AI282" s="143"/>
      <c r="AJ282" s="144"/>
    </row>
    <row r="283" spans="11:36">
      <c r="K283" s="85"/>
      <c r="L283" s="54" t="str">
        <f t="shared" si="39"/>
        <v/>
      </c>
      <c r="M283" s="38" t="str">
        <f t="shared" si="38"/>
        <v>0100</v>
      </c>
      <c r="N283" s="69">
        <f t="shared" si="41"/>
        <v>256</v>
      </c>
      <c r="O283" s="95"/>
      <c r="P283" s="96"/>
      <c r="Q283" s="97"/>
      <c r="R283" s="149"/>
      <c r="S283" s="153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2"/>
      <c r="AD283" s="143"/>
      <c r="AE283" s="143"/>
      <c r="AF283" s="143"/>
      <c r="AG283" s="143"/>
      <c r="AH283" s="143"/>
      <c r="AI283" s="143"/>
      <c r="AJ283" s="144"/>
    </row>
    <row r="284" spans="11:36">
      <c r="K284" s="85"/>
      <c r="L284" s="54" t="str">
        <f t="shared" si="39"/>
        <v/>
      </c>
      <c r="M284" s="38" t="str">
        <f t="shared" si="38"/>
        <v>0100</v>
      </c>
      <c r="N284" s="69">
        <f t="shared" si="41"/>
        <v>256</v>
      </c>
      <c r="O284" s="95"/>
      <c r="P284" s="96"/>
      <c r="Q284" s="97"/>
      <c r="R284" s="149"/>
      <c r="S284" s="153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2"/>
      <c r="AD284" s="143"/>
      <c r="AE284" s="143"/>
      <c r="AF284" s="143"/>
      <c r="AG284" s="143"/>
      <c r="AH284" s="143"/>
      <c r="AI284" s="143"/>
      <c r="AJ284" s="144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0100</v>
      </c>
      <c r="N285" s="69">
        <f t="shared" si="41"/>
        <v>256</v>
      </c>
      <c r="O285" s="95"/>
      <c r="P285" s="96"/>
      <c r="Q285" s="97"/>
      <c r="R285" s="149"/>
      <c r="S285" s="153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2"/>
      <c r="AD285" s="143"/>
      <c r="AE285" s="143"/>
      <c r="AF285" s="143"/>
      <c r="AG285" s="143"/>
      <c r="AH285" s="143"/>
      <c r="AI285" s="143"/>
      <c r="AJ285" s="144"/>
    </row>
    <row r="286" spans="11:36">
      <c r="K286" s="85"/>
      <c r="L286" s="54" t="str">
        <f t="shared" si="39"/>
        <v/>
      </c>
      <c r="M286" s="38" t="str">
        <f t="shared" si="42"/>
        <v>0100</v>
      </c>
      <c r="N286" s="69">
        <f t="shared" si="41"/>
        <v>256</v>
      </c>
      <c r="O286" s="95"/>
      <c r="P286" s="96"/>
      <c r="Q286" s="97"/>
      <c r="R286" s="149"/>
      <c r="S286" s="153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2"/>
      <c r="AD286" s="143"/>
      <c r="AE286" s="143"/>
      <c r="AF286" s="143"/>
      <c r="AG286" s="143"/>
      <c r="AH286" s="143"/>
      <c r="AI286" s="143"/>
      <c r="AJ286" s="144"/>
    </row>
    <row r="287" spans="11:36">
      <c r="K287" s="85"/>
      <c r="L287" s="54" t="str">
        <f t="shared" si="39"/>
        <v/>
      </c>
      <c r="M287" s="38" t="str">
        <f t="shared" si="42"/>
        <v>0100</v>
      </c>
      <c r="N287" s="69">
        <f t="shared" si="41"/>
        <v>256</v>
      </c>
      <c r="O287" s="95"/>
      <c r="P287" s="96"/>
      <c r="Q287" s="97"/>
      <c r="R287" s="149"/>
      <c r="S287" s="153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2"/>
      <c r="AD287" s="143"/>
      <c r="AE287" s="143"/>
      <c r="AF287" s="143"/>
      <c r="AG287" s="143"/>
      <c r="AH287" s="143"/>
      <c r="AI287" s="143"/>
      <c r="AJ287" s="144"/>
    </row>
    <row r="288" spans="11:36">
      <c r="K288" s="85"/>
      <c r="L288" s="54" t="str">
        <f t="shared" si="39"/>
        <v/>
      </c>
      <c r="M288" s="38" t="str">
        <f t="shared" si="42"/>
        <v>0100</v>
      </c>
      <c r="N288" s="69">
        <f t="shared" si="41"/>
        <v>256</v>
      </c>
      <c r="O288" s="95"/>
      <c r="P288" s="96"/>
      <c r="Q288" s="97"/>
      <c r="R288" s="149"/>
      <c r="S288" s="153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2"/>
      <c r="AD288" s="143"/>
      <c r="AE288" s="143"/>
      <c r="AF288" s="143"/>
      <c r="AG288" s="143"/>
      <c r="AH288" s="143"/>
      <c r="AI288" s="143"/>
      <c r="AJ288" s="144"/>
    </row>
    <row r="289" spans="11:36">
      <c r="K289" s="85"/>
      <c r="L289" s="54" t="str">
        <f t="shared" si="39"/>
        <v/>
      </c>
      <c r="M289" s="38" t="str">
        <f t="shared" si="42"/>
        <v>0100</v>
      </c>
      <c r="N289" s="69">
        <f t="shared" si="41"/>
        <v>256</v>
      </c>
      <c r="O289" s="95"/>
      <c r="P289" s="96"/>
      <c r="Q289" s="97"/>
      <c r="R289" s="149"/>
      <c r="S289" s="153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2"/>
      <c r="AD289" s="143"/>
      <c r="AE289" s="143"/>
      <c r="AF289" s="143"/>
      <c r="AG289" s="143"/>
      <c r="AH289" s="143"/>
      <c r="AI289" s="143"/>
      <c r="AJ289" s="144"/>
    </row>
    <row r="290" spans="11:36">
      <c r="K290" s="85"/>
      <c r="L290" s="54" t="str">
        <f t="shared" si="39"/>
        <v/>
      </c>
      <c r="M290" s="38" t="str">
        <f t="shared" si="42"/>
        <v>0100</v>
      </c>
      <c r="N290" s="69">
        <f t="shared" si="41"/>
        <v>256</v>
      </c>
      <c r="O290" s="95"/>
      <c r="P290" s="96"/>
      <c r="Q290" s="97"/>
      <c r="R290" s="149"/>
      <c r="S290" s="153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2"/>
      <c r="AD290" s="143"/>
      <c r="AE290" s="143"/>
      <c r="AF290" s="143"/>
      <c r="AG290" s="143"/>
      <c r="AH290" s="143"/>
      <c r="AI290" s="143"/>
      <c r="AJ290" s="144"/>
    </row>
    <row r="291" spans="11:36">
      <c r="K291" s="85"/>
      <c r="L291" s="54" t="str">
        <f t="shared" si="39"/>
        <v/>
      </c>
      <c r="M291" s="38" t="str">
        <f t="shared" si="42"/>
        <v>0100</v>
      </c>
      <c r="N291" s="69">
        <f t="shared" si="41"/>
        <v>256</v>
      </c>
      <c r="O291" s="95"/>
      <c r="P291" s="96"/>
      <c r="Q291" s="97"/>
      <c r="R291" s="149"/>
      <c r="S291" s="153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2"/>
      <c r="AD291" s="143"/>
      <c r="AE291" s="143"/>
      <c r="AF291" s="143"/>
      <c r="AG291" s="143"/>
      <c r="AH291" s="143"/>
      <c r="AI291" s="143"/>
      <c r="AJ291" s="144"/>
    </row>
    <row r="292" spans="11:36">
      <c r="K292" s="85"/>
      <c r="L292" s="54" t="str">
        <f t="shared" si="39"/>
        <v/>
      </c>
      <c r="M292" s="38" t="str">
        <f t="shared" si="42"/>
        <v>0100</v>
      </c>
      <c r="N292" s="69">
        <f t="shared" si="41"/>
        <v>256</v>
      </c>
      <c r="O292" s="95"/>
      <c r="P292" s="96"/>
      <c r="Q292" s="97"/>
      <c r="R292" s="149"/>
      <c r="S292" s="153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2"/>
      <c r="AD292" s="143"/>
      <c r="AE292" s="143"/>
      <c r="AF292" s="143"/>
      <c r="AG292" s="143"/>
      <c r="AH292" s="143"/>
      <c r="AI292" s="143"/>
      <c r="AJ292" s="144"/>
    </row>
    <row r="293" spans="11:36">
      <c r="K293" s="85"/>
      <c r="L293" s="54" t="str">
        <f t="shared" si="39"/>
        <v/>
      </c>
      <c r="M293" s="38" t="str">
        <f t="shared" si="42"/>
        <v>0100</v>
      </c>
      <c r="N293" s="69">
        <f t="shared" si="41"/>
        <v>256</v>
      </c>
      <c r="O293" s="95"/>
      <c r="P293" s="96"/>
      <c r="Q293" s="97"/>
      <c r="R293" s="149"/>
      <c r="S293" s="153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2"/>
      <c r="AD293" s="143"/>
      <c r="AE293" s="143"/>
      <c r="AF293" s="143"/>
      <c r="AG293" s="143"/>
      <c r="AH293" s="143"/>
      <c r="AI293" s="143"/>
      <c r="AJ293" s="144"/>
    </row>
    <row r="294" spans="11:36">
      <c r="K294" s="85"/>
      <c r="L294" s="54" t="str">
        <f t="shared" si="39"/>
        <v/>
      </c>
      <c r="M294" s="38" t="str">
        <f t="shared" si="42"/>
        <v>0100</v>
      </c>
      <c r="N294" s="69">
        <f t="shared" si="41"/>
        <v>256</v>
      </c>
      <c r="O294" s="95"/>
      <c r="P294" s="96"/>
      <c r="Q294" s="97"/>
      <c r="R294" s="149"/>
      <c r="S294" s="153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2"/>
      <c r="AD294" s="143"/>
      <c r="AE294" s="143"/>
      <c r="AF294" s="143"/>
      <c r="AG294" s="143"/>
      <c r="AH294" s="143"/>
      <c r="AI294" s="143"/>
      <c r="AJ294" s="144"/>
    </row>
    <row r="295" spans="11:36">
      <c r="K295" s="85"/>
      <c r="L295" s="54" t="str">
        <f t="shared" si="39"/>
        <v/>
      </c>
      <c r="M295" s="38" t="str">
        <f t="shared" si="42"/>
        <v>0100</v>
      </c>
      <c r="N295" s="69">
        <f t="shared" si="41"/>
        <v>256</v>
      </c>
      <c r="O295" s="95"/>
      <c r="P295" s="96"/>
      <c r="Q295" s="97"/>
      <c r="R295" s="149"/>
      <c r="S295" s="153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2"/>
      <c r="AD295" s="143"/>
      <c r="AE295" s="143"/>
      <c r="AF295" s="143"/>
      <c r="AG295" s="143"/>
      <c r="AH295" s="143"/>
      <c r="AI295" s="143"/>
      <c r="AJ295" s="144"/>
    </row>
    <row r="296" spans="11:36">
      <c r="K296" s="85"/>
      <c r="L296" s="54" t="str">
        <f t="shared" si="39"/>
        <v/>
      </c>
      <c r="M296" s="38" t="str">
        <f t="shared" si="42"/>
        <v>0100</v>
      </c>
      <c r="N296" s="69">
        <f t="shared" si="41"/>
        <v>256</v>
      </c>
      <c r="O296" s="95"/>
      <c r="P296" s="96"/>
      <c r="Q296" s="97"/>
      <c r="R296" s="149"/>
      <c r="S296" s="153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2"/>
      <c r="AD296" s="143"/>
      <c r="AE296" s="143"/>
      <c r="AF296" s="143"/>
      <c r="AG296" s="143"/>
      <c r="AH296" s="143"/>
      <c r="AI296" s="143"/>
      <c r="AJ296" s="144"/>
    </row>
    <row r="297" spans="11:36">
      <c r="K297" s="85"/>
      <c r="L297" s="54" t="str">
        <f t="shared" si="39"/>
        <v/>
      </c>
      <c r="M297" s="38" t="str">
        <f t="shared" si="42"/>
        <v>0100</v>
      </c>
      <c r="N297" s="69">
        <f t="shared" si="41"/>
        <v>256</v>
      </c>
      <c r="O297" s="95"/>
      <c r="P297" s="96"/>
      <c r="Q297" s="97"/>
      <c r="R297" s="149"/>
      <c r="S297" s="153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2"/>
      <c r="AD297" s="143"/>
      <c r="AE297" s="143"/>
      <c r="AF297" s="143"/>
      <c r="AG297" s="143"/>
      <c r="AH297" s="143"/>
      <c r="AI297" s="143"/>
      <c r="AJ297" s="144"/>
    </row>
    <row r="298" spans="11:36">
      <c r="K298" s="85"/>
      <c r="L298" s="54" t="str">
        <f t="shared" si="39"/>
        <v/>
      </c>
      <c r="M298" s="38" t="str">
        <f t="shared" si="42"/>
        <v>0100</v>
      </c>
      <c r="N298" s="69">
        <f t="shared" si="41"/>
        <v>256</v>
      </c>
      <c r="O298" s="95"/>
      <c r="P298" s="96"/>
      <c r="Q298" s="97"/>
      <c r="R298" s="149"/>
      <c r="S298" s="153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2"/>
      <c r="AD298" s="143"/>
      <c r="AE298" s="143"/>
      <c r="AF298" s="143"/>
      <c r="AG298" s="143"/>
      <c r="AH298" s="143"/>
      <c r="AI298" s="143"/>
      <c r="AJ298" s="144"/>
    </row>
    <row r="299" spans="11:36">
      <c r="K299" s="85"/>
      <c r="L299" s="54" t="str">
        <f t="shared" si="39"/>
        <v/>
      </c>
      <c r="M299" s="38" t="str">
        <f t="shared" si="42"/>
        <v>0100</v>
      </c>
      <c r="N299" s="69">
        <f t="shared" si="41"/>
        <v>256</v>
      </c>
      <c r="O299" s="95"/>
      <c r="P299" s="96"/>
      <c r="Q299" s="97"/>
      <c r="R299" s="149"/>
      <c r="S299" s="153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2"/>
      <c r="AD299" s="143"/>
      <c r="AE299" s="143"/>
      <c r="AF299" s="143"/>
      <c r="AG299" s="143"/>
      <c r="AH299" s="143"/>
      <c r="AI299" s="143"/>
      <c r="AJ299" s="144"/>
    </row>
    <row r="300" spans="11:36">
      <c r="K300" s="85"/>
      <c r="L300" s="54" t="str">
        <f t="shared" si="39"/>
        <v/>
      </c>
      <c r="M300" s="38" t="str">
        <f t="shared" si="42"/>
        <v>0100</v>
      </c>
      <c r="N300" s="69">
        <f t="shared" si="41"/>
        <v>256</v>
      </c>
      <c r="O300" s="95"/>
      <c r="P300" s="96"/>
      <c r="Q300" s="97"/>
      <c r="R300" s="149"/>
      <c r="S300" s="153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2"/>
      <c r="AD300" s="143"/>
      <c r="AE300" s="143"/>
      <c r="AF300" s="143"/>
      <c r="AG300" s="143"/>
      <c r="AH300" s="143"/>
      <c r="AI300" s="143"/>
      <c r="AJ300" s="144"/>
    </row>
    <row r="301" spans="11:36">
      <c r="K301" s="85"/>
      <c r="L301" s="54" t="str">
        <f t="shared" si="39"/>
        <v/>
      </c>
      <c r="M301" s="38" t="str">
        <f t="shared" si="42"/>
        <v>0100</v>
      </c>
      <c r="N301" s="69">
        <f t="shared" si="41"/>
        <v>256</v>
      </c>
      <c r="O301" s="95"/>
      <c r="P301" s="96"/>
      <c r="Q301" s="97"/>
      <c r="R301" s="149"/>
      <c r="S301" s="153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2"/>
      <c r="AD301" s="143"/>
      <c r="AE301" s="143"/>
      <c r="AF301" s="143"/>
      <c r="AG301" s="143"/>
      <c r="AH301" s="143"/>
      <c r="AI301" s="143"/>
      <c r="AJ301" s="144"/>
    </row>
    <row r="302" spans="11:36">
      <c r="K302" s="85"/>
      <c r="L302" s="54" t="str">
        <f t="shared" si="39"/>
        <v/>
      </c>
      <c r="M302" s="38" t="str">
        <f t="shared" si="42"/>
        <v>0100</v>
      </c>
      <c r="N302" s="69">
        <f t="shared" si="41"/>
        <v>256</v>
      </c>
      <c r="O302" s="95"/>
      <c r="P302" s="96"/>
      <c r="Q302" s="97"/>
      <c r="R302" s="149"/>
      <c r="S302" s="153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2"/>
      <c r="AD302" s="143"/>
      <c r="AE302" s="143"/>
      <c r="AF302" s="143"/>
      <c r="AG302" s="143"/>
      <c r="AH302" s="143"/>
      <c r="AI302" s="143"/>
      <c r="AJ302" s="144"/>
    </row>
    <row r="303" spans="11:36">
      <c r="K303" s="85"/>
      <c r="L303" s="54" t="str">
        <f t="shared" si="39"/>
        <v/>
      </c>
      <c r="M303" s="38" t="str">
        <f t="shared" si="42"/>
        <v>0100</v>
      </c>
      <c r="N303" s="69">
        <f t="shared" si="41"/>
        <v>256</v>
      </c>
      <c r="O303" s="95"/>
      <c r="P303" s="96"/>
      <c r="Q303" s="97"/>
      <c r="R303" s="149"/>
      <c r="S303" s="153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2"/>
      <c r="AD303" s="143"/>
      <c r="AE303" s="143"/>
      <c r="AF303" s="143"/>
      <c r="AG303" s="143"/>
      <c r="AH303" s="143"/>
      <c r="AI303" s="143"/>
      <c r="AJ303" s="144"/>
    </row>
    <row r="304" spans="11:36">
      <c r="K304" s="85"/>
      <c r="L304" s="54" t="str">
        <f t="shared" si="39"/>
        <v/>
      </c>
      <c r="M304" s="38" t="str">
        <f t="shared" si="42"/>
        <v>0100</v>
      </c>
      <c r="N304" s="69">
        <f t="shared" si="41"/>
        <v>256</v>
      </c>
      <c r="O304" s="95"/>
      <c r="P304" s="96"/>
      <c r="Q304" s="97"/>
      <c r="R304" s="149"/>
      <c r="S304" s="153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2"/>
      <c r="AD304" s="143"/>
      <c r="AE304" s="143"/>
      <c r="AF304" s="143"/>
      <c r="AG304" s="143"/>
      <c r="AH304" s="143"/>
      <c r="AI304" s="143"/>
      <c r="AJ304" s="144"/>
    </row>
    <row r="305" spans="11:36">
      <c r="K305" s="85"/>
      <c r="L305" s="54" t="str">
        <f t="shared" si="39"/>
        <v/>
      </c>
      <c r="M305" s="38" t="str">
        <f t="shared" si="42"/>
        <v>0100</v>
      </c>
      <c r="N305" s="69">
        <f t="shared" si="41"/>
        <v>256</v>
      </c>
      <c r="O305" s="95"/>
      <c r="P305" s="96"/>
      <c r="Q305" s="97"/>
      <c r="R305" s="149"/>
      <c r="S305" s="153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2"/>
      <c r="AD305" s="143"/>
      <c r="AE305" s="143"/>
      <c r="AF305" s="143"/>
      <c r="AG305" s="143"/>
      <c r="AH305" s="143"/>
      <c r="AI305" s="143"/>
      <c r="AJ305" s="144"/>
    </row>
    <row r="306" spans="11:36">
      <c r="K306" s="85"/>
      <c r="L306" s="54" t="str">
        <f t="shared" si="39"/>
        <v/>
      </c>
      <c r="M306" s="38" t="str">
        <f t="shared" si="42"/>
        <v>0100</v>
      </c>
      <c r="N306" s="69">
        <f t="shared" si="41"/>
        <v>256</v>
      </c>
      <c r="O306" s="95"/>
      <c r="P306" s="96"/>
      <c r="Q306" s="97"/>
      <c r="R306" s="149"/>
      <c r="S306" s="153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2"/>
      <c r="AD306" s="143"/>
      <c r="AE306" s="143"/>
      <c r="AF306" s="143"/>
      <c r="AG306" s="143"/>
      <c r="AH306" s="143"/>
      <c r="AI306" s="143"/>
      <c r="AJ306" s="144"/>
    </row>
    <row r="307" spans="11:36">
      <c r="K307" s="85"/>
      <c r="L307" s="54" t="str">
        <f t="shared" si="39"/>
        <v/>
      </c>
      <c r="M307" s="38" t="str">
        <f t="shared" si="42"/>
        <v>0100</v>
      </c>
      <c r="N307" s="69">
        <f t="shared" si="41"/>
        <v>256</v>
      </c>
      <c r="O307" s="95"/>
      <c r="P307" s="96"/>
      <c r="Q307" s="97"/>
      <c r="R307" s="149"/>
      <c r="S307" s="153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2"/>
      <c r="AD307" s="143"/>
      <c r="AE307" s="143"/>
      <c r="AF307" s="143"/>
      <c r="AG307" s="143"/>
      <c r="AH307" s="143"/>
      <c r="AI307" s="143"/>
      <c r="AJ307" s="144"/>
    </row>
    <row r="308" spans="11:36">
      <c r="K308" s="85"/>
      <c r="L308" s="54" t="str">
        <f t="shared" si="39"/>
        <v/>
      </c>
      <c r="M308" s="38" t="str">
        <f t="shared" si="42"/>
        <v>0100</v>
      </c>
      <c r="N308" s="69">
        <f t="shared" si="41"/>
        <v>256</v>
      </c>
      <c r="O308" s="95"/>
      <c r="P308" s="96"/>
      <c r="Q308" s="97"/>
      <c r="R308" s="149"/>
      <c r="S308" s="153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2"/>
      <c r="AD308" s="143"/>
      <c r="AE308" s="143"/>
      <c r="AF308" s="143"/>
      <c r="AG308" s="143"/>
      <c r="AH308" s="143"/>
      <c r="AI308" s="143"/>
      <c r="AJ308" s="144"/>
    </row>
    <row r="309" spans="11:36">
      <c r="K309" s="85"/>
      <c r="L309" s="54" t="str">
        <f t="shared" si="39"/>
        <v/>
      </c>
      <c r="M309" s="38" t="str">
        <f t="shared" si="42"/>
        <v>0100</v>
      </c>
      <c r="N309" s="69">
        <f t="shared" si="41"/>
        <v>256</v>
      </c>
      <c r="O309" s="95"/>
      <c r="P309" s="96"/>
      <c r="Q309" s="97"/>
      <c r="R309" s="149"/>
      <c r="S309" s="153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2"/>
      <c r="AD309" s="143"/>
      <c r="AE309" s="143"/>
      <c r="AF309" s="143"/>
      <c r="AG309" s="143"/>
      <c r="AH309" s="143"/>
      <c r="AI309" s="143"/>
      <c r="AJ309" s="144"/>
    </row>
    <row r="310" spans="11:36">
      <c r="K310" s="85"/>
      <c r="L310" s="54" t="str">
        <f t="shared" si="39"/>
        <v/>
      </c>
      <c r="M310" s="38" t="str">
        <f t="shared" si="42"/>
        <v>0100</v>
      </c>
      <c r="N310" s="69">
        <f t="shared" si="41"/>
        <v>256</v>
      </c>
      <c r="O310" s="95"/>
      <c r="P310" s="96"/>
      <c r="Q310" s="97"/>
      <c r="R310" s="149"/>
      <c r="S310" s="153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2"/>
      <c r="AD310" s="143"/>
      <c r="AE310" s="143"/>
      <c r="AF310" s="143"/>
      <c r="AG310" s="143"/>
      <c r="AH310" s="143"/>
      <c r="AI310" s="143"/>
      <c r="AJ310" s="144"/>
    </row>
    <row r="311" spans="11:36">
      <c r="K311" s="85"/>
      <c r="L311" s="54" t="str">
        <f t="shared" si="39"/>
        <v/>
      </c>
      <c r="M311" s="38" t="str">
        <f t="shared" si="42"/>
        <v>0100</v>
      </c>
      <c r="N311" s="69">
        <f t="shared" si="41"/>
        <v>256</v>
      </c>
      <c r="O311" s="95"/>
      <c r="P311" s="96"/>
      <c r="Q311" s="97"/>
      <c r="R311" s="149"/>
      <c r="S311" s="153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2"/>
      <c r="AD311" s="143"/>
      <c r="AE311" s="143"/>
      <c r="AF311" s="143"/>
      <c r="AG311" s="143"/>
      <c r="AH311" s="143"/>
      <c r="AI311" s="143"/>
      <c r="AJ311" s="144"/>
    </row>
    <row r="312" spans="11:36">
      <c r="K312" s="85"/>
      <c r="L312" s="54" t="str">
        <f t="shared" si="39"/>
        <v/>
      </c>
      <c r="M312" s="38" t="str">
        <f t="shared" si="42"/>
        <v>0100</v>
      </c>
      <c r="N312" s="69">
        <f t="shared" si="41"/>
        <v>256</v>
      </c>
      <c r="O312" s="95"/>
      <c r="P312" s="96"/>
      <c r="Q312" s="97"/>
      <c r="R312" s="149"/>
      <c r="S312" s="153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2"/>
      <c r="AD312" s="143"/>
      <c r="AE312" s="143"/>
      <c r="AF312" s="143"/>
      <c r="AG312" s="143"/>
      <c r="AH312" s="143"/>
      <c r="AI312" s="143"/>
      <c r="AJ312" s="144"/>
    </row>
    <row r="313" spans="11:36">
      <c r="K313" s="85"/>
      <c r="L313" s="54" t="str">
        <f t="shared" si="39"/>
        <v/>
      </c>
      <c r="M313" s="38" t="str">
        <f t="shared" si="42"/>
        <v>0100</v>
      </c>
      <c r="N313" s="69">
        <f t="shared" si="41"/>
        <v>256</v>
      </c>
      <c r="O313" s="95"/>
      <c r="P313" s="96"/>
      <c r="Q313" s="97"/>
      <c r="R313" s="149"/>
      <c r="S313" s="153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2"/>
      <c r="AD313" s="143"/>
      <c r="AE313" s="143"/>
      <c r="AF313" s="143"/>
      <c r="AG313" s="143"/>
      <c r="AH313" s="143"/>
      <c r="AI313" s="143"/>
      <c r="AJ313" s="144"/>
    </row>
    <row r="314" spans="11:36">
      <c r="K314" s="85"/>
      <c r="L314" s="54" t="str">
        <f t="shared" si="39"/>
        <v/>
      </c>
      <c r="M314" s="38" t="str">
        <f t="shared" si="42"/>
        <v>0100</v>
      </c>
      <c r="N314" s="69">
        <f t="shared" si="41"/>
        <v>256</v>
      </c>
      <c r="O314" s="95"/>
      <c r="P314" s="96"/>
      <c r="Q314" s="97"/>
      <c r="R314" s="149"/>
      <c r="S314" s="153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2"/>
      <c r="AD314" s="143"/>
      <c r="AE314" s="143"/>
      <c r="AF314" s="143"/>
      <c r="AG314" s="143"/>
      <c r="AH314" s="143"/>
      <c r="AI314" s="143"/>
      <c r="AJ314" s="144"/>
    </row>
    <row r="315" spans="11:36">
      <c r="K315" s="85"/>
      <c r="L315" s="54" t="str">
        <f t="shared" si="39"/>
        <v/>
      </c>
      <c r="M315" s="38" t="str">
        <f t="shared" si="42"/>
        <v>0100</v>
      </c>
      <c r="N315" s="69">
        <f t="shared" si="41"/>
        <v>256</v>
      </c>
      <c r="O315" s="95"/>
      <c r="P315" s="96"/>
      <c r="Q315" s="97"/>
      <c r="R315" s="149"/>
      <c r="S315" s="153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2"/>
      <c r="AD315" s="143"/>
      <c r="AE315" s="143"/>
      <c r="AF315" s="143"/>
      <c r="AG315" s="143"/>
      <c r="AH315" s="143"/>
      <c r="AI315" s="143"/>
      <c r="AJ315" s="144"/>
    </row>
    <row r="316" spans="11:36">
      <c r="K316" s="85"/>
      <c r="L316" s="54" t="str">
        <f t="shared" si="39"/>
        <v/>
      </c>
      <c r="M316" s="38" t="str">
        <f t="shared" si="42"/>
        <v>0100</v>
      </c>
      <c r="N316" s="69">
        <f t="shared" si="41"/>
        <v>256</v>
      </c>
      <c r="O316" s="95"/>
      <c r="P316" s="96"/>
      <c r="Q316" s="97"/>
      <c r="R316" s="149"/>
      <c r="S316" s="153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2"/>
      <c r="AD316" s="143"/>
      <c r="AE316" s="143"/>
      <c r="AF316" s="143"/>
      <c r="AG316" s="143"/>
      <c r="AH316" s="143"/>
      <c r="AI316" s="143"/>
      <c r="AJ316" s="144"/>
    </row>
    <row r="317" spans="11:36">
      <c r="K317" s="85"/>
      <c r="L317" s="54" t="str">
        <f t="shared" si="39"/>
        <v/>
      </c>
      <c r="M317" s="38" t="str">
        <f t="shared" si="42"/>
        <v>0100</v>
      </c>
      <c r="N317" s="69">
        <f t="shared" si="41"/>
        <v>256</v>
      </c>
      <c r="O317" s="95"/>
      <c r="P317" s="96"/>
      <c r="Q317" s="97"/>
      <c r="R317" s="149"/>
      <c r="S317" s="153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2"/>
      <c r="AD317" s="143"/>
      <c r="AE317" s="143"/>
      <c r="AF317" s="143"/>
      <c r="AG317" s="143"/>
      <c r="AH317" s="143"/>
      <c r="AI317" s="143"/>
      <c r="AJ317" s="144"/>
    </row>
    <row r="318" spans="11:36">
      <c r="K318" s="85"/>
      <c r="L318" s="54" t="str">
        <f t="shared" si="39"/>
        <v/>
      </c>
      <c r="M318" s="38" t="str">
        <f t="shared" si="42"/>
        <v>0100</v>
      </c>
      <c r="N318" s="69">
        <f t="shared" si="41"/>
        <v>256</v>
      </c>
      <c r="O318" s="95"/>
      <c r="P318" s="96"/>
      <c r="Q318" s="97"/>
      <c r="R318" s="149"/>
      <c r="S318" s="153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2"/>
      <c r="AD318" s="143"/>
      <c r="AE318" s="143"/>
      <c r="AF318" s="143"/>
      <c r="AG318" s="143"/>
      <c r="AH318" s="143"/>
      <c r="AI318" s="143"/>
      <c r="AJ318" s="144"/>
    </row>
    <row r="319" spans="11:36">
      <c r="K319" s="85"/>
      <c r="L319" s="54" t="str">
        <f t="shared" si="39"/>
        <v/>
      </c>
      <c r="M319" s="38" t="str">
        <f t="shared" si="42"/>
        <v>0100</v>
      </c>
      <c r="N319" s="69">
        <f t="shared" si="41"/>
        <v>256</v>
      </c>
      <c r="O319" s="95"/>
      <c r="P319" s="96"/>
      <c r="Q319" s="97"/>
      <c r="R319" s="149"/>
      <c r="S319" s="153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2"/>
      <c r="AD319" s="143"/>
      <c r="AE319" s="143"/>
      <c r="AF319" s="143"/>
      <c r="AG319" s="143"/>
      <c r="AH319" s="143"/>
      <c r="AI319" s="143"/>
      <c r="AJ319" s="144"/>
    </row>
    <row r="320" spans="11:36">
      <c r="K320" s="85"/>
      <c r="L320" s="54" t="str">
        <f t="shared" si="39"/>
        <v/>
      </c>
      <c r="M320" s="38" t="str">
        <f t="shared" si="42"/>
        <v>0100</v>
      </c>
      <c r="N320" s="69">
        <f t="shared" si="41"/>
        <v>256</v>
      </c>
      <c r="O320" s="95"/>
      <c r="P320" s="96"/>
      <c r="Q320" s="97"/>
      <c r="R320" s="149"/>
      <c r="S320" s="153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2"/>
      <c r="AD320" s="143"/>
      <c r="AE320" s="143"/>
      <c r="AF320" s="143"/>
      <c r="AG320" s="143"/>
      <c r="AH320" s="143"/>
      <c r="AI320" s="143"/>
      <c r="AJ320" s="144"/>
    </row>
    <row r="321" spans="11:36">
      <c r="K321" s="85"/>
      <c r="L321" s="54" t="str">
        <f t="shared" si="39"/>
        <v/>
      </c>
      <c r="M321" s="38" t="str">
        <f t="shared" si="42"/>
        <v>0100</v>
      </c>
      <c r="N321" s="69">
        <f t="shared" si="41"/>
        <v>256</v>
      </c>
      <c r="O321" s="95"/>
      <c r="P321" s="96"/>
      <c r="Q321" s="97"/>
      <c r="R321" s="149"/>
      <c r="S321" s="153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2"/>
      <c r="AD321" s="143"/>
      <c r="AE321" s="143"/>
      <c r="AF321" s="143"/>
      <c r="AG321" s="143"/>
      <c r="AH321" s="143"/>
      <c r="AI321" s="143"/>
      <c r="AJ321" s="144"/>
    </row>
    <row r="322" spans="11:36">
      <c r="K322" s="85"/>
      <c r="L322" s="54" t="str">
        <f t="shared" si="39"/>
        <v/>
      </c>
      <c r="M322" s="38" t="str">
        <f t="shared" si="42"/>
        <v>0100</v>
      </c>
      <c r="N322" s="69">
        <f t="shared" si="41"/>
        <v>256</v>
      </c>
      <c r="O322" s="95"/>
      <c r="P322" s="96"/>
      <c r="Q322" s="97"/>
      <c r="R322" s="149"/>
      <c r="S322" s="153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2"/>
      <c r="AD322" s="143"/>
      <c r="AE322" s="143"/>
      <c r="AF322" s="143"/>
      <c r="AG322" s="143"/>
      <c r="AH322" s="143"/>
      <c r="AI322" s="143"/>
      <c r="AJ322" s="144"/>
    </row>
    <row r="323" spans="11:36">
      <c r="K323" s="85"/>
      <c r="L323" s="54" t="str">
        <f t="shared" si="39"/>
        <v/>
      </c>
      <c r="M323" s="38" t="str">
        <f t="shared" si="42"/>
        <v>0100</v>
      </c>
      <c r="N323" s="69">
        <f t="shared" si="41"/>
        <v>256</v>
      </c>
      <c r="O323" s="95"/>
      <c r="P323" s="96"/>
      <c r="Q323" s="97"/>
      <c r="R323" s="149"/>
      <c r="S323" s="153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2"/>
      <c r="AD323" s="143"/>
      <c r="AE323" s="143"/>
      <c r="AF323" s="143"/>
      <c r="AG323" s="143"/>
      <c r="AH323" s="143"/>
      <c r="AI323" s="143"/>
      <c r="AJ323" s="144"/>
    </row>
    <row r="324" spans="11:36">
      <c r="K324" s="85"/>
      <c r="L324" s="54" t="str">
        <f t="shared" si="39"/>
        <v/>
      </c>
      <c r="M324" s="38" t="str">
        <f t="shared" si="42"/>
        <v>0100</v>
      </c>
      <c r="N324" s="69">
        <f t="shared" si="41"/>
        <v>256</v>
      </c>
      <c r="O324" s="95"/>
      <c r="P324" s="96"/>
      <c r="Q324" s="97"/>
      <c r="R324" s="149"/>
      <c r="S324" s="153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2"/>
      <c r="AD324" s="143"/>
      <c r="AE324" s="143"/>
      <c r="AF324" s="143"/>
      <c r="AG324" s="143"/>
      <c r="AH324" s="143"/>
      <c r="AI324" s="143"/>
      <c r="AJ324" s="144"/>
    </row>
    <row r="325" spans="11:36">
      <c r="K325" s="85"/>
      <c r="L325" s="54" t="str">
        <f t="shared" si="39"/>
        <v/>
      </c>
      <c r="M325" s="38" t="str">
        <f t="shared" si="42"/>
        <v>0100</v>
      </c>
      <c r="N325" s="69">
        <f t="shared" si="41"/>
        <v>256</v>
      </c>
      <c r="O325" s="95"/>
      <c r="P325" s="96"/>
      <c r="Q325" s="97"/>
      <c r="R325" s="149"/>
      <c r="S325" s="153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2"/>
      <c r="AD325" s="143"/>
      <c r="AE325" s="143"/>
      <c r="AF325" s="143"/>
      <c r="AG325" s="143"/>
      <c r="AH325" s="143"/>
      <c r="AI325" s="143"/>
      <c r="AJ325" s="144"/>
    </row>
    <row r="326" spans="11:36">
      <c r="K326" s="85"/>
      <c r="L326" s="54" t="str">
        <f t="shared" si="39"/>
        <v/>
      </c>
      <c r="M326" s="38" t="str">
        <f t="shared" si="42"/>
        <v>0100</v>
      </c>
      <c r="N326" s="69">
        <f t="shared" si="41"/>
        <v>256</v>
      </c>
      <c r="O326" s="95"/>
      <c r="P326" s="96"/>
      <c r="Q326" s="97"/>
      <c r="R326" s="149"/>
      <c r="S326" s="153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2"/>
      <c r="AD326" s="143"/>
      <c r="AE326" s="143"/>
      <c r="AF326" s="143"/>
      <c r="AG326" s="143"/>
      <c r="AH326" s="143"/>
      <c r="AI326" s="143"/>
      <c r="AJ326" s="144"/>
    </row>
    <row r="327" spans="11:36">
      <c r="K327" s="85"/>
      <c r="L327" s="54" t="str">
        <f t="shared" si="39"/>
        <v/>
      </c>
      <c r="M327" s="38" t="str">
        <f t="shared" si="42"/>
        <v>0100</v>
      </c>
      <c r="N327" s="69">
        <f t="shared" si="41"/>
        <v>256</v>
      </c>
      <c r="O327" s="95"/>
      <c r="P327" s="96"/>
      <c r="Q327" s="97"/>
      <c r="R327" s="149"/>
      <c r="S327" s="153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2"/>
      <c r="AD327" s="143"/>
      <c r="AE327" s="143"/>
      <c r="AF327" s="143"/>
      <c r="AG327" s="143"/>
      <c r="AH327" s="143"/>
      <c r="AI327" s="143"/>
      <c r="AJ327" s="144"/>
    </row>
    <row r="328" spans="11:36">
      <c r="K328" s="85"/>
      <c r="L328" s="54" t="str">
        <f t="shared" si="39"/>
        <v/>
      </c>
      <c r="M328" s="38" t="str">
        <f t="shared" si="42"/>
        <v>0100</v>
      </c>
      <c r="N328" s="69">
        <f t="shared" si="41"/>
        <v>256</v>
      </c>
      <c r="O328" s="95"/>
      <c r="P328" s="96"/>
      <c r="Q328" s="97"/>
      <c r="R328" s="149"/>
      <c r="S328" s="153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2"/>
      <c r="AD328" s="143"/>
      <c r="AE328" s="143"/>
      <c r="AF328" s="143"/>
      <c r="AG328" s="143"/>
      <c r="AH328" s="143"/>
      <c r="AI328" s="143"/>
      <c r="AJ328" s="144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0100</v>
      </c>
      <c r="N329" s="69">
        <f t="shared" si="41"/>
        <v>256</v>
      </c>
      <c r="O329" s="95"/>
      <c r="P329" s="96"/>
      <c r="Q329" s="97"/>
      <c r="R329" s="149"/>
      <c r="S329" s="153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2"/>
      <c r="AD329" s="143"/>
      <c r="AE329" s="143"/>
      <c r="AF329" s="143"/>
      <c r="AG329" s="143"/>
      <c r="AH329" s="143"/>
      <c r="AI329" s="143"/>
      <c r="AJ329" s="144"/>
    </row>
    <row r="330" spans="11:36">
      <c r="K330" s="85"/>
      <c r="L330" s="54" t="str">
        <f t="shared" si="43"/>
        <v/>
      </c>
      <c r="M330" s="38" t="str">
        <f t="shared" si="42"/>
        <v>0100</v>
      </c>
      <c r="N330" s="69">
        <f t="shared" ref="N330:N393" si="45">N329+S329</f>
        <v>256</v>
      </c>
      <c r="O330" s="95"/>
      <c r="P330" s="96"/>
      <c r="Q330" s="97"/>
      <c r="R330" s="149"/>
      <c r="S330" s="153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2"/>
      <c r="AD330" s="143"/>
      <c r="AE330" s="143"/>
      <c r="AF330" s="143"/>
      <c r="AG330" s="143"/>
      <c r="AH330" s="143"/>
      <c r="AI330" s="143"/>
      <c r="AJ330" s="144"/>
    </row>
    <row r="331" spans="11:36">
      <c r="K331" s="85"/>
      <c r="L331" s="54" t="str">
        <f t="shared" si="43"/>
        <v/>
      </c>
      <c r="M331" s="38" t="str">
        <f t="shared" si="42"/>
        <v>0100</v>
      </c>
      <c r="N331" s="69">
        <f t="shared" si="45"/>
        <v>256</v>
      </c>
      <c r="O331" s="95"/>
      <c r="P331" s="96"/>
      <c r="Q331" s="97"/>
      <c r="R331" s="149"/>
      <c r="S331" s="153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2"/>
      <c r="AD331" s="143"/>
      <c r="AE331" s="143"/>
      <c r="AF331" s="143"/>
      <c r="AG331" s="143"/>
      <c r="AH331" s="143"/>
      <c r="AI331" s="143"/>
      <c r="AJ331" s="144"/>
    </row>
    <row r="332" spans="11:36">
      <c r="K332" s="85"/>
      <c r="L332" s="54" t="str">
        <f t="shared" si="43"/>
        <v/>
      </c>
      <c r="M332" s="38" t="str">
        <f t="shared" si="42"/>
        <v>0100</v>
      </c>
      <c r="N332" s="69">
        <f t="shared" si="45"/>
        <v>256</v>
      </c>
      <c r="O332" s="95"/>
      <c r="P332" s="96"/>
      <c r="Q332" s="97"/>
      <c r="R332" s="149"/>
      <c r="S332" s="153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2"/>
      <c r="AD332" s="143"/>
      <c r="AE332" s="143"/>
      <c r="AF332" s="143"/>
      <c r="AG332" s="143"/>
      <c r="AH332" s="143"/>
      <c r="AI332" s="143"/>
      <c r="AJ332" s="144"/>
    </row>
    <row r="333" spans="11:36">
      <c r="K333" s="85"/>
      <c r="L333" s="54" t="str">
        <f t="shared" si="43"/>
        <v/>
      </c>
      <c r="M333" s="38" t="str">
        <f t="shared" si="42"/>
        <v>0100</v>
      </c>
      <c r="N333" s="69">
        <f t="shared" si="45"/>
        <v>256</v>
      </c>
      <c r="O333" s="95"/>
      <c r="P333" s="96"/>
      <c r="Q333" s="97"/>
      <c r="R333" s="149"/>
      <c r="S333" s="153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2"/>
      <c r="AD333" s="143"/>
      <c r="AE333" s="143"/>
      <c r="AF333" s="143"/>
      <c r="AG333" s="143"/>
      <c r="AH333" s="143"/>
      <c r="AI333" s="143"/>
      <c r="AJ333" s="144"/>
    </row>
    <row r="334" spans="11:36">
      <c r="K334" s="85"/>
      <c r="L334" s="54" t="str">
        <f t="shared" si="43"/>
        <v/>
      </c>
      <c r="M334" s="38" t="str">
        <f t="shared" si="42"/>
        <v>0100</v>
      </c>
      <c r="N334" s="69">
        <f t="shared" si="45"/>
        <v>256</v>
      </c>
      <c r="O334" s="95"/>
      <c r="P334" s="96"/>
      <c r="Q334" s="97"/>
      <c r="R334" s="149"/>
      <c r="S334" s="153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2"/>
      <c r="AD334" s="143"/>
      <c r="AE334" s="143"/>
      <c r="AF334" s="143"/>
      <c r="AG334" s="143"/>
      <c r="AH334" s="143"/>
      <c r="AI334" s="143"/>
      <c r="AJ334" s="144"/>
    </row>
    <row r="335" spans="11:36">
      <c r="K335" s="85"/>
      <c r="L335" s="54" t="str">
        <f t="shared" si="43"/>
        <v/>
      </c>
      <c r="M335" s="38" t="str">
        <f t="shared" si="42"/>
        <v>0100</v>
      </c>
      <c r="N335" s="69">
        <f t="shared" si="45"/>
        <v>256</v>
      </c>
      <c r="O335" s="95"/>
      <c r="P335" s="96"/>
      <c r="Q335" s="97"/>
      <c r="R335" s="149"/>
      <c r="S335" s="153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2"/>
      <c r="AD335" s="143"/>
      <c r="AE335" s="143"/>
      <c r="AF335" s="143"/>
      <c r="AG335" s="143"/>
      <c r="AH335" s="143"/>
      <c r="AI335" s="143"/>
      <c r="AJ335" s="144"/>
    </row>
    <row r="336" spans="11:36">
      <c r="K336" s="85"/>
      <c r="L336" s="54" t="str">
        <f t="shared" si="43"/>
        <v/>
      </c>
      <c r="M336" s="38" t="str">
        <f t="shared" si="42"/>
        <v>0100</v>
      </c>
      <c r="N336" s="69">
        <f t="shared" si="45"/>
        <v>256</v>
      </c>
      <c r="O336" s="95"/>
      <c r="P336" s="96"/>
      <c r="Q336" s="97"/>
      <c r="R336" s="149"/>
      <c r="S336" s="153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2"/>
      <c r="AD336" s="143"/>
      <c r="AE336" s="143"/>
      <c r="AF336" s="143"/>
      <c r="AG336" s="143"/>
      <c r="AH336" s="143"/>
      <c r="AI336" s="143"/>
      <c r="AJ336" s="144"/>
    </row>
    <row r="337" spans="11:36">
      <c r="K337" s="85"/>
      <c r="L337" s="54" t="str">
        <f t="shared" si="43"/>
        <v/>
      </c>
      <c r="M337" s="38" t="str">
        <f t="shared" si="42"/>
        <v>0100</v>
      </c>
      <c r="N337" s="69">
        <f t="shared" si="45"/>
        <v>256</v>
      </c>
      <c r="O337" s="95"/>
      <c r="P337" s="96"/>
      <c r="Q337" s="97"/>
      <c r="R337" s="149"/>
      <c r="S337" s="153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2"/>
      <c r="AD337" s="143"/>
      <c r="AE337" s="143"/>
      <c r="AF337" s="143"/>
      <c r="AG337" s="143"/>
      <c r="AH337" s="143"/>
      <c r="AI337" s="143"/>
      <c r="AJ337" s="144"/>
    </row>
    <row r="338" spans="11:36">
      <c r="K338" s="85"/>
      <c r="L338" s="54" t="str">
        <f t="shared" si="43"/>
        <v/>
      </c>
      <c r="M338" s="38" t="str">
        <f t="shared" si="42"/>
        <v>0100</v>
      </c>
      <c r="N338" s="69">
        <f t="shared" si="45"/>
        <v>256</v>
      </c>
      <c r="O338" s="95"/>
      <c r="P338" s="96"/>
      <c r="Q338" s="97"/>
      <c r="R338" s="149"/>
      <c r="S338" s="153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2"/>
      <c r="AD338" s="143"/>
      <c r="AE338" s="143"/>
      <c r="AF338" s="143"/>
      <c r="AG338" s="143"/>
      <c r="AH338" s="143"/>
      <c r="AI338" s="143"/>
      <c r="AJ338" s="144"/>
    </row>
    <row r="339" spans="11:36">
      <c r="K339" s="85"/>
      <c r="L339" s="54" t="str">
        <f t="shared" si="43"/>
        <v/>
      </c>
      <c r="M339" s="38" t="str">
        <f t="shared" si="42"/>
        <v>0100</v>
      </c>
      <c r="N339" s="69">
        <f t="shared" si="45"/>
        <v>256</v>
      </c>
      <c r="O339" s="95"/>
      <c r="P339" s="96"/>
      <c r="Q339" s="97"/>
      <c r="R339" s="149"/>
      <c r="S339" s="153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2"/>
      <c r="AD339" s="143"/>
      <c r="AE339" s="143"/>
      <c r="AF339" s="143"/>
      <c r="AG339" s="143"/>
      <c r="AH339" s="143"/>
      <c r="AI339" s="143"/>
      <c r="AJ339" s="144"/>
    </row>
    <row r="340" spans="11:36">
      <c r="K340" s="85"/>
      <c r="L340" s="54" t="str">
        <f t="shared" si="43"/>
        <v/>
      </c>
      <c r="M340" s="38" t="str">
        <f t="shared" si="42"/>
        <v>0100</v>
      </c>
      <c r="N340" s="69">
        <f t="shared" si="45"/>
        <v>256</v>
      </c>
      <c r="O340" s="95"/>
      <c r="P340" s="96"/>
      <c r="Q340" s="97"/>
      <c r="R340" s="149"/>
      <c r="S340" s="153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2"/>
      <c r="AD340" s="143"/>
      <c r="AE340" s="143"/>
      <c r="AF340" s="143"/>
      <c r="AG340" s="143"/>
      <c r="AH340" s="143"/>
      <c r="AI340" s="143"/>
      <c r="AJ340" s="144"/>
    </row>
    <row r="341" spans="11:36">
      <c r="K341" s="85"/>
      <c r="L341" s="54" t="str">
        <f t="shared" si="43"/>
        <v/>
      </c>
      <c r="M341" s="38" t="str">
        <f t="shared" si="42"/>
        <v>0100</v>
      </c>
      <c r="N341" s="69">
        <f t="shared" si="45"/>
        <v>256</v>
      </c>
      <c r="O341" s="95"/>
      <c r="P341" s="96"/>
      <c r="Q341" s="97"/>
      <c r="R341" s="149"/>
      <c r="S341" s="153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2"/>
      <c r="AD341" s="143"/>
      <c r="AE341" s="143"/>
      <c r="AF341" s="143"/>
      <c r="AG341" s="143"/>
      <c r="AH341" s="143"/>
      <c r="AI341" s="143"/>
      <c r="AJ341" s="144"/>
    </row>
    <row r="342" spans="11:36">
      <c r="K342" s="85"/>
      <c r="L342" s="54" t="str">
        <f t="shared" si="43"/>
        <v/>
      </c>
      <c r="M342" s="38" t="str">
        <f t="shared" si="42"/>
        <v>0100</v>
      </c>
      <c r="N342" s="69">
        <f t="shared" si="45"/>
        <v>256</v>
      </c>
      <c r="O342" s="95"/>
      <c r="P342" s="96"/>
      <c r="Q342" s="97"/>
      <c r="R342" s="149"/>
      <c r="S342" s="153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2"/>
      <c r="AD342" s="143"/>
      <c r="AE342" s="143"/>
      <c r="AF342" s="143"/>
      <c r="AG342" s="143"/>
      <c r="AH342" s="143"/>
      <c r="AI342" s="143"/>
      <c r="AJ342" s="144"/>
    </row>
    <row r="343" spans="11:36">
      <c r="K343" s="85"/>
      <c r="L343" s="54" t="str">
        <f t="shared" si="43"/>
        <v/>
      </c>
      <c r="M343" s="38" t="str">
        <f t="shared" si="42"/>
        <v>0100</v>
      </c>
      <c r="N343" s="69">
        <f t="shared" si="45"/>
        <v>256</v>
      </c>
      <c r="O343" s="95"/>
      <c r="P343" s="96"/>
      <c r="Q343" s="97"/>
      <c r="R343" s="149"/>
      <c r="S343" s="153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2"/>
      <c r="AD343" s="143"/>
      <c r="AE343" s="143"/>
      <c r="AF343" s="143"/>
      <c r="AG343" s="143"/>
      <c r="AH343" s="143"/>
      <c r="AI343" s="143"/>
      <c r="AJ343" s="144"/>
    </row>
    <row r="344" spans="11:36">
      <c r="K344" s="85"/>
      <c r="L344" s="54" t="str">
        <f t="shared" si="43"/>
        <v/>
      </c>
      <c r="M344" s="38" t="str">
        <f t="shared" si="42"/>
        <v>0100</v>
      </c>
      <c r="N344" s="69">
        <f t="shared" si="45"/>
        <v>256</v>
      </c>
      <c r="O344" s="95"/>
      <c r="P344" s="96"/>
      <c r="Q344" s="97"/>
      <c r="R344" s="149"/>
      <c r="S344" s="153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2"/>
      <c r="AD344" s="143"/>
      <c r="AE344" s="143"/>
      <c r="AF344" s="143"/>
      <c r="AG344" s="143"/>
      <c r="AH344" s="143"/>
      <c r="AI344" s="143"/>
      <c r="AJ344" s="144"/>
    </row>
    <row r="345" spans="11:36">
      <c r="K345" s="85"/>
      <c r="L345" s="54" t="str">
        <f t="shared" si="43"/>
        <v/>
      </c>
      <c r="M345" s="38" t="str">
        <f t="shared" si="42"/>
        <v>0100</v>
      </c>
      <c r="N345" s="69">
        <f t="shared" si="45"/>
        <v>256</v>
      </c>
      <c r="O345" s="95"/>
      <c r="P345" s="96"/>
      <c r="Q345" s="97"/>
      <c r="R345" s="149"/>
      <c r="S345" s="153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2"/>
      <c r="AD345" s="143"/>
      <c r="AE345" s="143"/>
      <c r="AF345" s="143"/>
      <c r="AG345" s="143"/>
      <c r="AH345" s="143"/>
      <c r="AI345" s="143"/>
      <c r="AJ345" s="144"/>
    </row>
    <row r="346" spans="11:36">
      <c r="K346" s="85"/>
      <c r="L346" s="54" t="str">
        <f t="shared" si="43"/>
        <v/>
      </c>
      <c r="M346" s="38" t="str">
        <f t="shared" si="42"/>
        <v>0100</v>
      </c>
      <c r="N346" s="69">
        <f t="shared" si="45"/>
        <v>256</v>
      </c>
      <c r="O346" s="95"/>
      <c r="P346" s="96"/>
      <c r="Q346" s="97"/>
      <c r="R346" s="149"/>
      <c r="S346" s="153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2"/>
      <c r="AD346" s="143"/>
      <c r="AE346" s="143"/>
      <c r="AF346" s="143"/>
      <c r="AG346" s="143"/>
      <c r="AH346" s="143"/>
      <c r="AI346" s="143"/>
      <c r="AJ346" s="144"/>
    </row>
    <row r="347" spans="11:36">
      <c r="K347" s="85"/>
      <c r="L347" s="54" t="str">
        <f t="shared" si="43"/>
        <v/>
      </c>
      <c r="M347" s="38" t="str">
        <f t="shared" si="42"/>
        <v>0100</v>
      </c>
      <c r="N347" s="69">
        <f t="shared" si="45"/>
        <v>256</v>
      </c>
      <c r="O347" s="95"/>
      <c r="P347" s="96"/>
      <c r="Q347" s="97"/>
      <c r="R347" s="149"/>
      <c r="S347" s="153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2"/>
      <c r="AD347" s="143"/>
      <c r="AE347" s="143"/>
      <c r="AF347" s="143"/>
      <c r="AG347" s="143"/>
      <c r="AH347" s="143"/>
      <c r="AI347" s="143"/>
      <c r="AJ347" s="144"/>
    </row>
    <row r="348" spans="11:36">
      <c r="K348" s="85"/>
      <c r="L348" s="54" t="str">
        <f t="shared" si="43"/>
        <v/>
      </c>
      <c r="M348" s="38" t="str">
        <f t="shared" si="42"/>
        <v>0100</v>
      </c>
      <c r="N348" s="69">
        <f t="shared" si="45"/>
        <v>256</v>
      </c>
      <c r="O348" s="95"/>
      <c r="P348" s="96"/>
      <c r="Q348" s="97"/>
      <c r="R348" s="149"/>
      <c r="S348" s="153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2"/>
      <c r="AD348" s="143"/>
      <c r="AE348" s="143"/>
      <c r="AF348" s="143"/>
      <c r="AG348" s="143"/>
      <c r="AH348" s="143"/>
      <c r="AI348" s="143"/>
      <c r="AJ348" s="144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0100</v>
      </c>
      <c r="N349" s="69">
        <f t="shared" si="45"/>
        <v>256</v>
      </c>
      <c r="O349" s="95"/>
      <c r="P349" s="96"/>
      <c r="Q349" s="97"/>
      <c r="R349" s="149"/>
      <c r="S349" s="153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2"/>
      <c r="AD349" s="143"/>
      <c r="AE349" s="143"/>
      <c r="AF349" s="143"/>
      <c r="AG349" s="143"/>
      <c r="AH349" s="143"/>
      <c r="AI349" s="143"/>
      <c r="AJ349" s="144"/>
    </row>
    <row r="350" spans="11:36">
      <c r="K350" s="85"/>
      <c r="L350" s="54" t="str">
        <f t="shared" si="43"/>
        <v/>
      </c>
      <c r="M350" s="38" t="str">
        <f t="shared" si="46"/>
        <v>0100</v>
      </c>
      <c r="N350" s="69">
        <f t="shared" si="45"/>
        <v>256</v>
      </c>
      <c r="O350" s="95"/>
      <c r="P350" s="96"/>
      <c r="Q350" s="97"/>
      <c r="R350" s="149"/>
      <c r="S350" s="153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2"/>
      <c r="AD350" s="143"/>
      <c r="AE350" s="143"/>
      <c r="AF350" s="143"/>
      <c r="AG350" s="143"/>
      <c r="AH350" s="143"/>
      <c r="AI350" s="143"/>
      <c r="AJ350" s="144"/>
    </row>
    <row r="351" spans="11:36">
      <c r="K351" s="85"/>
      <c r="L351" s="54" t="str">
        <f t="shared" si="43"/>
        <v/>
      </c>
      <c r="M351" s="38" t="str">
        <f t="shared" si="46"/>
        <v>0100</v>
      </c>
      <c r="N351" s="69">
        <f t="shared" si="45"/>
        <v>256</v>
      </c>
      <c r="O351" s="95"/>
      <c r="P351" s="96"/>
      <c r="Q351" s="97"/>
      <c r="R351" s="149"/>
      <c r="S351" s="153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2"/>
      <c r="AD351" s="143"/>
      <c r="AE351" s="143"/>
      <c r="AF351" s="143"/>
      <c r="AG351" s="143"/>
      <c r="AH351" s="143"/>
      <c r="AI351" s="143"/>
      <c r="AJ351" s="144"/>
    </row>
    <row r="352" spans="11:36">
      <c r="K352" s="85"/>
      <c r="L352" s="54" t="str">
        <f t="shared" si="43"/>
        <v/>
      </c>
      <c r="M352" s="38" t="str">
        <f t="shared" si="46"/>
        <v>0100</v>
      </c>
      <c r="N352" s="69">
        <f t="shared" si="45"/>
        <v>256</v>
      </c>
      <c r="O352" s="95"/>
      <c r="P352" s="96"/>
      <c r="Q352" s="97"/>
      <c r="R352" s="149"/>
      <c r="S352" s="153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2"/>
      <c r="AD352" s="143"/>
      <c r="AE352" s="143"/>
      <c r="AF352" s="143"/>
      <c r="AG352" s="143"/>
      <c r="AH352" s="143"/>
      <c r="AI352" s="143"/>
      <c r="AJ352" s="144"/>
    </row>
    <row r="353" spans="11:36">
      <c r="K353" s="85"/>
      <c r="L353" s="54" t="str">
        <f t="shared" si="43"/>
        <v/>
      </c>
      <c r="M353" s="38" t="str">
        <f t="shared" si="46"/>
        <v>0100</v>
      </c>
      <c r="N353" s="69">
        <f t="shared" si="45"/>
        <v>256</v>
      </c>
      <c r="O353" s="95"/>
      <c r="P353" s="96"/>
      <c r="Q353" s="97"/>
      <c r="R353" s="149"/>
      <c r="S353" s="153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2"/>
      <c r="AD353" s="143"/>
      <c r="AE353" s="143"/>
      <c r="AF353" s="143"/>
      <c r="AG353" s="143"/>
      <c r="AH353" s="143"/>
      <c r="AI353" s="143"/>
      <c r="AJ353" s="144"/>
    </row>
    <row r="354" spans="11:36">
      <c r="K354" s="85"/>
      <c r="L354" s="54" t="str">
        <f t="shared" si="43"/>
        <v/>
      </c>
      <c r="M354" s="38" t="str">
        <f t="shared" si="46"/>
        <v>0100</v>
      </c>
      <c r="N354" s="69">
        <f t="shared" si="45"/>
        <v>256</v>
      </c>
      <c r="O354" s="95"/>
      <c r="P354" s="96"/>
      <c r="Q354" s="97"/>
      <c r="R354" s="149"/>
      <c r="S354" s="153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2"/>
      <c r="AD354" s="143"/>
      <c r="AE354" s="143"/>
      <c r="AF354" s="143"/>
      <c r="AG354" s="143"/>
      <c r="AH354" s="143"/>
      <c r="AI354" s="143"/>
      <c r="AJ354" s="144"/>
    </row>
    <row r="355" spans="11:36">
      <c r="K355" s="85"/>
      <c r="L355" s="54" t="str">
        <f t="shared" si="43"/>
        <v/>
      </c>
      <c r="M355" s="38" t="str">
        <f t="shared" si="46"/>
        <v>0100</v>
      </c>
      <c r="N355" s="69">
        <f t="shared" si="45"/>
        <v>256</v>
      </c>
      <c r="O355" s="95"/>
      <c r="P355" s="96"/>
      <c r="Q355" s="97"/>
      <c r="R355" s="149"/>
      <c r="S355" s="153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2"/>
      <c r="AD355" s="143"/>
      <c r="AE355" s="143"/>
      <c r="AF355" s="143"/>
      <c r="AG355" s="143"/>
      <c r="AH355" s="143"/>
      <c r="AI355" s="143"/>
      <c r="AJ355" s="144"/>
    </row>
    <row r="356" spans="11:36">
      <c r="K356" s="85"/>
      <c r="L356" s="54" t="str">
        <f t="shared" si="43"/>
        <v/>
      </c>
      <c r="M356" s="38" t="str">
        <f t="shared" si="46"/>
        <v>0100</v>
      </c>
      <c r="N356" s="69">
        <f t="shared" si="45"/>
        <v>256</v>
      </c>
      <c r="O356" s="95"/>
      <c r="P356" s="96"/>
      <c r="Q356" s="97"/>
      <c r="R356" s="149"/>
      <c r="S356" s="153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2"/>
      <c r="AD356" s="143"/>
      <c r="AE356" s="143"/>
      <c r="AF356" s="143"/>
      <c r="AG356" s="143"/>
      <c r="AH356" s="143"/>
      <c r="AI356" s="143"/>
      <c r="AJ356" s="144"/>
    </row>
    <row r="357" spans="11:36">
      <c r="K357" s="85"/>
      <c r="L357" s="54" t="str">
        <f t="shared" si="43"/>
        <v/>
      </c>
      <c r="M357" s="38" t="str">
        <f t="shared" si="46"/>
        <v>0100</v>
      </c>
      <c r="N357" s="69">
        <f t="shared" si="45"/>
        <v>256</v>
      </c>
      <c r="O357" s="95"/>
      <c r="P357" s="96"/>
      <c r="Q357" s="97"/>
      <c r="R357" s="149"/>
      <c r="S357" s="153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2"/>
      <c r="AD357" s="143"/>
      <c r="AE357" s="143"/>
      <c r="AF357" s="143"/>
      <c r="AG357" s="143"/>
      <c r="AH357" s="143"/>
      <c r="AI357" s="143"/>
      <c r="AJ357" s="144"/>
    </row>
    <row r="358" spans="11:36">
      <c r="K358" s="85"/>
      <c r="L358" s="54" t="str">
        <f t="shared" si="43"/>
        <v/>
      </c>
      <c r="M358" s="38" t="str">
        <f t="shared" si="46"/>
        <v>0100</v>
      </c>
      <c r="N358" s="69">
        <f t="shared" si="45"/>
        <v>256</v>
      </c>
      <c r="O358" s="95"/>
      <c r="P358" s="96"/>
      <c r="Q358" s="97"/>
      <c r="R358" s="149"/>
      <c r="S358" s="153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2"/>
      <c r="AD358" s="143"/>
      <c r="AE358" s="143"/>
      <c r="AF358" s="143"/>
      <c r="AG358" s="143"/>
      <c r="AH358" s="143"/>
      <c r="AI358" s="143"/>
      <c r="AJ358" s="144"/>
    </row>
    <row r="359" spans="11:36">
      <c r="K359" s="85"/>
      <c r="L359" s="54" t="str">
        <f t="shared" si="43"/>
        <v/>
      </c>
      <c r="M359" s="38" t="str">
        <f t="shared" si="46"/>
        <v>0100</v>
      </c>
      <c r="N359" s="69">
        <f t="shared" si="45"/>
        <v>256</v>
      </c>
      <c r="O359" s="95"/>
      <c r="P359" s="96"/>
      <c r="Q359" s="97"/>
      <c r="R359" s="149"/>
      <c r="S359" s="153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2"/>
      <c r="AD359" s="143"/>
      <c r="AE359" s="143"/>
      <c r="AF359" s="143"/>
      <c r="AG359" s="143"/>
      <c r="AH359" s="143"/>
      <c r="AI359" s="143"/>
      <c r="AJ359" s="144"/>
    </row>
    <row r="360" spans="11:36">
      <c r="K360" s="85"/>
      <c r="L360" s="54" t="str">
        <f t="shared" si="43"/>
        <v/>
      </c>
      <c r="M360" s="38" t="str">
        <f t="shared" si="46"/>
        <v>0100</v>
      </c>
      <c r="N360" s="69">
        <f t="shared" si="45"/>
        <v>256</v>
      </c>
      <c r="O360" s="95"/>
      <c r="P360" s="96"/>
      <c r="Q360" s="97"/>
      <c r="R360" s="149"/>
      <c r="S360" s="153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2"/>
      <c r="AD360" s="143"/>
      <c r="AE360" s="143"/>
      <c r="AF360" s="143"/>
      <c r="AG360" s="143"/>
      <c r="AH360" s="143"/>
      <c r="AI360" s="143"/>
      <c r="AJ360" s="144"/>
    </row>
    <row r="361" spans="11:36">
      <c r="K361" s="85"/>
      <c r="L361" s="54" t="str">
        <f t="shared" si="43"/>
        <v/>
      </c>
      <c r="M361" s="38" t="str">
        <f t="shared" si="46"/>
        <v>0100</v>
      </c>
      <c r="N361" s="69">
        <f t="shared" si="45"/>
        <v>256</v>
      </c>
      <c r="O361" s="95"/>
      <c r="P361" s="96"/>
      <c r="Q361" s="97"/>
      <c r="R361" s="149"/>
      <c r="S361" s="153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2"/>
      <c r="AD361" s="143"/>
      <c r="AE361" s="143"/>
      <c r="AF361" s="143"/>
      <c r="AG361" s="143"/>
      <c r="AH361" s="143"/>
      <c r="AI361" s="143"/>
      <c r="AJ361" s="144"/>
    </row>
    <row r="362" spans="11:36">
      <c r="K362" s="85"/>
      <c r="L362" s="54" t="str">
        <f t="shared" si="43"/>
        <v/>
      </c>
      <c r="M362" s="38" t="str">
        <f t="shared" si="46"/>
        <v>0100</v>
      </c>
      <c r="N362" s="69">
        <f t="shared" si="45"/>
        <v>256</v>
      </c>
      <c r="O362" s="95"/>
      <c r="P362" s="96"/>
      <c r="Q362" s="97"/>
      <c r="R362" s="149"/>
      <c r="S362" s="153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2"/>
      <c r="AD362" s="143"/>
      <c r="AE362" s="143"/>
      <c r="AF362" s="143"/>
      <c r="AG362" s="143"/>
      <c r="AH362" s="143"/>
      <c r="AI362" s="143"/>
      <c r="AJ362" s="144"/>
    </row>
    <row r="363" spans="11:36">
      <c r="K363" s="85"/>
      <c r="L363" s="54" t="str">
        <f t="shared" si="43"/>
        <v/>
      </c>
      <c r="M363" s="38" t="str">
        <f t="shared" si="46"/>
        <v>0100</v>
      </c>
      <c r="N363" s="69">
        <f t="shared" si="45"/>
        <v>256</v>
      </c>
      <c r="O363" s="95"/>
      <c r="P363" s="96"/>
      <c r="Q363" s="97"/>
      <c r="R363" s="149"/>
      <c r="S363" s="153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2"/>
      <c r="AD363" s="143"/>
      <c r="AE363" s="143"/>
      <c r="AF363" s="143"/>
      <c r="AG363" s="143"/>
      <c r="AH363" s="143"/>
      <c r="AI363" s="143"/>
      <c r="AJ363" s="144"/>
    </row>
    <row r="364" spans="11:36">
      <c r="K364" s="85"/>
      <c r="L364" s="54" t="str">
        <f t="shared" si="43"/>
        <v/>
      </c>
      <c r="M364" s="38" t="str">
        <f t="shared" si="46"/>
        <v>0100</v>
      </c>
      <c r="N364" s="69">
        <f t="shared" si="45"/>
        <v>256</v>
      </c>
      <c r="O364" s="95"/>
      <c r="P364" s="96"/>
      <c r="Q364" s="97"/>
      <c r="R364" s="149"/>
      <c r="S364" s="153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2"/>
      <c r="AD364" s="143"/>
      <c r="AE364" s="143"/>
      <c r="AF364" s="143"/>
      <c r="AG364" s="143"/>
      <c r="AH364" s="143"/>
      <c r="AI364" s="143"/>
      <c r="AJ364" s="144"/>
    </row>
    <row r="365" spans="11:36">
      <c r="K365" s="85"/>
      <c r="L365" s="54" t="str">
        <f t="shared" si="43"/>
        <v/>
      </c>
      <c r="M365" s="38" t="str">
        <f t="shared" si="46"/>
        <v>0100</v>
      </c>
      <c r="N365" s="69">
        <f t="shared" si="45"/>
        <v>256</v>
      </c>
      <c r="O365" s="95"/>
      <c r="P365" s="96"/>
      <c r="Q365" s="97"/>
      <c r="R365" s="149"/>
      <c r="S365" s="153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2"/>
      <c r="AD365" s="143"/>
      <c r="AE365" s="143"/>
      <c r="AF365" s="143"/>
      <c r="AG365" s="143"/>
      <c r="AH365" s="143"/>
      <c r="AI365" s="143"/>
      <c r="AJ365" s="144"/>
    </row>
    <row r="366" spans="11:36">
      <c r="K366" s="85"/>
      <c r="L366" s="54" t="str">
        <f t="shared" si="43"/>
        <v/>
      </c>
      <c r="M366" s="38" t="str">
        <f t="shared" si="46"/>
        <v>0100</v>
      </c>
      <c r="N366" s="69">
        <f t="shared" si="45"/>
        <v>256</v>
      </c>
      <c r="O366" s="95"/>
      <c r="P366" s="96"/>
      <c r="Q366" s="97"/>
      <c r="R366" s="149"/>
      <c r="S366" s="153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2"/>
      <c r="AD366" s="143"/>
      <c r="AE366" s="143"/>
      <c r="AF366" s="143"/>
      <c r="AG366" s="143"/>
      <c r="AH366" s="143"/>
      <c r="AI366" s="143"/>
      <c r="AJ366" s="144"/>
    </row>
    <row r="367" spans="11:36">
      <c r="K367" s="85"/>
      <c r="L367" s="54" t="str">
        <f t="shared" si="43"/>
        <v/>
      </c>
      <c r="M367" s="38" t="str">
        <f t="shared" si="46"/>
        <v>0100</v>
      </c>
      <c r="N367" s="69">
        <f t="shared" si="45"/>
        <v>256</v>
      </c>
      <c r="O367" s="95"/>
      <c r="P367" s="96"/>
      <c r="Q367" s="97"/>
      <c r="R367" s="149"/>
      <c r="S367" s="153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2"/>
      <c r="AD367" s="143"/>
      <c r="AE367" s="143"/>
      <c r="AF367" s="143"/>
      <c r="AG367" s="143"/>
      <c r="AH367" s="143"/>
      <c r="AI367" s="143"/>
      <c r="AJ367" s="144"/>
    </row>
    <row r="368" spans="11:36">
      <c r="K368" s="85"/>
      <c r="L368" s="54" t="str">
        <f t="shared" si="43"/>
        <v/>
      </c>
      <c r="M368" s="38" t="str">
        <f t="shared" si="46"/>
        <v>0100</v>
      </c>
      <c r="N368" s="69">
        <f t="shared" si="45"/>
        <v>256</v>
      </c>
      <c r="O368" s="95"/>
      <c r="P368" s="96"/>
      <c r="Q368" s="97"/>
      <c r="R368" s="149"/>
      <c r="S368" s="153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2"/>
      <c r="AD368" s="143"/>
      <c r="AE368" s="143"/>
      <c r="AF368" s="143"/>
      <c r="AG368" s="143"/>
      <c r="AH368" s="143"/>
      <c r="AI368" s="143"/>
      <c r="AJ368" s="144"/>
    </row>
    <row r="369" spans="11:36">
      <c r="K369" s="85"/>
      <c r="L369" s="54" t="str">
        <f t="shared" si="43"/>
        <v/>
      </c>
      <c r="M369" s="38" t="str">
        <f t="shared" si="46"/>
        <v>0100</v>
      </c>
      <c r="N369" s="69">
        <f t="shared" si="45"/>
        <v>256</v>
      </c>
      <c r="O369" s="95"/>
      <c r="P369" s="96"/>
      <c r="Q369" s="97"/>
      <c r="R369" s="149"/>
      <c r="S369" s="153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2"/>
      <c r="AD369" s="143"/>
      <c r="AE369" s="143"/>
      <c r="AF369" s="143"/>
      <c r="AG369" s="143"/>
      <c r="AH369" s="143"/>
      <c r="AI369" s="143"/>
      <c r="AJ369" s="144"/>
    </row>
    <row r="370" spans="11:36">
      <c r="K370" s="85"/>
      <c r="L370" s="54" t="str">
        <f t="shared" si="43"/>
        <v/>
      </c>
      <c r="M370" s="38" t="str">
        <f t="shared" si="46"/>
        <v>0100</v>
      </c>
      <c r="N370" s="69">
        <f t="shared" si="45"/>
        <v>256</v>
      </c>
      <c r="O370" s="95"/>
      <c r="P370" s="96"/>
      <c r="Q370" s="97"/>
      <c r="R370" s="149"/>
      <c r="S370" s="153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2"/>
      <c r="AD370" s="143"/>
      <c r="AE370" s="143"/>
      <c r="AF370" s="143"/>
      <c r="AG370" s="143"/>
      <c r="AH370" s="143"/>
      <c r="AI370" s="143"/>
      <c r="AJ370" s="144"/>
    </row>
    <row r="371" spans="11:36">
      <c r="K371" s="85"/>
      <c r="L371" s="54" t="str">
        <f t="shared" si="43"/>
        <v/>
      </c>
      <c r="M371" s="38" t="str">
        <f t="shared" si="46"/>
        <v>0100</v>
      </c>
      <c r="N371" s="69">
        <f t="shared" si="45"/>
        <v>256</v>
      </c>
      <c r="O371" s="95"/>
      <c r="P371" s="96"/>
      <c r="Q371" s="97"/>
      <c r="R371" s="149"/>
      <c r="S371" s="153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2"/>
      <c r="AD371" s="143"/>
      <c r="AE371" s="143"/>
      <c r="AF371" s="143"/>
      <c r="AG371" s="143"/>
      <c r="AH371" s="143"/>
      <c r="AI371" s="143"/>
      <c r="AJ371" s="144"/>
    </row>
    <row r="372" spans="11:36">
      <c r="K372" s="85"/>
      <c r="L372" s="54" t="str">
        <f t="shared" si="43"/>
        <v/>
      </c>
      <c r="M372" s="38" t="str">
        <f t="shared" si="46"/>
        <v>0100</v>
      </c>
      <c r="N372" s="69">
        <f t="shared" si="45"/>
        <v>256</v>
      </c>
      <c r="O372" s="95"/>
      <c r="P372" s="96"/>
      <c r="Q372" s="97"/>
      <c r="R372" s="149"/>
      <c r="S372" s="153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2"/>
      <c r="AD372" s="143"/>
      <c r="AE372" s="143"/>
      <c r="AF372" s="143"/>
      <c r="AG372" s="143"/>
      <c r="AH372" s="143"/>
      <c r="AI372" s="143"/>
      <c r="AJ372" s="144"/>
    </row>
    <row r="373" spans="11:36">
      <c r="K373" s="85"/>
      <c r="L373" s="54" t="str">
        <f t="shared" si="43"/>
        <v/>
      </c>
      <c r="M373" s="38" t="str">
        <f t="shared" si="46"/>
        <v>0100</v>
      </c>
      <c r="N373" s="69">
        <f t="shared" si="45"/>
        <v>256</v>
      </c>
      <c r="O373" s="95"/>
      <c r="P373" s="96"/>
      <c r="Q373" s="97"/>
      <c r="R373" s="149"/>
      <c r="S373" s="153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2"/>
      <c r="AD373" s="143"/>
      <c r="AE373" s="143"/>
      <c r="AF373" s="143"/>
      <c r="AG373" s="143"/>
      <c r="AH373" s="143"/>
      <c r="AI373" s="143"/>
      <c r="AJ373" s="144"/>
    </row>
    <row r="374" spans="11:36">
      <c r="K374" s="85"/>
      <c r="L374" s="54" t="str">
        <f t="shared" si="43"/>
        <v/>
      </c>
      <c r="M374" s="38" t="str">
        <f t="shared" si="46"/>
        <v>0100</v>
      </c>
      <c r="N374" s="69">
        <f t="shared" si="45"/>
        <v>256</v>
      </c>
      <c r="O374" s="95"/>
      <c r="P374" s="96"/>
      <c r="Q374" s="97"/>
      <c r="R374" s="149"/>
      <c r="S374" s="153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2"/>
      <c r="AD374" s="143"/>
      <c r="AE374" s="143"/>
      <c r="AF374" s="143"/>
      <c r="AG374" s="143"/>
      <c r="AH374" s="143"/>
      <c r="AI374" s="143"/>
      <c r="AJ374" s="144"/>
    </row>
    <row r="375" spans="11:36">
      <c r="K375" s="85"/>
      <c r="L375" s="54" t="str">
        <f t="shared" si="43"/>
        <v/>
      </c>
      <c r="M375" s="38" t="str">
        <f t="shared" si="46"/>
        <v>0100</v>
      </c>
      <c r="N375" s="69">
        <f t="shared" si="45"/>
        <v>256</v>
      </c>
      <c r="O375" s="95"/>
      <c r="P375" s="96"/>
      <c r="Q375" s="97"/>
      <c r="R375" s="149"/>
      <c r="S375" s="153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2"/>
      <c r="AD375" s="143"/>
      <c r="AE375" s="143"/>
      <c r="AF375" s="143"/>
      <c r="AG375" s="143"/>
      <c r="AH375" s="143"/>
      <c r="AI375" s="143"/>
      <c r="AJ375" s="144"/>
    </row>
    <row r="376" spans="11:36">
      <c r="K376" s="85"/>
      <c r="L376" s="54" t="str">
        <f t="shared" si="43"/>
        <v/>
      </c>
      <c r="M376" s="38" t="str">
        <f t="shared" si="46"/>
        <v>0100</v>
      </c>
      <c r="N376" s="69">
        <f t="shared" si="45"/>
        <v>256</v>
      </c>
      <c r="O376" s="95"/>
      <c r="P376" s="96"/>
      <c r="Q376" s="97"/>
      <c r="R376" s="149"/>
      <c r="S376" s="153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2"/>
      <c r="AD376" s="143"/>
      <c r="AE376" s="143"/>
      <c r="AF376" s="143"/>
      <c r="AG376" s="143"/>
      <c r="AH376" s="143"/>
      <c r="AI376" s="143"/>
      <c r="AJ376" s="144"/>
    </row>
    <row r="377" spans="11:36">
      <c r="K377" s="85"/>
      <c r="L377" s="54" t="str">
        <f t="shared" si="43"/>
        <v/>
      </c>
      <c r="M377" s="38" t="str">
        <f t="shared" si="46"/>
        <v>0100</v>
      </c>
      <c r="N377" s="69">
        <f t="shared" si="45"/>
        <v>256</v>
      </c>
      <c r="O377" s="95"/>
      <c r="P377" s="96"/>
      <c r="Q377" s="97"/>
      <c r="R377" s="149"/>
      <c r="S377" s="153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2"/>
      <c r="AD377" s="143"/>
      <c r="AE377" s="143"/>
      <c r="AF377" s="143"/>
      <c r="AG377" s="143"/>
      <c r="AH377" s="143"/>
      <c r="AI377" s="143"/>
      <c r="AJ377" s="144"/>
    </row>
    <row r="378" spans="11:36">
      <c r="K378" s="85"/>
      <c r="L378" s="54" t="str">
        <f t="shared" si="43"/>
        <v/>
      </c>
      <c r="M378" s="38" t="str">
        <f t="shared" si="46"/>
        <v>0100</v>
      </c>
      <c r="N378" s="69">
        <f t="shared" si="45"/>
        <v>256</v>
      </c>
      <c r="O378" s="95"/>
      <c r="P378" s="96"/>
      <c r="Q378" s="97"/>
      <c r="R378" s="149"/>
      <c r="S378" s="153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2"/>
      <c r="AD378" s="143"/>
      <c r="AE378" s="143"/>
      <c r="AF378" s="143"/>
      <c r="AG378" s="143"/>
      <c r="AH378" s="143"/>
      <c r="AI378" s="143"/>
      <c r="AJ378" s="144"/>
    </row>
    <row r="379" spans="11:36">
      <c r="K379" s="85"/>
      <c r="L379" s="54" t="str">
        <f t="shared" si="43"/>
        <v/>
      </c>
      <c r="M379" s="38" t="str">
        <f t="shared" si="46"/>
        <v>0100</v>
      </c>
      <c r="N379" s="69">
        <f t="shared" si="45"/>
        <v>256</v>
      </c>
      <c r="O379" s="95"/>
      <c r="P379" s="96"/>
      <c r="Q379" s="97"/>
      <c r="R379" s="149"/>
      <c r="S379" s="153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2"/>
      <c r="AD379" s="143"/>
      <c r="AE379" s="143"/>
      <c r="AF379" s="143"/>
      <c r="AG379" s="143"/>
      <c r="AH379" s="143"/>
      <c r="AI379" s="143"/>
      <c r="AJ379" s="144"/>
    </row>
    <row r="380" spans="11:36">
      <c r="K380" s="85"/>
      <c r="L380" s="54" t="str">
        <f t="shared" si="43"/>
        <v/>
      </c>
      <c r="M380" s="38" t="str">
        <f t="shared" si="46"/>
        <v>0100</v>
      </c>
      <c r="N380" s="69">
        <f t="shared" si="45"/>
        <v>256</v>
      </c>
      <c r="O380" s="95"/>
      <c r="P380" s="96"/>
      <c r="Q380" s="97"/>
      <c r="R380" s="149"/>
      <c r="S380" s="153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2"/>
      <c r="AD380" s="143"/>
      <c r="AE380" s="143"/>
      <c r="AF380" s="143"/>
      <c r="AG380" s="143"/>
      <c r="AH380" s="143"/>
      <c r="AI380" s="143"/>
      <c r="AJ380" s="144"/>
    </row>
    <row r="381" spans="11:36">
      <c r="K381" s="85"/>
      <c r="L381" s="54" t="str">
        <f t="shared" si="43"/>
        <v/>
      </c>
      <c r="M381" s="38" t="str">
        <f t="shared" si="46"/>
        <v>0100</v>
      </c>
      <c r="N381" s="69">
        <f t="shared" si="45"/>
        <v>256</v>
      </c>
      <c r="O381" s="95"/>
      <c r="P381" s="96"/>
      <c r="Q381" s="97"/>
      <c r="R381" s="149"/>
      <c r="S381" s="153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2"/>
      <c r="AD381" s="143"/>
      <c r="AE381" s="143"/>
      <c r="AF381" s="143"/>
      <c r="AG381" s="143"/>
      <c r="AH381" s="143"/>
      <c r="AI381" s="143"/>
      <c r="AJ381" s="144"/>
    </row>
    <row r="382" spans="11:36">
      <c r="K382" s="85"/>
      <c r="L382" s="54" t="str">
        <f t="shared" si="43"/>
        <v/>
      </c>
      <c r="M382" s="38" t="str">
        <f t="shared" si="46"/>
        <v>0100</v>
      </c>
      <c r="N382" s="69">
        <f t="shared" si="45"/>
        <v>256</v>
      </c>
      <c r="O382" s="95"/>
      <c r="P382" s="96"/>
      <c r="Q382" s="97"/>
      <c r="R382" s="149"/>
      <c r="S382" s="153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2"/>
      <c r="AD382" s="143"/>
      <c r="AE382" s="143"/>
      <c r="AF382" s="143"/>
      <c r="AG382" s="143"/>
      <c r="AH382" s="143"/>
      <c r="AI382" s="143"/>
      <c r="AJ382" s="144"/>
    </row>
    <row r="383" spans="11:36">
      <c r="K383" s="85"/>
      <c r="L383" s="54" t="str">
        <f t="shared" si="43"/>
        <v/>
      </c>
      <c r="M383" s="38" t="str">
        <f t="shared" si="46"/>
        <v>0100</v>
      </c>
      <c r="N383" s="69">
        <f t="shared" si="45"/>
        <v>256</v>
      </c>
      <c r="O383" s="95"/>
      <c r="P383" s="96"/>
      <c r="Q383" s="97"/>
      <c r="R383" s="149"/>
      <c r="S383" s="153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2"/>
      <c r="AD383" s="143"/>
      <c r="AE383" s="143"/>
      <c r="AF383" s="143"/>
      <c r="AG383" s="143"/>
      <c r="AH383" s="143"/>
      <c r="AI383" s="143"/>
      <c r="AJ383" s="144"/>
    </row>
    <row r="384" spans="11:36">
      <c r="K384" s="85"/>
      <c r="L384" s="54" t="str">
        <f t="shared" si="43"/>
        <v/>
      </c>
      <c r="M384" s="38" t="str">
        <f t="shared" si="46"/>
        <v>0100</v>
      </c>
      <c r="N384" s="69">
        <f t="shared" si="45"/>
        <v>256</v>
      </c>
      <c r="O384" s="95"/>
      <c r="P384" s="96"/>
      <c r="Q384" s="97"/>
      <c r="R384" s="149"/>
      <c r="S384" s="153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2"/>
      <c r="AD384" s="143"/>
      <c r="AE384" s="143"/>
      <c r="AF384" s="143"/>
      <c r="AG384" s="143"/>
      <c r="AH384" s="143"/>
      <c r="AI384" s="143"/>
      <c r="AJ384" s="144"/>
    </row>
    <row r="385" spans="11:36">
      <c r="K385" s="85"/>
      <c r="L385" s="54" t="str">
        <f t="shared" si="43"/>
        <v/>
      </c>
      <c r="M385" s="38" t="str">
        <f t="shared" si="46"/>
        <v>0100</v>
      </c>
      <c r="N385" s="69">
        <f t="shared" si="45"/>
        <v>256</v>
      </c>
      <c r="O385" s="95"/>
      <c r="P385" s="96"/>
      <c r="Q385" s="97"/>
      <c r="R385" s="149"/>
      <c r="S385" s="153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2"/>
      <c r="AD385" s="143"/>
      <c r="AE385" s="143"/>
      <c r="AF385" s="143"/>
      <c r="AG385" s="143"/>
      <c r="AH385" s="143"/>
      <c r="AI385" s="143"/>
      <c r="AJ385" s="144"/>
    </row>
    <row r="386" spans="11:36">
      <c r="K386" s="85"/>
      <c r="L386" s="54" t="str">
        <f t="shared" si="43"/>
        <v/>
      </c>
      <c r="M386" s="38" t="str">
        <f t="shared" si="46"/>
        <v>0100</v>
      </c>
      <c r="N386" s="69">
        <f t="shared" si="45"/>
        <v>256</v>
      </c>
      <c r="O386" s="95"/>
      <c r="P386" s="96"/>
      <c r="Q386" s="97"/>
      <c r="R386" s="149"/>
      <c r="S386" s="153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2"/>
      <c r="AD386" s="143"/>
      <c r="AE386" s="143"/>
      <c r="AF386" s="143"/>
      <c r="AG386" s="143"/>
      <c r="AH386" s="143"/>
      <c r="AI386" s="143"/>
      <c r="AJ386" s="144"/>
    </row>
    <row r="387" spans="11:36">
      <c r="K387" s="85"/>
      <c r="L387" s="54" t="str">
        <f t="shared" si="43"/>
        <v/>
      </c>
      <c r="M387" s="38" t="str">
        <f t="shared" si="46"/>
        <v>0100</v>
      </c>
      <c r="N387" s="69">
        <f t="shared" si="45"/>
        <v>256</v>
      </c>
      <c r="O387" s="95"/>
      <c r="P387" s="96"/>
      <c r="Q387" s="97"/>
      <c r="R387" s="149"/>
      <c r="S387" s="153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2"/>
      <c r="AD387" s="143"/>
      <c r="AE387" s="143"/>
      <c r="AF387" s="143"/>
      <c r="AG387" s="143"/>
      <c r="AH387" s="143"/>
      <c r="AI387" s="143"/>
      <c r="AJ387" s="144"/>
    </row>
    <row r="388" spans="11:36">
      <c r="K388" s="85"/>
      <c r="L388" s="54" t="str">
        <f t="shared" si="43"/>
        <v/>
      </c>
      <c r="M388" s="38" t="str">
        <f t="shared" si="46"/>
        <v>0100</v>
      </c>
      <c r="N388" s="69">
        <f t="shared" si="45"/>
        <v>256</v>
      </c>
      <c r="O388" s="95"/>
      <c r="P388" s="96"/>
      <c r="Q388" s="97"/>
      <c r="R388" s="149"/>
      <c r="S388" s="153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2"/>
      <c r="AD388" s="143"/>
      <c r="AE388" s="143"/>
      <c r="AF388" s="143"/>
      <c r="AG388" s="143"/>
      <c r="AH388" s="143"/>
      <c r="AI388" s="143"/>
      <c r="AJ388" s="144"/>
    </row>
    <row r="389" spans="11:36">
      <c r="K389" s="85"/>
      <c r="L389" s="54" t="str">
        <f t="shared" si="43"/>
        <v/>
      </c>
      <c r="M389" s="38" t="str">
        <f t="shared" si="46"/>
        <v>0100</v>
      </c>
      <c r="N389" s="69">
        <f t="shared" si="45"/>
        <v>256</v>
      </c>
      <c r="O389" s="95"/>
      <c r="P389" s="96"/>
      <c r="Q389" s="97"/>
      <c r="R389" s="149"/>
      <c r="S389" s="153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2"/>
      <c r="AD389" s="143"/>
      <c r="AE389" s="143"/>
      <c r="AF389" s="143"/>
      <c r="AG389" s="143"/>
      <c r="AH389" s="143"/>
      <c r="AI389" s="143"/>
      <c r="AJ389" s="144"/>
    </row>
    <row r="390" spans="11:36">
      <c r="K390" s="85"/>
      <c r="L390" s="54" t="str">
        <f t="shared" si="43"/>
        <v/>
      </c>
      <c r="M390" s="38" t="str">
        <f t="shared" si="46"/>
        <v>0100</v>
      </c>
      <c r="N390" s="69">
        <f t="shared" si="45"/>
        <v>256</v>
      </c>
      <c r="O390" s="95"/>
      <c r="P390" s="96"/>
      <c r="Q390" s="97"/>
      <c r="R390" s="149"/>
      <c r="S390" s="153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2"/>
      <c r="AD390" s="143"/>
      <c r="AE390" s="143"/>
      <c r="AF390" s="143"/>
      <c r="AG390" s="143"/>
      <c r="AH390" s="143"/>
      <c r="AI390" s="143"/>
      <c r="AJ390" s="144"/>
    </row>
    <row r="391" spans="11:36">
      <c r="K391" s="85"/>
      <c r="L391" s="54" t="str">
        <f t="shared" si="43"/>
        <v/>
      </c>
      <c r="M391" s="38" t="str">
        <f t="shared" si="46"/>
        <v>0100</v>
      </c>
      <c r="N391" s="69">
        <f t="shared" si="45"/>
        <v>256</v>
      </c>
      <c r="O391" s="95"/>
      <c r="P391" s="96"/>
      <c r="Q391" s="97"/>
      <c r="R391" s="149"/>
      <c r="S391" s="153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2"/>
      <c r="AD391" s="143"/>
      <c r="AE391" s="143"/>
      <c r="AF391" s="143"/>
      <c r="AG391" s="143"/>
      <c r="AH391" s="143"/>
      <c r="AI391" s="143"/>
      <c r="AJ391" s="144"/>
    </row>
    <row r="392" spans="11:36">
      <c r="K392" s="85"/>
      <c r="L392" s="54" t="str">
        <f t="shared" si="43"/>
        <v/>
      </c>
      <c r="M392" s="38" t="str">
        <f t="shared" si="46"/>
        <v>0100</v>
      </c>
      <c r="N392" s="69">
        <f t="shared" si="45"/>
        <v>256</v>
      </c>
      <c r="O392" s="95"/>
      <c r="P392" s="96"/>
      <c r="Q392" s="97"/>
      <c r="R392" s="149"/>
      <c r="S392" s="153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2"/>
      <c r="AD392" s="143"/>
      <c r="AE392" s="143"/>
      <c r="AF392" s="143"/>
      <c r="AG392" s="143"/>
      <c r="AH392" s="143"/>
      <c r="AI392" s="143"/>
      <c r="AJ392" s="144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0100</v>
      </c>
      <c r="N393" s="69">
        <f t="shared" si="45"/>
        <v>256</v>
      </c>
      <c r="O393" s="95"/>
      <c r="P393" s="96"/>
      <c r="Q393" s="97"/>
      <c r="R393" s="149"/>
      <c r="S393" s="153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2"/>
      <c r="AD393" s="143"/>
      <c r="AE393" s="143"/>
      <c r="AF393" s="143"/>
      <c r="AG393" s="143"/>
      <c r="AH393" s="143"/>
      <c r="AI393" s="143"/>
      <c r="AJ393" s="144"/>
    </row>
    <row r="394" spans="11:36">
      <c r="K394" s="85"/>
      <c r="L394" s="54" t="str">
        <f t="shared" si="47"/>
        <v/>
      </c>
      <c r="M394" s="38" t="str">
        <f t="shared" si="46"/>
        <v>0100</v>
      </c>
      <c r="N394" s="69">
        <f t="shared" ref="N394:N457" si="49">N393+S393</f>
        <v>256</v>
      </c>
      <c r="O394" s="95"/>
      <c r="P394" s="96"/>
      <c r="Q394" s="97"/>
      <c r="R394" s="149"/>
      <c r="S394" s="153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2"/>
      <c r="AD394" s="143"/>
      <c r="AE394" s="143"/>
      <c r="AF394" s="143"/>
      <c r="AG394" s="143"/>
      <c r="AH394" s="143"/>
      <c r="AI394" s="143"/>
      <c r="AJ394" s="144"/>
    </row>
    <row r="395" spans="11:36">
      <c r="K395" s="85"/>
      <c r="L395" s="54" t="str">
        <f t="shared" si="47"/>
        <v/>
      </c>
      <c r="M395" s="38" t="str">
        <f t="shared" si="46"/>
        <v>0100</v>
      </c>
      <c r="N395" s="69">
        <f t="shared" si="49"/>
        <v>256</v>
      </c>
      <c r="O395" s="95"/>
      <c r="P395" s="96"/>
      <c r="Q395" s="97"/>
      <c r="R395" s="149"/>
      <c r="S395" s="153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2"/>
      <c r="AD395" s="143"/>
      <c r="AE395" s="143"/>
      <c r="AF395" s="143"/>
      <c r="AG395" s="143"/>
      <c r="AH395" s="143"/>
      <c r="AI395" s="143"/>
      <c r="AJ395" s="144"/>
    </row>
    <row r="396" spans="11:36">
      <c r="K396" s="85"/>
      <c r="L396" s="54" t="str">
        <f t="shared" si="47"/>
        <v/>
      </c>
      <c r="M396" s="38" t="str">
        <f t="shared" si="46"/>
        <v>0100</v>
      </c>
      <c r="N396" s="69">
        <f t="shared" si="49"/>
        <v>256</v>
      </c>
      <c r="O396" s="95"/>
      <c r="P396" s="96"/>
      <c r="Q396" s="97"/>
      <c r="R396" s="149"/>
      <c r="S396" s="153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2"/>
      <c r="AD396" s="143"/>
      <c r="AE396" s="143"/>
      <c r="AF396" s="143"/>
      <c r="AG396" s="143"/>
      <c r="AH396" s="143"/>
      <c r="AI396" s="143"/>
      <c r="AJ396" s="144"/>
    </row>
    <row r="397" spans="11:36">
      <c r="K397" s="85"/>
      <c r="L397" s="54" t="str">
        <f t="shared" si="47"/>
        <v/>
      </c>
      <c r="M397" s="38" t="str">
        <f t="shared" si="46"/>
        <v>0100</v>
      </c>
      <c r="N397" s="69">
        <f t="shared" si="49"/>
        <v>256</v>
      </c>
      <c r="O397" s="95"/>
      <c r="P397" s="96"/>
      <c r="Q397" s="97"/>
      <c r="R397" s="149"/>
      <c r="S397" s="153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2"/>
      <c r="AD397" s="143"/>
      <c r="AE397" s="143"/>
      <c r="AF397" s="143"/>
      <c r="AG397" s="143"/>
      <c r="AH397" s="143"/>
      <c r="AI397" s="143"/>
      <c r="AJ397" s="144"/>
    </row>
    <row r="398" spans="11:36">
      <c r="K398" s="85"/>
      <c r="L398" s="54" t="str">
        <f t="shared" si="47"/>
        <v/>
      </c>
      <c r="M398" s="38" t="str">
        <f t="shared" si="46"/>
        <v>0100</v>
      </c>
      <c r="N398" s="69">
        <f t="shared" si="49"/>
        <v>256</v>
      </c>
      <c r="O398" s="95"/>
      <c r="P398" s="96"/>
      <c r="Q398" s="97"/>
      <c r="R398" s="149"/>
      <c r="S398" s="153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2"/>
      <c r="AD398" s="143"/>
      <c r="AE398" s="143"/>
      <c r="AF398" s="143"/>
      <c r="AG398" s="143"/>
      <c r="AH398" s="143"/>
      <c r="AI398" s="143"/>
      <c r="AJ398" s="144"/>
    </row>
    <row r="399" spans="11:36">
      <c r="K399" s="85"/>
      <c r="L399" s="54" t="str">
        <f t="shared" si="47"/>
        <v/>
      </c>
      <c r="M399" s="38" t="str">
        <f t="shared" si="46"/>
        <v>0100</v>
      </c>
      <c r="N399" s="69">
        <f t="shared" si="49"/>
        <v>256</v>
      </c>
      <c r="O399" s="95"/>
      <c r="P399" s="96"/>
      <c r="Q399" s="97"/>
      <c r="R399" s="149"/>
      <c r="S399" s="153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2"/>
      <c r="AD399" s="143"/>
      <c r="AE399" s="143"/>
      <c r="AF399" s="143"/>
      <c r="AG399" s="143"/>
      <c r="AH399" s="143"/>
      <c r="AI399" s="143"/>
      <c r="AJ399" s="144"/>
    </row>
    <row r="400" spans="11:36">
      <c r="K400" s="85"/>
      <c r="L400" s="54" t="str">
        <f t="shared" si="47"/>
        <v/>
      </c>
      <c r="M400" s="38" t="str">
        <f t="shared" si="46"/>
        <v>0100</v>
      </c>
      <c r="N400" s="69">
        <f t="shared" si="49"/>
        <v>256</v>
      </c>
      <c r="O400" s="95"/>
      <c r="P400" s="96"/>
      <c r="Q400" s="97"/>
      <c r="R400" s="149"/>
      <c r="S400" s="153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2"/>
      <c r="AD400" s="143"/>
      <c r="AE400" s="143"/>
      <c r="AF400" s="143"/>
      <c r="AG400" s="143"/>
      <c r="AH400" s="143"/>
      <c r="AI400" s="143"/>
      <c r="AJ400" s="144"/>
    </row>
    <row r="401" spans="11:36">
      <c r="K401" s="85"/>
      <c r="L401" s="54" t="str">
        <f t="shared" si="47"/>
        <v/>
      </c>
      <c r="M401" s="38" t="str">
        <f t="shared" si="46"/>
        <v>0100</v>
      </c>
      <c r="N401" s="69">
        <f t="shared" si="49"/>
        <v>256</v>
      </c>
      <c r="O401" s="95"/>
      <c r="P401" s="96"/>
      <c r="Q401" s="97"/>
      <c r="R401" s="149"/>
      <c r="S401" s="153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2"/>
      <c r="AD401" s="143"/>
      <c r="AE401" s="143"/>
      <c r="AF401" s="143"/>
      <c r="AG401" s="143"/>
      <c r="AH401" s="143"/>
      <c r="AI401" s="143"/>
      <c r="AJ401" s="144"/>
    </row>
    <row r="402" spans="11:36">
      <c r="K402" s="85"/>
      <c r="L402" s="54" t="str">
        <f t="shared" si="47"/>
        <v/>
      </c>
      <c r="M402" s="38" t="str">
        <f t="shared" si="46"/>
        <v>0100</v>
      </c>
      <c r="N402" s="69">
        <f t="shared" si="49"/>
        <v>256</v>
      </c>
      <c r="O402" s="95"/>
      <c r="P402" s="96"/>
      <c r="Q402" s="97"/>
      <c r="R402" s="149"/>
      <c r="S402" s="153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2"/>
      <c r="AD402" s="143"/>
      <c r="AE402" s="143"/>
      <c r="AF402" s="143"/>
      <c r="AG402" s="143"/>
      <c r="AH402" s="143"/>
      <c r="AI402" s="143"/>
      <c r="AJ402" s="144"/>
    </row>
    <row r="403" spans="11:36">
      <c r="K403" s="85"/>
      <c r="L403" s="54" t="str">
        <f t="shared" si="47"/>
        <v/>
      </c>
      <c r="M403" s="38" t="str">
        <f t="shared" si="46"/>
        <v>0100</v>
      </c>
      <c r="N403" s="69">
        <f t="shared" si="49"/>
        <v>256</v>
      </c>
      <c r="O403" s="95"/>
      <c r="P403" s="96"/>
      <c r="Q403" s="97"/>
      <c r="R403" s="149"/>
      <c r="S403" s="153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2"/>
      <c r="AD403" s="143"/>
      <c r="AE403" s="143"/>
      <c r="AF403" s="143"/>
      <c r="AG403" s="143"/>
      <c r="AH403" s="143"/>
      <c r="AI403" s="143"/>
      <c r="AJ403" s="144"/>
    </row>
    <row r="404" spans="11:36">
      <c r="K404" s="85"/>
      <c r="L404" s="54" t="str">
        <f t="shared" si="47"/>
        <v/>
      </c>
      <c r="M404" s="38" t="str">
        <f t="shared" si="46"/>
        <v>0100</v>
      </c>
      <c r="N404" s="69">
        <f t="shared" si="49"/>
        <v>256</v>
      </c>
      <c r="O404" s="95"/>
      <c r="P404" s="96"/>
      <c r="Q404" s="97"/>
      <c r="R404" s="149"/>
      <c r="S404" s="153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2"/>
      <c r="AD404" s="143"/>
      <c r="AE404" s="143"/>
      <c r="AF404" s="143"/>
      <c r="AG404" s="143"/>
      <c r="AH404" s="143"/>
      <c r="AI404" s="143"/>
      <c r="AJ404" s="144"/>
    </row>
    <row r="405" spans="11:36">
      <c r="K405" s="85"/>
      <c r="L405" s="54" t="str">
        <f t="shared" si="47"/>
        <v/>
      </c>
      <c r="M405" s="38" t="str">
        <f t="shared" si="46"/>
        <v>0100</v>
      </c>
      <c r="N405" s="69">
        <f t="shared" si="49"/>
        <v>256</v>
      </c>
      <c r="O405" s="95"/>
      <c r="P405" s="96"/>
      <c r="Q405" s="97"/>
      <c r="R405" s="149"/>
      <c r="S405" s="153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2"/>
      <c r="AD405" s="143"/>
      <c r="AE405" s="143"/>
      <c r="AF405" s="143"/>
      <c r="AG405" s="143"/>
      <c r="AH405" s="143"/>
      <c r="AI405" s="143"/>
      <c r="AJ405" s="144"/>
    </row>
    <row r="406" spans="11:36">
      <c r="K406" s="85"/>
      <c r="L406" s="54" t="str">
        <f t="shared" si="47"/>
        <v/>
      </c>
      <c r="M406" s="38" t="str">
        <f t="shared" si="46"/>
        <v>0100</v>
      </c>
      <c r="N406" s="69">
        <f t="shared" si="49"/>
        <v>256</v>
      </c>
      <c r="O406" s="95"/>
      <c r="P406" s="96"/>
      <c r="Q406" s="97"/>
      <c r="R406" s="149"/>
      <c r="S406" s="153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2"/>
      <c r="AD406" s="143"/>
      <c r="AE406" s="143"/>
      <c r="AF406" s="143"/>
      <c r="AG406" s="143"/>
      <c r="AH406" s="143"/>
      <c r="AI406" s="143"/>
      <c r="AJ406" s="144"/>
    </row>
    <row r="407" spans="11:36">
      <c r="K407" s="85"/>
      <c r="L407" s="54" t="str">
        <f t="shared" si="47"/>
        <v/>
      </c>
      <c r="M407" s="38" t="str">
        <f t="shared" si="46"/>
        <v>0100</v>
      </c>
      <c r="N407" s="69">
        <f t="shared" si="49"/>
        <v>256</v>
      </c>
      <c r="O407" s="95"/>
      <c r="P407" s="96"/>
      <c r="Q407" s="97"/>
      <c r="R407" s="149"/>
      <c r="S407" s="153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2"/>
      <c r="AD407" s="143"/>
      <c r="AE407" s="143"/>
      <c r="AF407" s="143"/>
      <c r="AG407" s="143"/>
      <c r="AH407" s="143"/>
      <c r="AI407" s="143"/>
      <c r="AJ407" s="144"/>
    </row>
    <row r="408" spans="11:36">
      <c r="K408" s="85"/>
      <c r="L408" s="54" t="str">
        <f t="shared" si="47"/>
        <v/>
      </c>
      <c r="M408" s="38" t="str">
        <f t="shared" si="46"/>
        <v>0100</v>
      </c>
      <c r="N408" s="69">
        <f t="shared" si="49"/>
        <v>256</v>
      </c>
      <c r="O408" s="95"/>
      <c r="P408" s="96"/>
      <c r="Q408" s="97"/>
      <c r="R408" s="149"/>
      <c r="S408" s="153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2"/>
      <c r="AD408" s="143"/>
      <c r="AE408" s="143"/>
      <c r="AF408" s="143"/>
      <c r="AG408" s="143"/>
      <c r="AH408" s="143"/>
      <c r="AI408" s="143"/>
      <c r="AJ408" s="144"/>
    </row>
    <row r="409" spans="11:36">
      <c r="K409" s="85"/>
      <c r="L409" s="54" t="str">
        <f t="shared" si="47"/>
        <v/>
      </c>
      <c r="M409" s="38" t="str">
        <f t="shared" si="46"/>
        <v>0100</v>
      </c>
      <c r="N409" s="69">
        <f t="shared" si="49"/>
        <v>256</v>
      </c>
      <c r="O409" s="95"/>
      <c r="P409" s="96"/>
      <c r="Q409" s="97"/>
      <c r="R409" s="149"/>
      <c r="S409" s="153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2"/>
      <c r="AD409" s="143"/>
      <c r="AE409" s="143"/>
      <c r="AF409" s="143"/>
      <c r="AG409" s="143"/>
      <c r="AH409" s="143"/>
      <c r="AI409" s="143"/>
      <c r="AJ409" s="144"/>
    </row>
    <row r="410" spans="11:36">
      <c r="K410" s="85"/>
      <c r="L410" s="54" t="str">
        <f t="shared" si="47"/>
        <v/>
      </c>
      <c r="M410" s="38" t="str">
        <f t="shared" si="46"/>
        <v>0100</v>
      </c>
      <c r="N410" s="69">
        <f t="shared" si="49"/>
        <v>256</v>
      </c>
      <c r="O410" s="95"/>
      <c r="P410" s="96"/>
      <c r="Q410" s="97"/>
      <c r="R410" s="149"/>
      <c r="S410" s="153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2"/>
      <c r="AD410" s="143"/>
      <c r="AE410" s="143"/>
      <c r="AF410" s="143"/>
      <c r="AG410" s="143"/>
      <c r="AH410" s="143"/>
      <c r="AI410" s="143"/>
      <c r="AJ410" s="144"/>
    </row>
    <row r="411" spans="11:36">
      <c r="K411" s="85"/>
      <c r="L411" s="54" t="str">
        <f t="shared" si="47"/>
        <v/>
      </c>
      <c r="M411" s="38" t="str">
        <f t="shared" si="46"/>
        <v>0100</v>
      </c>
      <c r="N411" s="69">
        <f t="shared" si="49"/>
        <v>256</v>
      </c>
      <c r="O411" s="95"/>
      <c r="P411" s="96"/>
      <c r="Q411" s="97"/>
      <c r="R411" s="149"/>
      <c r="S411" s="153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2"/>
      <c r="AD411" s="143"/>
      <c r="AE411" s="143"/>
      <c r="AF411" s="143"/>
      <c r="AG411" s="143"/>
      <c r="AH411" s="143"/>
      <c r="AI411" s="143"/>
      <c r="AJ411" s="144"/>
    </row>
    <row r="412" spans="11:36">
      <c r="K412" s="85"/>
      <c r="L412" s="54" t="str">
        <f t="shared" si="47"/>
        <v/>
      </c>
      <c r="M412" s="38" t="str">
        <f t="shared" si="46"/>
        <v>0100</v>
      </c>
      <c r="N412" s="69">
        <f t="shared" si="49"/>
        <v>256</v>
      </c>
      <c r="O412" s="95"/>
      <c r="P412" s="96"/>
      <c r="Q412" s="97"/>
      <c r="R412" s="149"/>
      <c r="S412" s="153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2"/>
      <c r="AD412" s="143"/>
      <c r="AE412" s="143"/>
      <c r="AF412" s="143"/>
      <c r="AG412" s="143"/>
      <c r="AH412" s="143"/>
      <c r="AI412" s="143"/>
      <c r="AJ412" s="144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0100</v>
      </c>
      <c r="N413" s="69">
        <f t="shared" si="49"/>
        <v>256</v>
      </c>
      <c r="O413" s="95"/>
      <c r="P413" s="96"/>
      <c r="Q413" s="97"/>
      <c r="R413" s="149"/>
      <c r="S413" s="153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2"/>
      <c r="AD413" s="143"/>
      <c r="AE413" s="143"/>
      <c r="AF413" s="143"/>
      <c r="AG413" s="143"/>
      <c r="AH413" s="143"/>
      <c r="AI413" s="143"/>
      <c r="AJ413" s="144"/>
    </row>
    <row r="414" spans="11:36">
      <c r="K414" s="85"/>
      <c r="L414" s="54" t="str">
        <f t="shared" si="47"/>
        <v/>
      </c>
      <c r="M414" s="38" t="str">
        <f t="shared" si="50"/>
        <v>0100</v>
      </c>
      <c r="N414" s="69">
        <f t="shared" si="49"/>
        <v>256</v>
      </c>
      <c r="O414" s="95"/>
      <c r="P414" s="96"/>
      <c r="Q414" s="97"/>
      <c r="R414" s="149"/>
      <c r="S414" s="153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2"/>
      <c r="AD414" s="143"/>
      <c r="AE414" s="143"/>
      <c r="AF414" s="143"/>
      <c r="AG414" s="143"/>
      <c r="AH414" s="143"/>
      <c r="AI414" s="143"/>
      <c r="AJ414" s="144"/>
    </row>
    <row r="415" spans="11:36">
      <c r="K415" s="85"/>
      <c r="L415" s="54" t="str">
        <f t="shared" si="47"/>
        <v/>
      </c>
      <c r="M415" s="38" t="str">
        <f t="shared" si="50"/>
        <v>0100</v>
      </c>
      <c r="N415" s="69">
        <f t="shared" si="49"/>
        <v>256</v>
      </c>
      <c r="O415" s="95"/>
      <c r="P415" s="96"/>
      <c r="Q415" s="97"/>
      <c r="R415" s="149"/>
      <c r="S415" s="153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2"/>
      <c r="AD415" s="143"/>
      <c r="AE415" s="143"/>
      <c r="AF415" s="143"/>
      <c r="AG415" s="143"/>
      <c r="AH415" s="143"/>
      <c r="AI415" s="143"/>
      <c r="AJ415" s="144"/>
    </row>
    <row r="416" spans="11:36">
      <c r="K416" s="85"/>
      <c r="L416" s="54" t="str">
        <f t="shared" si="47"/>
        <v/>
      </c>
      <c r="M416" s="38" t="str">
        <f t="shared" si="50"/>
        <v>0100</v>
      </c>
      <c r="N416" s="69">
        <f t="shared" si="49"/>
        <v>256</v>
      </c>
      <c r="O416" s="95"/>
      <c r="P416" s="96"/>
      <c r="Q416" s="97"/>
      <c r="R416" s="149"/>
      <c r="S416" s="153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2"/>
      <c r="AD416" s="143"/>
      <c r="AE416" s="143"/>
      <c r="AF416" s="143"/>
      <c r="AG416" s="143"/>
      <c r="AH416" s="143"/>
      <c r="AI416" s="143"/>
      <c r="AJ416" s="144"/>
    </row>
    <row r="417" spans="11:36">
      <c r="K417" s="85"/>
      <c r="L417" s="54" t="str">
        <f t="shared" si="47"/>
        <v/>
      </c>
      <c r="M417" s="38" t="str">
        <f t="shared" si="50"/>
        <v>0100</v>
      </c>
      <c r="N417" s="69">
        <f t="shared" si="49"/>
        <v>256</v>
      </c>
      <c r="O417" s="95"/>
      <c r="P417" s="96"/>
      <c r="Q417" s="97"/>
      <c r="R417" s="149"/>
      <c r="S417" s="153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2"/>
      <c r="AD417" s="143"/>
      <c r="AE417" s="143"/>
      <c r="AF417" s="143"/>
      <c r="AG417" s="143"/>
      <c r="AH417" s="143"/>
      <c r="AI417" s="143"/>
      <c r="AJ417" s="144"/>
    </row>
    <row r="418" spans="11:36">
      <c r="K418" s="85"/>
      <c r="L418" s="54" t="str">
        <f t="shared" si="47"/>
        <v/>
      </c>
      <c r="M418" s="38" t="str">
        <f t="shared" si="50"/>
        <v>0100</v>
      </c>
      <c r="N418" s="69">
        <f t="shared" si="49"/>
        <v>256</v>
      </c>
      <c r="O418" s="95"/>
      <c r="P418" s="96"/>
      <c r="Q418" s="97"/>
      <c r="R418" s="149"/>
      <c r="S418" s="153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2"/>
      <c r="AD418" s="143"/>
      <c r="AE418" s="143"/>
      <c r="AF418" s="143"/>
      <c r="AG418" s="143"/>
      <c r="AH418" s="143"/>
      <c r="AI418" s="143"/>
      <c r="AJ418" s="144"/>
    </row>
    <row r="419" spans="11:36">
      <c r="K419" s="85"/>
      <c r="L419" s="54" t="str">
        <f t="shared" si="47"/>
        <v/>
      </c>
      <c r="M419" s="38" t="str">
        <f t="shared" si="50"/>
        <v>0100</v>
      </c>
      <c r="N419" s="69">
        <f t="shared" si="49"/>
        <v>256</v>
      </c>
      <c r="O419" s="95"/>
      <c r="P419" s="96"/>
      <c r="Q419" s="97"/>
      <c r="R419" s="149"/>
      <c r="S419" s="153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2"/>
      <c r="AD419" s="143"/>
      <c r="AE419" s="143"/>
      <c r="AF419" s="143"/>
      <c r="AG419" s="143"/>
      <c r="AH419" s="143"/>
      <c r="AI419" s="143"/>
      <c r="AJ419" s="144"/>
    </row>
    <row r="420" spans="11:36">
      <c r="K420" s="85"/>
      <c r="L420" s="54" t="str">
        <f t="shared" si="47"/>
        <v/>
      </c>
      <c r="M420" s="38" t="str">
        <f t="shared" si="50"/>
        <v>0100</v>
      </c>
      <c r="N420" s="69">
        <f t="shared" si="49"/>
        <v>256</v>
      </c>
      <c r="O420" s="95"/>
      <c r="P420" s="96"/>
      <c r="Q420" s="97"/>
      <c r="R420" s="149"/>
      <c r="S420" s="153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2"/>
      <c r="AD420" s="143"/>
      <c r="AE420" s="143"/>
      <c r="AF420" s="143"/>
      <c r="AG420" s="143"/>
      <c r="AH420" s="143"/>
      <c r="AI420" s="143"/>
      <c r="AJ420" s="144"/>
    </row>
    <row r="421" spans="11:36">
      <c r="K421" s="85"/>
      <c r="L421" s="54" t="str">
        <f t="shared" si="47"/>
        <v/>
      </c>
      <c r="M421" s="38" t="str">
        <f t="shared" si="50"/>
        <v>0100</v>
      </c>
      <c r="N421" s="69">
        <f t="shared" si="49"/>
        <v>256</v>
      </c>
      <c r="O421" s="95"/>
      <c r="P421" s="96"/>
      <c r="Q421" s="97"/>
      <c r="R421" s="149"/>
      <c r="S421" s="153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2"/>
      <c r="AD421" s="143"/>
      <c r="AE421" s="143"/>
      <c r="AF421" s="143"/>
      <c r="AG421" s="143"/>
      <c r="AH421" s="143"/>
      <c r="AI421" s="143"/>
      <c r="AJ421" s="144"/>
    </row>
    <row r="422" spans="11:36">
      <c r="K422" s="85"/>
      <c r="L422" s="54" t="str">
        <f t="shared" si="47"/>
        <v/>
      </c>
      <c r="M422" s="38" t="str">
        <f t="shared" si="50"/>
        <v>0100</v>
      </c>
      <c r="N422" s="69">
        <f t="shared" si="49"/>
        <v>256</v>
      </c>
      <c r="O422" s="95"/>
      <c r="P422" s="96"/>
      <c r="Q422" s="97"/>
      <c r="R422" s="149"/>
      <c r="S422" s="153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2"/>
      <c r="AD422" s="143"/>
      <c r="AE422" s="143"/>
      <c r="AF422" s="143"/>
      <c r="AG422" s="143"/>
      <c r="AH422" s="143"/>
      <c r="AI422" s="143"/>
      <c r="AJ422" s="144"/>
    </row>
    <row r="423" spans="11:36">
      <c r="K423" s="85"/>
      <c r="L423" s="54" t="str">
        <f t="shared" si="47"/>
        <v/>
      </c>
      <c r="M423" s="38" t="str">
        <f t="shared" si="50"/>
        <v>0100</v>
      </c>
      <c r="N423" s="69">
        <f t="shared" si="49"/>
        <v>256</v>
      </c>
      <c r="O423" s="95"/>
      <c r="P423" s="96"/>
      <c r="Q423" s="97"/>
      <c r="R423" s="149"/>
      <c r="S423" s="153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2"/>
      <c r="AD423" s="143"/>
      <c r="AE423" s="143"/>
      <c r="AF423" s="143"/>
      <c r="AG423" s="143"/>
      <c r="AH423" s="143"/>
      <c r="AI423" s="143"/>
      <c r="AJ423" s="144"/>
    </row>
    <row r="424" spans="11:36">
      <c r="K424" s="85"/>
      <c r="L424" s="54" t="str">
        <f t="shared" si="47"/>
        <v/>
      </c>
      <c r="M424" s="38" t="str">
        <f t="shared" si="50"/>
        <v>0100</v>
      </c>
      <c r="N424" s="69">
        <f t="shared" si="49"/>
        <v>256</v>
      </c>
      <c r="O424" s="95"/>
      <c r="P424" s="96"/>
      <c r="Q424" s="97"/>
      <c r="R424" s="149"/>
      <c r="S424" s="153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2"/>
      <c r="AD424" s="143"/>
      <c r="AE424" s="143"/>
      <c r="AF424" s="143"/>
      <c r="AG424" s="143"/>
      <c r="AH424" s="143"/>
      <c r="AI424" s="143"/>
      <c r="AJ424" s="144"/>
    </row>
    <row r="425" spans="11:36">
      <c r="K425" s="85"/>
      <c r="L425" s="54" t="str">
        <f t="shared" si="47"/>
        <v/>
      </c>
      <c r="M425" s="38" t="str">
        <f t="shared" si="50"/>
        <v>0100</v>
      </c>
      <c r="N425" s="69">
        <f t="shared" si="49"/>
        <v>256</v>
      </c>
      <c r="O425" s="95"/>
      <c r="P425" s="96"/>
      <c r="Q425" s="97"/>
      <c r="R425" s="149"/>
      <c r="S425" s="153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2"/>
      <c r="AD425" s="143"/>
      <c r="AE425" s="143"/>
      <c r="AF425" s="143"/>
      <c r="AG425" s="143"/>
      <c r="AH425" s="143"/>
      <c r="AI425" s="143"/>
      <c r="AJ425" s="144"/>
    </row>
    <row r="426" spans="11:36">
      <c r="K426" s="85"/>
      <c r="L426" s="54" t="str">
        <f t="shared" si="47"/>
        <v/>
      </c>
      <c r="M426" s="38" t="str">
        <f t="shared" si="50"/>
        <v>0100</v>
      </c>
      <c r="N426" s="69">
        <f t="shared" si="49"/>
        <v>256</v>
      </c>
      <c r="O426" s="95"/>
      <c r="P426" s="96"/>
      <c r="Q426" s="97"/>
      <c r="R426" s="149"/>
      <c r="S426" s="153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2"/>
      <c r="AD426" s="143"/>
      <c r="AE426" s="143"/>
      <c r="AF426" s="143"/>
      <c r="AG426" s="143"/>
      <c r="AH426" s="143"/>
      <c r="AI426" s="143"/>
      <c r="AJ426" s="144"/>
    </row>
    <row r="427" spans="11:36">
      <c r="K427" s="85"/>
      <c r="L427" s="54" t="str">
        <f t="shared" si="47"/>
        <v/>
      </c>
      <c r="M427" s="38" t="str">
        <f t="shared" si="50"/>
        <v>0100</v>
      </c>
      <c r="N427" s="69">
        <f t="shared" si="49"/>
        <v>256</v>
      </c>
      <c r="O427" s="95"/>
      <c r="P427" s="96"/>
      <c r="Q427" s="97"/>
      <c r="R427" s="149"/>
      <c r="S427" s="153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2"/>
      <c r="AD427" s="143"/>
      <c r="AE427" s="143"/>
      <c r="AF427" s="143"/>
      <c r="AG427" s="143"/>
      <c r="AH427" s="143"/>
      <c r="AI427" s="143"/>
      <c r="AJ427" s="144"/>
    </row>
    <row r="428" spans="11:36">
      <c r="K428" s="85"/>
      <c r="L428" s="54" t="str">
        <f t="shared" si="47"/>
        <v/>
      </c>
      <c r="M428" s="38" t="str">
        <f t="shared" si="50"/>
        <v>0100</v>
      </c>
      <c r="N428" s="69">
        <f t="shared" si="49"/>
        <v>256</v>
      </c>
      <c r="O428" s="95"/>
      <c r="P428" s="96"/>
      <c r="Q428" s="97"/>
      <c r="R428" s="149"/>
      <c r="S428" s="153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2"/>
      <c r="AD428" s="143"/>
      <c r="AE428" s="143"/>
      <c r="AF428" s="143"/>
      <c r="AG428" s="143"/>
      <c r="AH428" s="143"/>
      <c r="AI428" s="143"/>
      <c r="AJ428" s="144"/>
    </row>
    <row r="429" spans="11:36">
      <c r="K429" s="85"/>
      <c r="L429" s="54" t="str">
        <f t="shared" si="47"/>
        <v/>
      </c>
      <c r="M429" s="38" t="str">
        <f t="shared" si="50"/>
        <v>0100</v>
      </c>
      <c r="N429" s="69">
        <f t="shared" si="49"/>
        <v>256</v>
      </c>
      <c r="O429" s="95"/>
      <c r="P429" s="96"/>
      <c r="Q429" s="97"/>
      <c r="R429" s="149"/>
      <c r="S429" s="153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2"/>
      <c r="AD429" s="143"/>
      <c r="AE429" s="143"/>
      <c r="AF429" s="143"/>
      <c r="AG429" s="143"/>
      <c r="AH429" s="143"/>
      <c r="AI429" s="143"/>
      <c r="AJ429" s="144"/>
    </row>
    <row r="430" spans="11:36">
      <c r="K430" s="85"/>
      <c r="L430" s="54" t="str">
        <f t="shared" si="47"/>
        <v/>
      </c>
      <c r="M430" s="38" t="str">
        <f t="shared" si="50"/>
        <v>0100</v>
      </c>
      <c r="N430" s="69">
        <f t="shared" si="49"/>
        <v>256</v>
      </c>
      <c r="O430" s="95"/>
      <c r="P430" s="96"/>
      <c r="Q430" s="97"/>
      <c r="R430" s="149"/>
      <c r="S430" s="153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2"/>
      <c r="AD430" s="143"/>
      <c r="AE430" s="143"/>
      <c r="AF430" s="143"/>
      <c r="AG430" s="143"/>
      <c r="AH430" s="143"/>
      <c r="AI430" s="143"/>
      <c r="AJ430" s="144"/>
    </row>
    <row r="431" spans="11:36">
      <c r="K431" s="85"/>
      <c r="L431" s="54" t="str">
        <f t="shared" si="47"/>
        <v/>
      </c>
      <c r="M431" s="38" t="str">
        <f t="shared" si="50"/>
        <v>0100</v>
      </c>
      <c r="N431" s="69">
        <f t="shared" si="49"/>
        <v>256</v>
      </c>
      <c r="O431" s="95"/>
      <c r="P431" s="96"/>
      <c r="Q431" s="97"/>
      <c r="R431" s="149"/>
      <c r="S431" s="153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2"/>
      <c r="AD431" s="143"/>
      <c r="AE431" s="143"/>
      <c r="AF431" s="143"/>
      <c r="AG431" s="143"/>
      <c r="AH431" s="143"/>
      <c r="AI431" s="143"/>
      <c r="AJ431" s="144"/>
    </row>
    <row r="432" spans="11:36">
      <c r="K432" s="85"/>
      <c r="L432" s="54" t="str">
        <f t="shared" si="47"/>
        <v/>
      </c>
      <c r="M432" s="38" t="str">
        <f t="shared" si="50"/>
        <v>0100</v>
      </c>
      <c r="N432" s="69">
        <f t="shared" si="49"/>
        <v>256</v>
      </c>
      <c r="O432" s="95"/>
      <c r="P432" s="96"/>
      <c r="Q432" s="97"/>
      <c r="R432" s="149"/>
      <c r="S432" s="153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2"/>
      <c r="AD432" s="143"/>
      <c r="AE432" s="143"/>
      <c r="AF432" s="143"/>
      <c r="AG432" s="143"/>
      <c r="AH432" s="143"/>
      <c r="AI432" s="143"/>
      <c r="AJ432" s="144"/>
    </row>
    <row r="433" spans="11:36">
      <c r="K433" s="85"/>
      <c r="L433" s="54" t="str">
        <f t="shared" si="47"/>
        <v/>
      </c>
      <c r="M433" s="38" t="str">
        <f t="shared" si="50"/>
        <v>0100</v>
      </c>
      <c r="N433" s="69">
        <f t="shared" si="49"/>
        <v>256</v>
      </c>
      <c r="O433" s="95"/>
      <c r="P433" s="96"/>
      <c r="Q433" s="97"/>
      <c r="R433" s="149"/>
      <c r="S433" s="153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2"/>
      <c r="AD433" s="143"/>
      <c r="AE433" s="143"/>
      <c r="AF433" s="143"/>
      <c r="AG433" s="143"/>
      <c r="AH433" s="143"/>
      <c r="AI433" s="143"/>
      <c r="AJ433" s="144"/>
    </row>
    <row r="434" spans="11:36">
      <c r="K434" s="85"/>
      <c r="L434" s="54" t="str">
        <f t="shared" si="47"/>
        <v/>
      </c>
      <c r="M434" s="38" t="str">
        <f t="shared" si="50"/>
        <v>0100</v>
      </c>
      <c r="N434" s="69">
        <f t="shared" si="49"/>
        <v>256</v>
      </c>
      <c r="O434" s="95"/>
      <c r="P434" s="96"/>
      <c r="Q434" s="97"/>
      <c r="R434" s="149"/>
      <c r="S434" s="153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2"/>
      <c r="AD434" s="143"/>
      <c r="AE434" s="143"/>
      <c r="AF434" s="143"/>
      <c r="AG434" s="143"/>
      <c r="AH434" s="143"/>
      <c r="AI434" s="143"/>
      <c r="AJ434" s="144"/>
    </row>
    <row r="435" spans="11:36">
      <c r="K435" s="85"/>
      <c r="L435" s="54" t="str">
        <f t="shared" si="47"/>
        <v/>
      </c>
      <c r="M435" s="38" t="str">
        <f t="shared" si="50"/>
        <v>0100</v>
      </c>
      <c r="N435" s="69">
        <f t="shared" si="49"/>
        <v>256</v>
      </c>
      <c r="O435" s="95"/>
      <c r="P435" s="96"/>
      <c r="Q435" s="97"/>
      <c r="R435" s="149"/>
      <c r="S435" s="153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2"/>
      <c r="AD435" s="143"/>
      <c r="AE435" s="143"/>
      <c r="AF435" s="143"/>
      <c r="AG435" s="143"/>
      <c r="AH435" s="143"/>
      <c r="AI435" s="143"/>
      <c r="AJ435" s="144"/>
    </row>
    <row r="436" spans="11:36">
      <c r="K436" s="85"/>
      <c r="L436" s="54" t="str">
        <f t="shared" si="47"/>
        <v/>
      </c>
      <c r="M436" s="38" t="str">
        <f t="shared" si="50"/>
        <v>0100</v>
      </c>
      <c r="N436" s="69">
        <f t="shared" si="49"/>
        <v>256</v>
      </c>
      <c r="O436" s="95"/>
      <c r="P436" s="96"/>
      <c r="Q436" s="97"/>
      <c r="R436" s="149"/>
      <c r="S436" s="153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2"/>
      <c r="AD436" s="143"/>
      <c r="AE436" s="143"/>
      <c r="AF436" s="143"/>
      <c r="AG436" s="143"/>
      <c r="AH436" s="143"/>
      <c r="AI436" s="143"/>
      <c r="AJ436" s="144"/>
    </row>
    <row r="437" spans="11:36">
      <c r="K437" s="85"/>
      <c r="L437" s="54" t="str">
        <f t="shared" si="47"/>
        <v/>
      </c>
      <c r="M437" s="38" t="str">
        <f t="shared" si="50"/>
        <v>0100</v>
      </c>
      <c r="N437" s="69">
        <f t="shared" si="49"/>
        <v>256</v>
      </c>
      <c r="O437" s="95"/>
      <c r="P437" s="96"/>
      <c r="Q437" s="97"/>
      <c r="R437" s="149"/>
      <c r="S437" s="153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2"/>
      <c r="AD437" s="143"/>
      <c r="AE437" s="143"/>
      <c r="AF437" s="143"/>
      <c r="AG437" s="143"/>
      <c r="AH437" s="143"/>
      <c r="AI437" s="143"/>
      <c r="AJ437" s="144"/>
    </row>
    <row r="438" spans="11:36">
      <c r="K438" s="85"/>
      <c r="L438" s="54" t="str">
        <f t="shared" si="47"/>
        <v/>
      </c>
      <c r="M438" s="38" t="str">
        <f t="shared" si="50"/>
        <v>0100</v>
      </c>
      <c r="N438" s="69">
        <f t="shared" si="49"/>
        <v>256</v>
      </c>
      <c r="O438" s="95"/>
      <c r="P438" s="96"/>
      <c r="Q438" s="97"/>
      <c r="R438" s="149"/>
      <c r="S438" s="153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2"/>
      <c r="AD438" s="143"/>
      <c r="AE438" s="143"/>
      <c r="AF438" s="143"/>
      <c r="AG438" s="143"/>
      <c r="AH438" s="143"/>
      <c r="AI438" s="143"/>
      <c r="AJ438" s="144"/>
    </row>
    <row r="439" spans="11:36">
      <c r="K439" s="85"/>
      <c r="L439" s="54" t="str">
        <f t="shared" si="47"/>
        <v/>
      </c>
      <c r="M439" s="38" t="str">
        <f t="shared" si="50"/>
        <v>0100</v>
      </c>
      <c r="N439" s="69">
        <f t="shared" si="49"/>
        <v>256</v>
      </c>
      <c r="O439" s="95"/>
      <c r="P439" s="96"/>
      <c r="Q439" s="97"/>
      <c r="R439" s="149"/>
      <c r="S439" s="153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2"/>
      <c r="AD439" s="143"/>
      <c r="AE439" s="143"/>
      <c r="AF439" s="143"/>
      <c r="AG439" s="143"/>
      <c r="AH439" s="143"/>
      <c r="AI439" s="143"/>
      <c r="AJ439" s="144"/>
    </row>
    <row r="440" spans="11:36">
      <c r="K440" s="85"/>
      <c r="L440" s="54" t="str">
        <f t="shared" si="47"/>
        <v/>
      </c>
      <c r="M440" s="38" t="str">
        <f t="shared" si="50"/>
        <v>0100</v>
      </c>
      <c r="N440" s="69">
        <f t="shared" si="49"/>
        <v>256</v>
      </c>
      <c r="O440" s="95"/>
      <c r="P440" s="96"/>
      <c r="Q440" s="97"/>
      <c r="R440" s="149"/>
      <c r="S440" s="153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2"/>
      <c r="AD440" s="143"/>
      <c r="AE440" s="143"/>
      <c r="AF440" s="143"/>
      <c r="AG440" s="143"/>
      <c r="AH440" s="143"/>
      <c r="AI440" s="143"/>
      <c r="AJ440" s="144"/>
    </row>
    <row r="441" spans="11:36">
      <c r="K441" s="85"/>
      <c r="L441" s="54" t="str">
        <f t="shared" si="47"/>
        <v/>
      </c>
      <c r="M441" s="38" t="str">
        <f t="shared" si="50"/>
        <v>0100</v>
      </c>
      <c r="N441" s="69">
        <f t="shared" si="49"/>
        <v>256</v>
      </c>
      <c r="O441" s="95"/>
      <c r="P441" s="96"/>
      <c r="Q441" s="97"/>
      <c r="R441" s="149"/>
      <c r="S441" s="153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2"/>
      <c r="AD441" s="143"/>
      <c r="AE441" s="143"/>
      <c r="AF441" s="143"/>
      <c r="AG441" s="143"/>
      <c r="AH441" s="143"/>
      <c r="AI441" s="143"/>
      <c r="AJ441" s="144"/>
    </row>
    <row r="442" spans="11:36">
      <c r="K442" s="85"/>
      <c r="L442" s="54" t="str">
        <f t="shared" si="47"/>
        <v/>
      </c>
      <c r="M442" s="38" t="str">
        <f t="shared" si="50"/>
        <v>0100</v>
      </c>
      <c r="N442" s="69">
        <f t="shared" si="49"/>
        <v>256</v>
      </c>
      <c r="O442" s="95"/>
      <c r="P442" s="96"/>
      <c r="Q442" s="97"/>
      <c r="R442" s="149"/>
      <c r="S442" s="153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2"/>
      <c r="AD442" s="143"/>
      <c r="AE442" s="143"/>
      <c r="AF442" s="143"/>
      <c r="AG442" s="143"/>
      <c r="AH442" s="143"/>
      <c r="AI442" s="143"/>
      <c r="AJ442" s="144"/>
    </row>
    <row r="443" spans="11:36">
      <c r="K443" s="85"/>
      <c r="L443" s="54" t="str">
        <f t="shared" si="47"/>
        <v/>
      </c>
      <c r="M443" s="38" t="str">
        <f t="shared" si="50"/>
        <v>0100</v>
      </c>
      <c r="N443" s="69">
        <f t="shared" si="49"/>
        <v>256</v>
      </c>
      <c r="O443" s="95"/>
      <c r="P443" s="96"/>
      <c r="Q443" s="97"/>
      <c r="R443" s="149"/>
      <c r="S443" s="153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2"/>
      <c r="AD443" s="143"/>
      <c r="AE443" s="143"/>
      <c r="AF443" s="143"/>
      <c r="AG443" s="143"/>
      <c r="AH443" s="143"/>
      <c r="AI443" s="143"/>
      <c r="AJ443" s="144"/>
    </row>
    <row r="444" spans="11:36">
      <c r="K444" s="85"/>
      <c r="L444" s="54" t="str">
        <f t="shared" si="47"/>
        <v/>
      </c>
      <c r="M444" s="38" t="str">
        <f t="shared" si="50"/>
        <v>0100</v>
      </c>
      <c r="N444" s="69">
        <f t="shared" si="49"/>
        <v>256</v>
      </c>
      <c r="O444" s="95"/>
      <c r="P444" s="96"/>
      <c r="Q444" s="97"/>
      <c r="R444" s="149"/>
      <c r="S444" s="153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2"/>
      <c r="AD444" s="143"/>
      <c r="AE444" s="143"/>
      <c r="AF444" s="143"/>
      <c r="AG444" s="143"/>
      <c r="AH444" s="143"/>
      <c r="AI444" s="143"/>
      <c r="AJ444" s="144"/>
    </row>
    <row r="445" spans="11:36">
      <c r="K445" s="85"/>
      <c r="L445" s="54" t="str">
        <f t="shared" si="47"/>
        <v/>
      </c>
      <c r="M445" s="38" t="str">
        <f t="shared" si="50"/>
        <v>0100</v>
      </c>
      <c r="N445" s="69">
        <f t="shared" si="49"/>
        <v>256</v>
      </c>
      <c r="O445" s="95"/>
      <c r="P445" s="96"/>
      <c r="Q445" s="97"/>
      <c r="R445" s="149"/>
      <c r="S445" s="153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2"/>
      <c r="AD445" s="143"/>
      <c r="AE445" s="143"/>
      <c r="AF445" s="143"/>
      <c r="AG445" s="143"/>
      <c r="AH445" s="143"/>
      <c r="AI445" s="143"/>
      <c r="AJ445" s="144"/>
    </row>
    <row r="446" spans="11:36">
      <c r="K446" s="85"/>
      <c r="L446" s="54" t="str">
        <f t="shared" si="47"/>
        <v/>
      </c>
      <c r="M446" s="38" t="str">
        <f t="shared" si="50"/>
        <v>0100</v>
      </c>
      <c r="N446" s="69">
        <f t="shared" si="49"/>
        <v>256</v>
      </c>
      <c r="O446" s="95"/>
      <c r="P446" s="96"/>
      <c r="Q446" s="97"/>
      <c r="R446" s="149"/>
      <c r="S446" s="153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2"/>
      <c r="AD446" s="143"/>
      <c r="AE446" s="143"/>
      <c r="AF446" s="143"/>
      <c r="AG446" s="143"/>
      <c r="AH446" s="143"/>
      <c r="AI446" s="143"/>
      <c r="AJ446" s="144"/>
    </row>
    <row r="447" spans="11:36">
      <c r="K447" s="85"/>
      <c r="L447" s="54" t="str">
        <f t="shared" si="47"/>
        <v/>
      </c>
      <c r="M447" s="38" t="str">
        <f t="shared" si="50"/>
        <v>0100</v>
      </c>
      <c r="N447" s="69">
        <f t="shared" si="49"/>
        <v>256</v>
      </c>
      <c r="O447" s="95"/>
      <c r="P447" s="96"/>
      <c r="Q447" s="97"/>
      <c r="R447" s="149"/>
      <c r="S447" s="153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2"/>
      <c r="AD447" s="143"/>
      <c r="AE447" s="143"/>
      <c r="AF447" s="143"/>
      <c r="AG447" s="143"/>
      <c r="AH447" s="143"/>
      <c r="AI447" s="143"/>
      <c r="AJ447" s="144"/>
    </row>
    <row r="448" spans="11:36">
      <c r="K448" s="85"/>
      <c r="L448" s="54" t="str">
        <f t="shared" si="47"/>
        <v/>
      </c>
      <c r="M448" s="38" t="str">
        <f t="shared" si="50"/>
        <v>0100</v>
      </c>
      <c r="N448" s="69">
        <f t="shared" si="49"/>
        <v>256</v>
      </c>
      <c r="O448" s="95"/>
      <c r="P448" s="96"/>
      <c r="Q448" s="97"/>
      <c r="R448" s="149"/>
      <c r="S448" s="153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2"/>
      <c r="AD448" s="143"/>
      <c r="AE448" s="143"/>
      <c r="AF448" s="143"/>
      <c r="AG448" s="143"/>
      <c r="AH448" s="143"/>
      <c r="AI448" s="143"/>
      <c r="AJ448" s="144"/>
    </row>
    <row r="449" spans="11:36">
      <c r="K449" s="85"/>
      <c r="L449" s="54" t="str">
        <f t="shared" si="47"/>
        <v/>
      </c>
      <c r="M449" s="38" t="str">
        <f t="shared" si="50"/>
        <v>0100</v>
      </c>
      <c r="N449" s="69">
        <f t="shared" si="49"/>
        <v>256</v>
      </c>
      <c r="O449" s="95"/>
      <c r="P449" s="96"/>
      <c r="Q449" s="97"/>
      <c r="R449" s="149"/>
      <c r="S449" s="153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2"/>
      <c r="AD449" s="143"/>
      <c r="AE449" s="143"/>
      <c r="AF449" s="143"/>
      <c r="AG449" s="143"/>
      <c r="AH449" s="143"/>
      <c r="AI449" s="143"/>
      <c r="AJ449" s="144"/>
    </row>
    <row r="450" spans="11:36">
      <c r="K450" s="85"/>
      <c r="L450" s="54" t="str">
        <f t="shared" si="47"/>
        <v/>
      </c>
      <c r="M450" s="38" t="str">
        <f t="shared" si="50"/>
        <v>0100</v>
      </c>
      <c r="N450" s="69">
        <f t="shared" si="49"/>
        <v>256</v>
      </c>
      <c r="O450" s="95"/>
      <c r="P450" s="96"/>
      <c r="Q450" s="97"/>
      <c r="R450" s="149"/>
      <c r="S450" s="153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2"/>
      <c r="AD450" s="143"/>
      <c r="AE450" s="143"/>
      <c r="AF450" s="143"/>
      <c r="AG450" s="143"/>
      <c r="AH450" s="143"/>
      <c r="AI450" s="143"/>
      <c r="AJ450" s="144"/>
    </row>
    <row r="451" spans="11:36">
      <c r="K451" s="85"/>
      <c r="L451" s="54" t="str">
        <f t="shared" si="47"/>
        <v/>
      </c>
      <c r="M451" s="38" t="str">
        <f t="shared" si="50"/>
        <v>0100</v>
      </c>
      <c r="N451" s="69">
        <f t="shared" si="49"/>
        <v>256</v>
      </c>
      <c r="O451" s="95"/>
      <c r="P451" s="96"/>
      <c r="Q451" s="97"/>
      <c r="R451" s="149"/>
      <c r="S451" s="153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2"/>
      <c r="AD451" s="143"/>
      <c r="AE451" s="143"/>
      <c r="AF451" s="143"/>
      <c r="AG451" s="143"/>
      <c r="AH451" s="143"/>
      <c r="AI451" s="143"/>
      <c r="AJ451" s="144"/>
    </row>
    <row r="452" spans="11:36">
      <c r="K452" s="85"/>
      <c r="L452" s="54" t="str">
        <f t="shared" si="47"/>
        <v/>
      </c>
      <c r="M452" s="38" t="str">
        <f t="shared" si="50"/>
        <v>0100</v>
      </c>
      <c r="N452" s="69">
        <f t="shared" si="49"/>
        <v>256</v>
      </c>
      <c r="O452" s="95"/>
      <c r="P452" s="96"/>
      <c r="Q452" s="97"/>
      <c r="R452" s="149"/>
      <c r="S452" s="153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2"/>
      <c r="AD452" s="143"/>
      <c r="AE452" s="143"/>
      <c r="AF452" s="143"/>
      <c r="AG452" s="143"/>
      <c r="AH452" s="143"/>
      <c r="AI452" s="143"/>
      <c r="AJ452" s="144"/>
    </row>
    <row r="453" spans="11:36">
      <c r="K453" s="85"/>
      <c r="L453" s="54" t="str">
        <f t="shared" si="47"/>
        <v/>
      </c>
      <c r="M453" s="38" t="str">
        <f t="shared" si="50"/>
        <v>0100</v>
      </c>
      <c r="N453" s="69">
        <f t="shared" si="49"/>
        <v>256</v>
      </c>
      <c r="O453" s="95"/>
      <c r="P453" s="96"/>
      <c r="Q453" s="97"/>
      <c r="R453" s="149"/>
      <c r="S453" s="153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2"/>
      <c r="AD453" s="143"/>
      <c r="AE453" s="143"/>
      <c r="AF453" s="143"/>
      <c r="AG453" s="143"/>
      <c r="AH453" s="143"/>
      <c r="AI453" s="143"/>
      <c r="AJ453" s="144"/>
    </row>
    <row r="454" spans="11:36">
      <c r="K454" s="85"/>
      <c r="L454" s="54" t="str">
        <f t="shared" si="47"/>
        <v/>
      </c>
      <c r="M454" s="38" t="str">
        <f t="shared" si="50"/>
        <v>0100</v>
      </c>
      <c r="N454" s="69">
        <f t="shared" si="49"/>
        <v>256</v>
      </c>
      <c r="O454" s="95"/>
      <c r="P454" s="96"/>
      <c r="Q454" s="97"/>
      <c r="R454" s="149"/>
      <c r="S454" s="153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2"/>
      <c r="AD454" s="143"/>
      <c r="AE454" s="143"/>
      <c r="AF454" s="143"/>
      <c r="AG454" s="143"/>
      <c r="AH454" s="143"/>
      <c r="AI454" s="143"/>
      <c r="AJ454" s="144"/>
    </row>
    <row r="455" spans="11:36">
      <c r="K455" s="85"/>
      <c r="L455" s="54" t="str">
        <f t="shared" si="47"/>
        <v/>
      </c>
      <c r="M455" s="38" t="str">
        <f t="shared" si="50"/>
        <v>0100</v>
      </c>
      <c r="N455" s="69">
        <f t="shared" si="49"/>
        <v>256</v>
      </c>
      <c r="O455" s="95"/>
      <c r="P455" s="96"/>
      <c r="Q455" s="97"/>
      <c r="R455" s="149"/>
      <c r="S455" s="153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2"/>
      <c r="AD455" s="143"/>
      <c r="AE455" s="143"/>
      <c r="AF455" s="143"/>
      <c r="AG455" s="143"/>
      <c r="AH455" s="143"/>
      <c r="AI455" s="143"/>
      <c r="AJ455" s="144"/>
    </row>
    <row r="456" spans="11:36">
      <c r="K456" s="85"/>
      <c r="L456" s="54" t="str">
        <f t="shared" si="47"/>
        <v/>
      </c>
      <c r="M456" s="38" t="str">
        <f t="shared" si="50"/>
        <v>0100</v>
      </c>
      <c r="N456" s="69">
        <f t="shared" si="49"/>
        <v>256</v>
      </c>
      <c r="O456" s="95"/>
      <c r="P456" s="96"/>
      <c r="Q456" s="97"/>
      <c r="R456" s="149"/>
      <c r="S456" s="153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2"/>
      <c r="AD456" s="143"/>
      <c r="AE456" s="143"/>
      <c r="AF456" s="143"/>
      <c r="AG456" s="143"/>
      <c r="AH456" s="143"/>
      <c r="AI456" s="143"/>
      <c r="AJ456" s="144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0100</v>
      </c>
      <c r="N457" s="69">
        <f t="shared" si="49"/>
        <v>256</v>
      </c>
      <c r="O457" s="95"/>
      <c r="P457" s="96"/>
      <c r="Q457" s="97"/>
      <c r="R457" s="149"/>
      <c r="S457" s="153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2"/>
      <c r="AD457" s="143"/>
      <c r="AE457" s="143"/>
      <c r="AF457" s="143"/>
      <c r="AG457" s="143"/>
      <c r="AH457" s="143"/>
      <c r="AI457" s="143"/>
      <c r="AJ457" s="144"/>
    </row>
    <row r="458" spans="11:36">
      <c r="K458" s="85"/>
      <c r="L458" s="54" t="str">
        <f t="shared" si="51"/>
        <v/>
      </c>
      <c r="M458" s="38" t="str">
        <f t="shared" si="50"/>
        <v>0100</v>
      </c>
      <c r="N458" s="69">
        <f t="shared" ref="N458:N521" si="53">N457+S457</f>
        <v>256</v>
      </c>
      <c r="O458" s="95"/>
      <c r="P458" s="96"/>
      <c r="Q458" s="97"/>
      <c r="R458" s="149"/>
      <c r="S458" s="153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2"/>
      <c r="AD458" s="143"/>
      <c r="AE458" s="143"/>
      <c r="AF458" s="143"/>
      <c r="AG458" s="143"/>
      <c r="AH458" s="143"/>
      <c r="AI458" s="143"/>
      <c r="AJ458" s="144"/>
    </row>
    <row r="459" spans="11:36">
      <c r="K459" s="85"/>
      <c r="L459" s="54" t="str">
        <f t="shared" si="51"/>
        <v/>
      </c>
      <c r="M459" s="38" t="str">
        <f t="shared" si="50"/>
        <v>0100</v>
      </c>
      <c r="N459" s="69">
        <f t="shared" si="53"/>
        <v>256</v>
      </c>
      <c r="O459" s="95"/>
      <c r="P459" s="96"/>
      <c r="Q459" s="97"/>
      <c r="R459" s="149"/>
      <c r="S459" s="153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2"/>
      <c r="AD459" s="143"/>
      <c r="AE459" s="143"/>
      <c r="AF459" s="143"/>
      <c r="AG459" s="143"/>
      <c r="AH459" s="143"/>
      <c r="AI459" s="143"/>
      <c r="AJ459" s="144"/>
    </row>
    <row r="460" spans="11:36">
      <c r="K460" s="85"/>
      <c r="L460" s="54" t="str">
        <f t="shared" si="51"/>
        <v/>
      </c>
      <c r="M460" s="38" t="str">
        <f t="shared" si="50"/>
        <v>0100</v>
      </c>
      <c r="N460" s="69">
        <f t="shared" si="53"/>
        <v>256</v>
      </c>
      <c r="O460" s="95"/>
      <c r="P460" s="96"/>
      <c r="Q460" s="97"/>
      <c r="R460" s="149"/>
      <c r="S460" s="153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2"/>
      <c r="AD460" s="143"/>
      <c r="AE460" s="143"/>
      <c r="AF460" s="143"/>
      <c r="AG460" s="143"/>
      <c r="AH460" s="143"/>
      <c r="AI460" s="143"/>
      <c r="AJ460" s="144"/>
    </row>
    <row r="461" spans="11:36">
      <c r="K461" s="85"/>
      <c r="L461" s="54" t="str">
        <f t="shared" si="51"/>
        <v/>
      </c>
      <c r="M461" s="38" t="str">
        <f t="shared" si="50"/>
        <v>0100</v>
      </c>
      <c r="N461" s="69">
        <f t="shared" si="53"/>
        <v>256</v>
      </c>
      <c r="O461" s="95"/>
      <c r="P461" s="96"/>
      <c r="Q461" s="97"/>
      <c r="R461" s="149"/>
      <c r="S461" s="153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2"/>
      <c r="AD461" s="143"/>
      <c r="AE461" s="143"/>
      <c r="AF461" s="143"/>
      <c r="AG461" s="143"/>
      <c r="AH461" s="143"/>
      <c r="AI461" s="143"/>
      <c r="AJ461" s="144"/>
    </row>
    <row r="462" spans="11:36">
      <c r="K462" s="85"/>
      <c r="L462" s="54" t="str">
        <f t="shared" si="51"/>
        <v/>
      </c>
      <c r="M462" s="38" t="str">
        <f t="shared" si="50"/>
        <v>0100</v>
      </c>
      <c r="N462" s="69">
        <f t="shared" si="53"/>
        <v>256</v>
      </c>
      <c r="O462" s="95"/>
      <c r="P462" s="96"/>
      <c r="Q462" s="97"/>
      <c r="R462" s="149"/>
      <c r="S462" s="153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2"/>
      <c r="AD462" s="143"/>
      <c r="AE462" s="143"/>
      <c r="AF462" s="143"/>
      <c r="AG462" s="143"/>
      <c r="AH462" s="143"/>
      <c r="AI462" s="143"/>
      <c r="AJ462" s="144"/>
    </row>
    <row r="463" spans="11:36">
      <c r="K463" s="85"/>
      <c r="L463" s="54" t="str">
        <f t="shared" si="51"/>
        <v/>
      </c>
      <c r="M463" s="38" t="str">
        <f t="shared" si="50"/>
        <v>0100</v>
      </c>
      <c r="N463" s="69">
        <f t="shared" si="53"/>
        <v>256</v>
      </c>
      <c r="O463" s="95"/>
      <c r="P463" s="96"/>
      <c r="Q463" s="97"/>
      <c r="R463" s="149"/>
      <c r="S463" s="153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2"/>
      <c r="AD463" s="143"/>
      <c r="AE463" s="143"/>
      <c r="AF463" s="143"/>
      <c r="AG463" s="143"/>
      <c r="AH463" s="143"/>
      <c r="AI463" s="143"/>
      <c r="AJ463" s="144"/>
    </row>
    <row r="464" spans="11:36">
      <c r="K464" s="85"/>
      <c r="L464" s="54" t="str">
        <f t="shared" si="51"/>
        <v/>
      </c>
      <c r="M464" s="38" t="str">
        <f t="shared" si="50"/>
        <v>0100</v>
      </c>
      <c r="N464" s="69">
        <f t="shared" si="53"/>
        <v>256</v>
      </c>
      <c r="O464" s="95"/>
      <c r="P464" s="96"/>
      <c r="Q464" s="97"/>
      <c r="R464" s="149"/>
      <c r="S464" s="153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2"/>
      <c r="AD464" s="143"/>
      <c r="AE464" s="143"/>
      <c r="AF464" s="143"/>
      <c r="AG464" s="143"/>
      <c r="AH464" s="143"/>
      <c r="AI464" s="143"/>
      <c r="AJ464" s="144"/>
    </row>
    <row r="465" spans="11:36">
      <c r="K465" s="85"/>
      <c r="L465" s="54" t="str">
        <f t="shared" si="51"/>
        <v/>
      </c>
      <c r="M465" s="38" t="str">
        <f t="shared" si="50"/>
        <v>0100</v>
      </c>
      <c r="N465" s="69">
        <f t="shared" si="53"/>
        <v>256</v>
      </c>
      <c r="O465" s="95"/>
      <c r="P465" s="96"/>
      <c r="Q465" s="97"/>
      <c r="R465" s="149"/>
      <c r="S465" s="153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2"/>
      <c r="AD465" s="143"/>
      <c r="AE465" s="143"/>
      <c r="AF465" s="143"/>
      <c r="AG465" s="143"/>
      <c r="AH465" s="143"/>
      <c r="AI465" s="143"/>
      <c r="AJ465" s="144"/>
    </row>
    <row r="466" spans="11:36">
      <c r="K466" s="85"/>
      <c r="L466" s="54" t="str">
        <f t="shared" si="51"/>
        <v/>
      </c>
      <c r="M466" s="38" t="str">
        <f t="shared" si="50"/>
        <v>0100</v>
      </c>
      <c r="N466" s="69">
        <f t="shared" si="53"/>
        <v>256</v>
      </c>
      <c r="O466" s="95"/>
      <c r="P466" s="96"/>
      <c r="Q466" s="97"/>
      <c r="R466" s="149"/>
      <c r="S466" s="153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2"/>
      <c r="AD466" s="143"/>
      <c r="AE466" s="143"/>
      <c r="AF466" s="143"/>
      <c r="AG466" s="143"/>
      <c r="AH466" s="143"/>
      <c r="AI466" s="143"/>
      <c r="AJ466" s="144"/>
    </row>
    <row r="467" spans="11:36">
      <c r="K467" s="85"/>
      <c r="L467" s="54" t="str">
        <f t="shared" si="51"/>
        <v/>
      </c>
      <c r="M467" s="38" t="str">
        <f t="shared" si="50"/>
        <v>0100</v>
      </c>
      <c r="N467" s="69">
        <f t="shared" si="53"/>
        <v>256</v>
      </c>
      <c r="O467" s="95"/>
      <c r="P467" s="96"/>
      <c r="Q467" s="97"/>
      <c r="R467" s="149"/>
      <c r="S467" s="153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2"/>
      <c r="AD467" s="143"/>
      <c r="AE467" s="143"/>
      <c r="AF467" s="143"/>
      <c r="AG467" s="143"/>
      <c r="AH467" s="143"/>
      <c r="AI467" s="143"/>
      <c r="AJ467" s="144"/>
    </row>
    <row r="468" spans="11:36">
      <c r="K468" s="85"/>
      <c r="L468" s="54" t="str">
        <f t="shared" si="51"/>
        <v/>
      </c>
      <c r="M468" s="38" t="str">
        <f t="shared" si="50"/>
        <v>0100</v>
      </c>
      <c r="N468" s="69">
        <f t="shared" si="53"/>
        <v>256</v>
      </c>
      <c r="O468" s="95"/>
      <c r="P468" s="96"/>
      <c r="Q468" s="97"/>
      <c r="R468" s="149"/>
      <c r="S468" s="153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2"/>
      <c r="AD468" s="143"/>
      <c r="AE468" s="143"/>
      <c r="AF468" s="143"/>
      <c r="AG468" s="143"/>
      <c r="AH468" s="143"/>
      <c r="AI468" s="143"/>
      <c r="AJ468" s="144"/>
    </row>
    <row r="469" spans="11:36">
      <c r="K469" s="85"/>
      <c r="L469" s="54" t="str">
        <f t="shared" si="51"/>
        <v/>
      </c>
      <c r="M469" s="38" t="str">
        <f t="shared" si="50"/>
        <v>0100</v>
      </c>
      <c r="N469" s="69">
        <f t="shared" si="53"/>
        <v>256</v>
      </c>
      <c r="O469" s="95"/>
      <c r="P469" s="96"/>
      <c r="Q469" s="97"/>
      <c r="R469" s="149"/>
      <c r="S469" s="153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2"/>
      <c r="AD469" s="143"/>
      <c r="AE469" s="143"/>
      <c r="AF469" s="143"/>
      <c r="AG469" s="143"/>
      <c r="AH469" s="143"/>
      <c r="AI469" s="143"/>
      <c r="AJ469" s="144"/>
    </row>
    <row r="470" spans="11:36">
      <c r="K470" s="85"/>
      <c r="L470" s="54" t="str">
        <f t="shared" si="51"/>
        <v/>
      </c>
      <c r="M470" s="38" t="str">
        <f t="shared" si="50"/>
        <v>0100</v>
      </c>
      <c r="N470" s="69">
        <f t="shared" si="53"/>
        <v>256</v>
      </c>
      <c r="O470" s="95"/>
      <c r="P470" s="96"/>
      <c r="Q470" s="97"/>
      <c r="R470" s="149"/>
      <c r="S470" s="153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2"/>
      <c r="AD470" s="143"/>
      <c r="AE470" s="143"/>
      <c r="AF470" s="143"/>
      <c r="AG470" s="143"/>
      <c r="AH470" s="143"/>
      <c r="AI470" s="143"/>
      <c r="AJ470" s="144"/>
    </row>
    <row r="471" spans="11:36">
      <c r="K471" s="85"/>
      <c r="L471" s="54" t="str">
        <f t="shared" si="51"/>
        <v/>
      </c>
      <c r="M471" s="38" t="str">
        <f t="shared" si="50"/>
        <v>0100</v>
      </c>
      <c r="N471" s="69">
        <f t="shared" si="53"/>
        <v>256</v>
      </c>
      <c r="O471" s="95"/>
      <c r="P471" s="96"/>
      <c r="Q471" s="97"/>
      <c r="R471" s="149"/>
      <c r="S471" s="153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2"/>
      <c r="AD471" s="143"/>
      <c r="AE471" s="143"/>
      <c r="AF471" s="143"/>
      <c r="AG471" s="143"/>
      <c r="AH471" s="143"/>
      <c r="AI471" s="143"/>
      <c r="AJ471" s="144"/>
    </row>
    <row r="472" spans="11:36">
      <c r="K472" s="85"/>
      <c r="L472" s="54" t="str">
        <f t="shared" si="51"/>
        <v/>
      </c>
      <c r="M472" s="38" t="str">
        <f t="shared" si="50"/>
        <v>0100</v>
      </c>
      <c r="N472" s="69">
        <f t="shared" si="53"/>
        <v>256</v>
      </c>
      <c r="O472" s="95"/>
      <c r="P472" s="96"/>
      <c r="Q472" s="97"/>
      <c r="R472" s="149"/>
      <c r="S472" s="153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2"/>
      <c r="AD472" s="143"/>
      <c r="AE472" s="143"/>
      <c r="AF472" s="143"/>
      <c r="AG472" s="143"/>
      <c r="AH472" s="143"/>
      <c r="AI472" s="143"/>
      <c r="AJ472" s="144"/>
    </row>
    <row r="473" spans="11:36">
      <c r="K473" s="85"/>
      <c r="L473" s="54" t="str">
        <f t="shared" si="51"/>
        <v/>
      </c>
      <c r="M473" s="38" t="str">
        <f t="shared" si="50"/>
        <v>0100</v>
      </c>
      <c r="N473" s="69">
        <f t="shared" si="53"/>
        <v>256</v>
      </c>
      <c r="O473" s="95"/>
      <c r="P473" s="96"/>
      <c r="Q473" s="97"/>
      <c r="R473" s="149"/>
      <c r="S473" s="153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2"/>
      <c r="AD473" s="143"/>
      <c r="AE473" s="143"/>
      <c r="AF473" s="143"/>
      <c r="AG473" s="143"/>
      <c r="AH473" s="143"/>
      <c r="AI473" s="143"/>
      <c r="AJ473" s="144"/>
    </row>
    <row r="474" spans="11:36">
      <c r="K474" s="85"/>
      <c r="L474" s="54" t="str">
        <f t="shared" si="51"/>
        <v/>
      </c>
      <c r="M474" s="38" t="str">
        <f t="shared" si="50"/>
        <v>0100</v>
      </c>
      <c r="N474" s="69">
        <f t="shared" si="53"/>
        <v>256</v>
      </c>
      <c r="O474" s="95"/>
      <c r="P474" s="96"/>
      <c r="Q474" s="97"/>
      <c r="R474" s="149"/>
      <c r="S474" s="153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2"/>
      <c r="AD474" s="143"/>
      <c r="AE474" s="143"/>
      <c r="AF474" s="143"/>
      <c r="AG474" s="143"/>
      <c r="AH474" s="143"/>
      <c r="AI474" s="143"/>
      <c r="AJ474" s="144"/>
    </row>
    <row r="475" spans="11:36">
      <c r="K475" s="85"/>
      <c r="L475" s="54" t="str">
        <f t="shared" si="51"/>
        <v/>
      </c>
      <c r="M475" s="38" t="str">
        <f t="shared" si="50"/>
        <v>0100</v>
      </c>
      <c r="N475" s="69">
        <f t="shared" si="53"/>
        <v>256</v>
      </c>
      <c r="O475" s="95"/>
      <c r="P475" s="96"/>
      <c r="Q475" s="97"/>
      <c r="R475" s="149"/>
      <c r="S475" s="153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2"/>
      <c r="AD475" s="143"/>
      <c r="AE475" s="143"/>
      <c r="AF475" s="143"/>
      <c r="AG475" s="143"/>
      <c r="AH475" s="143"/>
      <c r="AI475" s="143"/>
      <c r="AJ475" s="144"/>
    </row>
    <row r="476" spans="11:36">
      <c r="K476" s="85"/>
      <c r="L476" s="54" t="str">
        <f t="shared" si="51"/>
        <v/>
      </c>
      <c r="M476" s="38" t="str">
        <f t="shared" si="50"/>
        <v>0100</v>
      </c>
      <c r="N476" s="69">
        <f t="shared" si="53"/>
        <v>256</v>
      </c>
      <c r="O476" s="95"/>
      <c r="P476" s="96"/>
      <c r="Q476" s="97"/>
      <c r="R476" s="149"/>
      <c r="S476" s="153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2"/>
      <c r="AD476" s="143"/>
      <c r="AE476" s="143"/>
      <c r="AF476" s="143"/>
      <c r="AG476" s="143"/>
      <c r="AH476" s="143"/>
      <c r="AI476" s="143"/>
      <c r="AJ476" s="144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0100</v>
      </c>
      <c r="N477" s="69">
        <f t="shared" si="53"/>
        <v>256</v>
      </c>
      <c r="O477" s="95"/>
      <c r="P477" s="96"/>
      <c r="Q477" s="97"/>
      <c r="R477" s="149"/>
      <c r="S477" s="153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2"/>
      <c r="AD477" s="143"/>
      <c r="AE477" s="143"/>
      <c r="AF477" s="143"/>
      <c r="AG477" s="143"/>
      <c r="AH477" s="143"/>
      <c r="AI477" s="143"/>
      <c r="AJ477" s="144"/>
    </row>
    <row r="478" spans="11:36">
      <c r="K478" s="85"/>
      <c r="L478" s="54" t="str">
        <f t="shared" si="51"/>
        <v/>
      </c>
      <c r="M478" s="38" t="str">
        <f t="shared" si="54"/>
        <v>0100</v>
      </c>
      <c r="N478" s="69">
        <f t="shared" si="53"/>
        <v>256</v>
      </c>
      <c r="O478" s="95"/>
      <c r="P478" s="96"/>
      <c r="Q478" s="97"/>
      <c r="R478" s="149"/>
      <c r="S478" s="153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2"/>
      <c r="AD478" s="143"/>
      <c r="AE478" s="143"/>
      <c r="AF478" s="143"/>
      <c r="AG478" s="143"/>
      <c r="AH478" s="143"/>
      <c r="AI478" s="143"/>
      <c r="AJ478" s="144"/>
    </row>
    <row r="479" spans="11:36">
      <c r="K479" s="85"/>
      <c r="L479" s="54" t="str">
        <f t="shared" si="51"/>
        <v/>
      </c>
      <c r="M479" s="38" t="str">
        <f t="shared" si="54"/>
        <v>0100</v>
      </c>
      <c r="N479" s="69">
        <f t="shared" si="53"/>
        <v>256</v>
      </c>
      <c r="O479" s="95"/>
      <c r="P479" s="96"/>
      <c r="Q479" s="97"/>
      <c r="R479" s="149"/>
      <c r="S479" s="153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2"/>
      <c r="AD479" s="143"/>
      <c r="AE479" s="143"/>
      <c r="AF479" s="143"/>
      <c r="AG479" s="143"/>
      <c r="AH479" s="143"/>
      <c r="AI479" s="143"/>
      <c r="AJ479" s="144"/>
    </row>
    <row r="480" spans="11:36">
      <c r="K480" s="85"/>
      <c r="L480" s="54" t="str">
        <f t="shared" si="51"/>
        <v/>
      </c>
      <c r="M480" s="38" t="str">
        <f t="shared" si="54"/>
        <v>0100</v>
      </c>
      <c r="N480" s="69">
        <f t="shared" si="53"/>
        <v>256</v>
      </c>
      <c r="O480" s="95"/>
      <c r="P480" s="96"/>
      <c r="Q480" s="97"/>
      <c r="R480" s="149"/>
      <c r="S480" s="153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2"/>
      <c r="AD480" s="143"/>
      <c r="AE480" s="143"/>
      <c r="AF480" s="143"/>
      <c r="AG480" s="143"/>
      <c r="AH480" s="143"/>
      <c r="AI480" s="143"/>
      <c r="AJ480" s="144"/>
    </row>
    <row r="481" spans="11:36">
      <c r="K481" s="85"/>
      <c r="L481" s="54" t="str">
        <f t="shared" si="51"/>
        <v/>
      </c>
      <c r="M481" s="38" t="str">
        <f t="shared" si="54"/>
        <v>0100</v>
      </c>
      <c r="N481" s="69">
        <f t="shared" si="53"/>
        <v>256</v>
      </c>
      <c r="O481" s="95"/>
      <c r="P481" s="96"/>
      <c r="Q481" s="97"/>
      <c r="R481" s="149"/>
      <c r="S481" s="153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2"/>
      <c r="AD481" s="143"/>
      <c r="AE481" s="143"/>
      <c r="AF481" s="143"/>
      <c r="AG481" s="143"/>
      <c r="AH481" s="143"/>
      <c r="AI481" s="143"/>
      <c r="AJ481" s="144"/>
    </row>
    <row r="482" spans="11:36">
      <c r="K482" s="85"/>
      <c r="L482" s="54" t="str">
        <f t="shared" si="51"/>
        <v/>
      </c>
      <c r="M482" s="38" t="str">
        <f t="shared" si="54"/>
        <v>0100</v>
      </c>
      <c r="N482" s="69">
        <f t="shared" si="53"/>
        <v>256</v>
      </c>
      <c r="O482" s="95"/>
      <c r="P482" s="96"/>
      <c r="Q482" s="97"/>
      <c r="R482" s="149"/>
      <c r="S482" s="153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2"/>
      <c r="AD482" s="143"/>
      <c r="AE482" s="143"/>
      <c r="AF482" s="143"/>
      <c r="AG482" s="143"/>
      <c r="AH482" s="143"/>
      <c r="AI482" s="143"/>
      <c r="AJ482" s="144"/>
    </row>
    <row r="483" spans="11:36">
      <c r="K483" s="85"/>
      <c r="L483" s="54" t="str">
        <f t="shared" si="51"/>
        <v/>
      </c>
      <c r="M483" s="38" t="str">
        <f t="shared" si="54"/>
        <v>0100</v>
      </c>
      <c r="N483" s="69">
        <f t="shared" si="53"/>
        <v>256</v>
      </c>
      <c r="O483" s="95"/>
      <c r="P483" s="96"/>
      <c r="Q483" s="97"/>
      <c r="R483" s="149"/>
      <c r="S483" s="153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2"/>
      <c r="AD483" s="143"/>
      <c r="AE483" s="143"/>
      <c r="AF483" s="143"/>
      <c r="AG483" s="143"/>
      <c r="AH483" s="143"/>
      <c r="AI483" s="143"/>
      <c r="AJ483" s="144"/>
    </row>
    <row r="484" spans="11:36">
      <c r="K484" s="85"/>
      <c r="L484" s="54" t="str">
        <f t="shared" si="51"/>
        <v/>
      </c>
      <c r="M484" s="38" t="str">
        <f t="shared" si="54"/>
        <v>0100</v>
      </c>
      <c r="N484" s="69">
        <f t="shared" si="53"/>
        <v>256</v>
      </c>
      <c r="O484" s="95"/>
      <c r="P484" s="96"/>
      <c r="Q484" s="97"/>
      <c r="R484" s="149"/>
      <c r="S484" s="153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2"/>
      <c r="AD484" s="143"/>
      <c r="AE484" s="143"/>
      <c r="AF484" s="143"/>
      <c r="AG484" s="143"/>
      <c r="AH484" s="143"/>
      <c r="AI484" s="143"/>
      <c r="AJ484" s="144"/>
    </row>
    <row r="485" spans="11:36">
      <c r="K485" s="85"/>
      <c r="L485" s="54" t="str">
        <f t="shared" si="51"/>
        <v/>
      </c>
      <c r="M485" s="38" t="str">
        <f t="shared" si="54"/>
        <v>0100</v>
      </c>
      <c r="N485" s="69">
        <f t="shared" si="53"/>
        <v>256</v>
      </c>
      <c r="O485" s="95"/>
      <c r="P485" s="96"/>
      <c r="Q485" s="97"/>
      <c r="R485" s="149"/>
      <c r="S485" s="153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2"/>
      <c r="AD485" s="143"/>
      <c r="AE485" s="143"/>
      <c r="AF485" s="143"/>
      <c r="AG485" s="143"/>
      <c r="AH485" s="143"/>
      <c r="AI485" s="143"/>
      <c r="AJ485" s="144"/>
    </row>
    <row r="486" spans="11:36">
      <c r="K486" s="85"/>
      <c r="L486" s="54" t="str">
        <f t="shared" si="51"/>
        <v/>
      </c>
      <c r="M486" s="38" t="str">
        <f t="shared" si="54"/>
        <v>0100</v>
      </c>
      <c r="N486" s="69">
        <f t="shared" si="53"/>
        <v>256</v>
      </c>
      <c r="O486" s="95"/>
      <c r="P486" s="96"/>
      <c r="Q486" s="97"/>
      <c r="R486" s="149"/>
      <c r="S486" s="153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2"/>
      <c r="AD486" s="143"/>
      <c r="AE486" s="143"/>
      <c r="AF486" s="143"/>
      <c r="AG486" s="143"/>
      <c r="AH486" s="143"/>
      <c r="AI486" s="143"/>
      <c r="AJ486" s="144"/>
    </row>
    <row r="487" spans="11:36">
      <c r="K487" s="85"/>
      <c r="L487" s="54" t="str">
        <f t="shared" si="51"/>
        <v/>
      </c>
      <c r="M487" s="38" t="str">
        <f t="shared" si="54"/>
        <v>0100</v>
      </c>
      <c r="N487" s="69">
        <f t="shared" si="53"/>
        <v>256</v>
      </c>
      <c r="O487" s="95"/>
      <c r="P487" s="96"/>
      <c r="Q487" s="97"/>
      <c r="R487" s="149"/>
      <c r="S487" s="153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2"/>
      <c r="AD487" s="143"/>
      <c r="AE487" s="143"/>
      <c r="AF487" s="143"/>
      <c r="AG487" s="143"/>
      <c r="AH487" s="143"/>
      <c r="AI487" s="143"/>
      <c r="AJ487" s="144"/>
    </row>
    <row r="488" spans="11:36">
      <c r="K488" s="85"/>
      <c r="L488" s="54" t="str">
        <f t="shared" si="51"/>
        <v/>
      </c>
      <c r="M488" s="38" t="str">
        <f t="shared" si="54"/>
        <v>0100</v>
      </c>
      <c r="N488" s="69">
        <f t="shared" si="53"/>
        <v>256</v>
      </c>
      <c r="O488" s="95"/>
      <c r="P488" s="96"/>
      <c r="Q488" s="97"/>
      <c r="R488" s="149"/>
      <c r="S488" s="153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2"/>
      <c r="AD488" s="143"/>
      <c r="AE488" s="143"/>
      <c r="AF488" s="143"/>
      <c r="AG488" s="143"/>
      <c r="AH488" s="143"/>
      <c r="AI488" s="143"/>
      <c r="AJ488" s="144"/>
    </row>
    <row r="489" spans="11:36">
      <c r="K489" s="85"/>
      <c r="L489" s="54" t="str">
        <f t="shared" si="51"/>
        <v/>
      </c>
      <c r="M489" s="38" t="str">
        <f t="shared" si="54"/>
        <v>0100</v>
      </c>
      <c r="N489" s="69">
        <f t="shared" si="53"/>
        <v>256</v>
      </c>
      <c r="O489" s="95"/>
      <c r="P489" s="96"/>
      <c r="Q489" s="97"/>
      <c r="R489" s="149"/>
      <c r="S489" s="153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2"/>
      <c r="AD489" s="143"/>
      <c r="AE489" s="143"/>
      <c r="AF489" s="143"/>
      <c r="AG489" s="143"/>
      <c r="AH489" s="143"/>
      <c r="AI489" s="143"/>
      <c r="AJ489" s="144"/>
    </row>
    <row r="490" spans="11:36">
      <c r="K490" s="85"/>
      <c r="L490" s="54" t="str">
        <f t="shared" si="51"/>
        <v/>
      </c>
      <c r="M490" s="38" t="str">
        <f t="shared" si="54"/>
        <v>0100</v>
      </c>
      <c r="N490" s="69">
        <f t="shared" si="53"/>
        <v>256</v>
      </c>
      <c r="O490" s="95"/>
      <c r="P490" s="96"/>
      <c r="Q490" s="97"/>
      <c r="R490" s="149"/>
      <c r="S490" s="153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2"/>
      <c r="AD490" s="143"/>
      <c r="AE490" s="143"/>
      <c r="AF490" s="143"/>
      <c r="AG490" s="143"/>
      <c r="AH490" s="143"/>
      <c r="AI490" s="143"/>
      <c r="AJ490" s="144"/>
    </row>
    <row r="491" spans="11:36">
      <c r="K491" s="85"/>
      <c r="L491" s="54" t="str">
        <f t="shared" si="51"/>
        <v/>
      </c>
      <c r="M491" s="38" t="str">
        <f t="shared" si="54"/>
        <v>0100</v>
      </c>
      <c r="N491" s="69">
        <f t="shared" si="53"/>
        <v>256</v>
      </c>
      <c r="O491" s="95"/>
      <c r="P491" s="96"/>
      <c r="Q491" s="97"/>
      <c r="R491" s="149"/>
      <c r="S491" s="153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2"/>
      <c r="AD491" s="143"/>
      <c r="AE491" s="143"/>
      <c r="AF491" s="143"/>
      <c r="AG491" s="143"/>
      <c r="AH491" s="143"/>
      <c r="AI491" s="143"/>
      <c r="AJ491" s="144"/>
    </row>
    <row r="492" spans="11:36">
      <c r="K492" s="85"/>
      <c r="L492" s="54" t="str">
        <f t="shared" si="51"/>
        <v/>
      </c>
      <c r="M492" s="38" t="str">
        <f t="shared" si="54"/>
        <v>0100</v>
      </c>
      <c r="N492" s="69">
        <f t="shared" si="53"/>
        <v>256</v>
      </c>
      <c r="O492" s="95"/>
      <c r="P492" s="96"/>
      <c r="Q492" s="97"/>
      <c r="R492" s="149"/>
      <c r="S492" s="153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2"/>
      <c r="AD492" s="143"/>
      <c r="AE492" s="143"/>
      <c r="AF492" s="143"/>
      <c r="AG492" s="143"/>
      <c r="AH492" s="143"/>
      <c r="AI492" s="143"/>
      <c r="AJ492" s="144"/>
    </row>
    <row r="493" spans="11:36">
      <c r="K493" s="85"/>
      <c r="L493" s="54" t="str">
        <f t="shared" si="51"/>
        <v/>
      </c>
      <c r="M493" s="38" t="str">
        <f t="shared" si="54"/>
        <v>0100</v>
      </c>
      <c r="N493" s="69">
        <f t="shared" si="53"/>
        <v>256</v>
      </c>
      <c r="O493" s="95"/>
      <c r="P493" s="96"/>
      <c r="Q493" s="97"/>
      <c r="R493" s="149"/>
      <c r="S493" s="153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2"/>
      <c r="AD493" s="143"/>
      <c r="AE493" s="143"/>
      <c r="AF493" s="143"/>
      <c r="AG493" s="143"/>
      <c r="AH493" s="143"/>
      <c r="AI493" s="143"/>
      <c r="AJ493" s="144"/>
    </row>
    <row r="494" spans="11:36">
      <c r="K494" s="85"/>
      <c r="L494" s="54" t="str">
        <f t="shared" si="51"/>
        <v/>
      </c>
      <c r="M494" s="38" t="str">
        <f t="shared" si="54"/>
        <v>0100</v>
      </c>
      <c r="N494" s="69">
        <f t="shared" si="53"/>
        <v>256</v>
      </c>
      <c r="O494" s="95"/>
      <c r="P494" s="96"/>
      <c r="Q494" s="97"/>
      <c r="R494" s="149"/>
      <c r="S494" s="153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2"/>
      <c r="AD494" s="143"/>
      <c r="AE494" s="143"/>
      <c r="AF494" s="143"/>
      <c r="AG494" s="143"/>
      <c r="AH494" s="143"/>
      <c r="AI494" s="143"/>
      <c r="AJ494" s="144"/>
    </row>
    <row r="495" spans="11:36">
      <c r="K495" s="85"/>
      <c r="L495" s="54" t="str">
        <f t="shared" si="51"/>
        <v/>
      </c>
      <c r="M495" s="38" t="str">
        <f t="shared" si="54"/>
        <v>0100</v>
      </c>
      <c r="N495" s="69">
        <f t="shared" si="53"/>
        <v>256</v>
      </c>
      <c r="O495" s="95"/>
      <c r="P495" s="96"/>
      <c r="Q495" s="97"/>
      <c r="R495" s="149"/>
      <c r="S495" s="153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2"/>
      <c r="AD495" s="143"/>
      <c r="AE495" s="143"/>
      <c r="AF495" s="143"/>
      <c r="AG495" s="143"/>
      <c r="AH495" s="143"/>
      <c r="AI495" s="143"/>
      <c r="AJ495" s="144"/>
    </row>
    <row r="496" spans="11:36">
      <c r="K496" s="85"/>
      <c r="L496" s="54" t="str">
        <f t="shared" si="51"/>
        <v/>
      </c>
      <c r="M496" s="38" t="str">
        <f t="shared" si="54"/>
        <v>0100</v>
      </c>
      <c r="N496" s="69">
        <f t="shared" si="53"/>
        <v>256</v>
      </c>
      <c r="O496" s="95"/>
      <c r="P496" s="96"/>
      <c r="Q496" s="97"/>
      <c r="R496" s="149"/>
      <c r="S496" s="153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2"/>
      <c r="AD496" s="143"/>
      <c r="AE496" s="143"/>
      <c r="AF496" s="143"/>
      <c r="AG496" s="143"/>
      <c r="AH496" s="143"/>
      <c r="AI496" s="143"/>
      <c r="AJ496" s="144"/>
    </row>
    <row r="497" spans="11:36">
      <c r="K497" s="85"/>
      <c r="L497" s="54" t="str">
        <f t="shared" si="51"/>
        <v/>
      </c>
      <c r="M497" s="38" t="str">
        <f t="shared" si="54"/>
        <v>0100</v>
      </c>
      <c r="N497" s="69">
        <f t="shared" si="53"/>
        <v>256</v>
      </c>
      <c r="O497" s="95"/>
      <c r="P497" s="96"/>
      <c r="Q497" s="97"/>
      <c r="R497" s="149"/>
      <c r="S497" s="153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2"/>
      <c r="AD497" s="143"/>
      <c r="AE497" s="143"/>
      <c r="AF497" s="143"/>
      <c r="AG497" s="143"/>
      <c r="AH497" s="143"/>
      <c r="AI497" s="143"/>
      <c r="AJ497" s="144"/>
    </row>
    <row r="498" spans="11:36">
      <c r="K498" s="85"/>
      <c r="L498" s="54" t="str">
        <f t="shared" si="51"/>
        <v/>
      </c>
      <c r="M498" s="38" t="str">
        <f t="shared" si="54"/>
        <v>0100</v>
      </c>
      <c r="N498" s="69">
        <f t="shared" si="53"/>
        <v>256</v>
      </c>
      <c r="O498" s="95"/>
      <c r="P498" s="96"/>
      <c r="Q498" s="97"/>
      <c r="R498" s="149"/>
      <c r="S498" s="153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2"/>
      <c r="AD498" s="143"/>
      <c r="AE498" s="143"/>
      <c r="AF498" s="143"/>
      <c r="AG498" s="143"/>
      <c r="AH498" s="143"/>
      <c r="AI498" s="143"/>
      <c r="AJ498" s="144"/>
    </row>
    <row r="499" spans="11:36">
      <c r="K499" s="85"/>
      <c r="L499" s="54" t="str">
        <f t="shared" si="51"/>
        <v/>
      </c>
      <c r="M499" s="38" t="str">
        <f t="shared" si="54"/>
        <v>0100</v>
      </c>
      <c r="N499" s="69">
        <f t="shared" si="53"/>
        <v>256</v>
      </c>
      <c r="O499" s="95"/>
      <c r="P499" s="96"/>
      <c r="Q499" s="97"/>
      <c r="R499" s="149"/>
      <c r="S499" s="153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2"/>
      <c r="AD499" s="143"/>
      <c r="AE499" s="143"/>
      <c r="AF499" s="143"/>
      <c r="AG499" s="143"/>
      <c r="AH499" s="143"/>
      <c r="AI499" s="143"/>
      <c r="AJ499" s="144"/>
    </row>
    <row r="500" spans="11:36">
      <c r="K500" s="85"/>
      <c r="L500" s="54" t="str">
        <f t="shared" si="51"/>
        <v/>
      </c>
      <c r="M500" s="38" t="str">
        <f t="shared" si="54"/>
        <v>0100</v>
      </c>
      <c r="N500" s="69">
        <f t="shared" si="53"/>
        <v>256</v>
      </c>
      <c r="O500" s="95"/>
      <c r="P500" s="96"/>
      <c r="Q500" s="97"/>
      <c r="R500" s="149"/>
      <c r="S500" s="153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2"/>
      <c r="AD500" s="143"/>
      <c r="AE500" s="143"/>
      <c r="AF500" s="143"/>
      <c r="AG500" s="143"/>
      <c r="AH500" s="143"/>
      <c r="AI500" s="143"/>
      <c r="AJ500" s="144"/>
    </row>
    <row r="501" spans="11:36">
      <c r="K501" s="85"/>
      <c r="L501" s="54" t="str">
        <f t="shared" si="51"/>
        <v/>
      </c>
      <c r="M501" s="38" t="str">
        <f t="shared" si="54"/>
        <v>0100</v>
      </c>
      <c r="N501" s="69">
        <f t="shared" si="53"/>
        <v>256</v>
      </c>
      <c r="O501" s="95"/>
      <c r="P501" s="96"/>
      <c r="Q501" s="97"/>
      <c r="R501" s="149"/>
      <c r="S501" s="153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2"/>
      <c r="AD501" s="143"/>
      <c r="AE501" s="143"/>
      <c r="AF501" s="143"/>
      <c r="AG501" s="143"/>
      <c r="AH501" s="143"/>
      <c r="AI501" s="143"/>
      <c r="AJ501" s="144"/>
    </row>
    <row r="502" spans="11:36">
      <c r="K502" s="85"/>
      <c r="L502" s="54" t="str">
        <f t="shared" si="51"/>
        <v/>
      </c>
      <c r="M502" s="38" t="str">
        <f t="shared" si="54"/>
        <v>0100</v>
      </c>
      <c r="N502" s="69">
        <f t="shared" si="53"/>
        <v>256</v>
      </c>
      <c r="O502" s="95"/>
      <c r="P502" s="96"/>
      <c r="Q502" s="97"/>
      <c r="R502" s="149"/>
      <c r="S502" s="153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2"/>
      <c r="AD502" s="143"/>
      <c r="AE502" s="143"/>
      <c r="AF502" s="143"/>
      <c r="AG502" s="143"/>
      <c r="AH502" s="143"/>
      <c r="AI502" s="143"/>
      <c r="AJ502" s="144"/>
    </row>
    <row r="503" spans="11:36">
      <c r="K503" s="85"/>
      <c r="L503" s="54" t="str">
        <f t="shared" si="51"/>
        <v/>
      </c>
      <c r="M503" s="38" t="str">
        <f t="shared" si="54"/>
        <v>0100</v>
      </c>
      <c r="N503" s="69">
        <f t="shared" si="53"/>
        <v>256</v>
      </c>
      <c r="O503" s="95"/>
      <c r="P503" s="96"/>
      <c r="Q503" s="97"/>
      <c r="R503" s="149"/>
      <c r="S503" s="153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2"/>
      <c r="AD503" s="143"/>
      <c r="AE503" s="143"/>
      <c r="AF503" s="143"/>
      <c r="AG503" s="143"/>
      <c r="AH503" s="143"/>
      <c r="AI503" s="143"/>
      <c r="AJ503" s="144"/>
    </row>
    <row r="504" spans="11:36">
      <c r="K504" s="85"/>
      <c r="L504" s="54" t="str">
        <f t="shared" si="51"/>
        <v/>
      </c>
      <c r="M504" s="38" t="str">
        <f t="shared" si="54"/>
        <v>0100</v>
      </c>
      <c r="N504" s="69">
        <f t="shared" si="53"/>
        <v>256</v>
      </c>
      <c r="O504" s="95"/>
      <c r="P504" s="96"/>
      <c r="Q504" s="97"/>
      <c r="R504" s="149"/>
      <c r="S504" s="153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2"/>
      <c r="AD504" s="143"/>
      <c r="AE504" s="143"/>
      <c r="AF504" s="143"/>
      <c r="AG504" s="143"/>
      <c r="AH504" s="143"/>
      <c r="AI504" s="143"/>
      <c r="AJ504" s="144"/>
    </row>
    <row r="505" spans="11:36">
      <c r="K505" s="85"/>
      <c r="L505" s="54" t="str">
        <f t="shared" si="51"/>
        <v/>
      </c>
      <c r="M505" s="38" t="str">
        <f t="shared" si="54"/>
        <v>0100</v>
      </c>
      <c r="N505" s="69">
        <f t="shared" si="53"/>
        <v>256</v>
      </c>
      <c r="O505" s="95"/>
      <c r="P505" s="96"/>
      <c r="Q505" s="97"/>
      <c r="R505" s="149"/>
      <c r="S505" s="153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2"/>
      <c r="AD505" s="143"/>
      <c r="AE505" s="143"/>
      <c r="AF505" s="143"/>
      <c r="AG505" s="143"/>
      <c r="AH505" s="143"/>
      <c r="AI505" s="143"/>
      <c r="AJ505" s="144"/>
    </row>
    <row r="506" spans="11:36">
      <c r="K506" s="85"/>
      <c r="L506" s="54" t="str">
        <f t="shared" si="51"/>
        <v/>
      </c>
      <c r="M506" s="38" t="str">
        <f t="shared" si="54"/>
        <v>0100</v>
      </c>
      <c r="N506" s="69">
        <f t="shared" si="53"/>
        <v>256</v>
      </c>
      <c r="O506" s="95"/>
      <c r="P506" s="96"/>
      <c r="Q506" s="97"/>
      <c r="R506" s="149"/>
      <c r="S506" s="153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2"/>
      <c r="AD506" s="143"/>
      <c r="AE506" s="143"/>
      <c r="AF506" s="143"/>
      <c r="AG506" s="143"/>
      <c r="AH506" s="143"/>
      <c r="AI506" s="143"/>
      <c r="AJ506" s="144"/>
    </row>
    <row r="507" spans="11:36">
      <c r="K507" s="85"/>
      <c r="L507" s="54" t="str">
        <f t="shared" si="51"/>
        <v/>
      </c>
      <c r="M507" s="38" t="str">
        <f t="shared" si="54"/>
        <v>0100</v>
      </c>
      <c r="N507" s="69">
        <f t="shared" si="53"/>
        <v>256</v>
      </c>
      <c r="O507" s="95"/>
      <c r="P507" s="96"/>
      <c r="Q507" s="97"/>
      <c r="R507" s="149"/>
      <c r="S507" s="153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2"/>
      <c r="AD507" s="143"/>
      <c r="AE507" s="143"/>
      <c r="AF507" s="143"/>
      <c r="AG507" s="143"/>
      <c r="AH507" s="143"/>
      <c r="AI507" s="143"/>
      <c r="AJ507" s="144"/>
    </row>
    <row r="508" spans="11:36">
      <c r="K508" s="85"/>
      <c r="L508" s="54" t="str">
        <f t="shared" si="51"/>
        <v/>
      </c>
      <c r="M508" s="38" t="str">
        <f t="shared" si="54"/>
        <v>0100</v>
      </c>
      <c r="N508" s="69">
        <f t="shared" si="53"/>
        <v>256</v>
      </c>
      <c r="O508" s="95"/>
      <c r="P508" s="96"/>
      <c r="Q508" s="97"/>
      <c r="R508" s="149"/>
      <c r="S508" s="153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2"/>
      <c r="AD508" s="143"/>
      <c r="AE508" s="143"/>
      <c r="AF508" s="143"/>
      <c r="AG508" s="143"/>
      <c r="AH508" s="143"/>
      <c r="AI508" s="143"/>
      <c r="AJ508" s="144"/>
    </row>
    <row r="509" spans="11:36">
      <c r="K509" s="85"/>
      <c r="L509" s="54" t="str">
        <f t="shared" si="51"/>
        <v/>
      </c>
      <c r="M509" s="38" t="str">
        <f t="shared" si="54"/>
        <v>0100</v>
      </c>
      <c r="N509" s="69">
        <f t="shared" si="53"/>
        <v>256</v>
      </c>
      <c r="O509" s="95"/>
      <c r="P509" s="96"/>
      <c r="Q509" s="97"/>
      <c r="R509" s="149"/>
      <c r="S509" s="153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2"/>
      <c r="AD509" s="143"/>
      <c r="AE509" s="143"/>
      <c r="AF509" s="143"/>
      <c r="AG509" s="143"/>
      <c r="AH509" s="143"/>
      <c r="AI509" s="143"/>
      <c r="AJ509" s="144"/>
    </row>
    <row r="510" spans="11:36">
      <c r="K510" s="85"/>
      <c r="L510" s="54" t="str">
        <f t="shared" si="51"/>
        <v/>
      </c>
      <c r="M510" s="38" t="str">
        <f t="shared" si="54"/>
        <v>0100</v>
      </c>
      <c r="N510" s="69">
        <f t="shared" si="53"/>
        <v>256</v>
      </c>
      <c r="O510" s="95"/>
      <c r="P510" s="96"/>
      <c r="Q510" s="97"/>
      <c r="R510" s="149"/>
      <c r="S510" s="153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2"/>
      <c r="AD510" s="143"/>
      <c r="AE510" s="143"/>
      <c r="AF510" s="143"/>
      <c r="AG510" s="143"/>
      <c r="AH510" s="143"/>
      <c r="AI510" s="143"/>
      <c r="AJ510" s="144"/>
    </row>
    <row r="511" spans="11:36">
      <c r="K511" s="85"/>
      <c r="L511" s="54" t="str">
        <f t="shared" si="51"/>
        <v/>
      </c>
      <c r="M511" s="38" t="str">
        <f t="shared" si="54"/>
        <v>0100</v>
      </c>
      <c r="N511" s="69">
        <f t="shared" si="53"/>
        <v>256</v>
      </c>
      <c r="O511" s="95"/>
      <c r="P511" s="96"/>
      <c r="Q511" s="97"/>
      <c r="R511" s="149"/>
      <c r="S511" s="153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2"/>
      <c r="AD511" s="143"/>
      <c r="AE511" s="143"/>
      <c r="AF511" s="143"/>
      <c r="AG511" s="143"/>
      <c r="AH511" s="143"/>
      <c r="AI511" s="143"/>
      <c r="AJ511" s="144"/>
    </row>
    <row r="512" spans="11:36">
      <c r="K512" s="85"/>
      <c r="L512" s="54" t="str">
        <f t="shared" si="51"/>
        <v/>
      </c>
      <c r="M512" s="38" t="str">
        <f t="shared" si="54"/>
        <v>0100</v>
      </c>
      <c r="N512" s="69">
        <f t="shared" si="53"/>
        <v>256</v>
      </c>
      <c r="O512" s="95"/>
      <c r="P512" s="96"/>
      <c r="Q512" s="97"/>
      <c r="R512" s="149"/>
      <c r="S512" s="153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2"/>
      <c r="AD512" s="143"/>
      <c r="AE512" s="143"/>
      <c r="AF512" s="143"/>
      <c r="AG512" s="143"/>
      <c r="AH512" s="143"/>
      <c r="AI512" s="143"/>
      <c r="AJ512" s="144"/>
    </row>
    <row r="513" spans="11:36">
      <c r="K513" s="85"/>
      <c r="L513" s="54" t="str">
        <f t="shared" si="51"/>
        <v/>
      </c>
      <c r="M513" s="38" t="str">
        <f t="shared" si="54"/>
        <v>0100</v>
      </c>
      <c r="N513" s="69">
        <f t="shared" si="53"/>
        <v>256</v>
      </c>
      <c r="O513" s="95"/>
      <c r="P513" s="96"/>
      <c r="Q513" s="97"/>
      <c r="R513" s="149"/>
      <c r="S513" s="153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2"/>
      <c r="AD513" s="143"/>
      <c r="AE513" s="143"/>
      <c r="AF513" s="143"/>
      <c r="AG513" s="143"/>
      <c r="AH513" s="143"/>
      <c r="AI513" s="143"/>
      <c r="AJ513" s="144"/>
    </row>
    <row r="514" spans="11:36">
      <c r="K514" s="85"/>
      <c r="L514" s="54" t="str">
        <f t="shared" si="51"/>
        <v/>
      </c>
      <c r="M514" s="38" t="str">
        <f t="shared" si="54"/>
        <v>0100</v>
      </c>
      <c r="N514" s="69">
        <f t="shared" si="53"/>
        <v>256</v>
      </c>
      <c r="O514" s="95"/>
      <c r="P514" s="96"/>
      <c r="Q514" s="97"/>
      <c r="R514" s="149"/>
      <c r="S514" s="153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2"/>
      <c r="AD514" s="143"/>
      <c r="AE514" s="143"/>
      <c r="AF514" s="143"/>
      <c r="AG514" s="143"/>
      <c r="AH514" s="143"/>
      <c r="AI514" s="143"/>
      <c r="AJ514" s="144"/>
    </row>
    <row r="515" spans="11:36">
      <c r="K515" s="85"/>
      <c r="L515" s="54" t="str">
        <f t="shared" si="51"/>
        <v/>
      </c>
      <c r="M515" s="38" t="str">
        <f t="shared" si="54"/>
        <v>0100</v>
      </c>
      <c r="N515" s="69">
        <f t="shared" si="53"/>
        <v>256</v>
      </c>
      <c r="O515" s="95"/>
      <c r="P515" s="96"/>
      <c r="Q515" s="97"/>
      <c r="R515" s="149"/>
      <c r="S515" s="153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2"/>
      <c r="AD515" s="143"/>
      <c r="AE515" s="143"/>
      <c r="AF515" s="143"/>
      <c r="AG515" s="143"/>
      <c r="AH515" s="143"/>
      <c r="AI515" s="143"/>
      <c r="AJ515" s="144"/>
    </row>
    <row r="516" spans="11:36">
      <c r="K516" s="85"/>
      <c r="L516" s="54" t="str">
        <f t="shared" si="51"/>
        <v/>
      </c>
      <c r="M516" s="38" t="str">
        <f t="shared" si="54"/>
        <v>0100</v>
      </c>
      <c r="N516" s="69">
        <f t="shared" si="53"/>
        <v>256</v>
      </c>
      <c r="O516" s="95"/>
      <c r="P516" s="96"/>
      <c r="Q516" s="97"/>
      <c r="R516" s="149"/>
      <c r="S516" s="153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2"/>
      <c r="AD516" s="143"/>
      <c r="AE516" s="143"/>
      <c r="AF516" s="143"/>
      <c r="AG516" s="143"/>
      <c r="AH516" s="143"/>
      <c r="AI516" s="143"/>
      <c r="AJ516" s="144"/>
    </row>
    <row r="517" spans="11:36">
      <c r="K517" s="85"/>
      <c r="L517" s="54" t="str">
        <f t="shared" si="51"/>
        <v/>
      </c>
      <c r="M517" s="38" t="str">
        <f t="shared" si="54"/>
        <v>0100</v>
      </c>
      <c r="N517" s="69">
        <f t="shared" si="53"/>
        <v>256</v>
      </c>
      <c r="O517" s="95"/>
      <c r="P517" s="96"/>
      <c r="Q517" s="97"/>
      <c r="R517" s="149"/>
      <c r="S517" s="153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2"/>
      <c r="AD517" s="143"/>
      <c r="AE517" s="143"/>
      <c r="AF517" s="143"/>
      <c r="AG517" s="143"/>
      <c r="AH517" s="143"/>
      <c r="AI517" s="143"/>
      <c r="AJ517" s="144"/>
    </row>
    <row r="518" spans="11:36">
      <c r="K518" s="85"/>
      <c r="L518" s="54" t="str">
        <f t="shared" si="51"/>
        <v/>
      </c>
      <c r="M518" s="38" t="str">
        <f t="shared" si="54"/>
        <v>0100</v>
      </c>
      <c r="N518" s="69">
        <f t="shared" si="53"/>
        <v>256</v>
      </c>
      <c r="O518" s="95"/>
      <c r="P518" s="96"/>
      <c r="Q518" s="97"/>
      <c r="R518" s="149"/>
      <c r="S518" s="153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2"/>
      <c r="AD518" s="143"/>
      <c r="AE518" s="143"/>
      <c r="AF518" s="143"/>
      <c r="AG518" s="143"/>
      <c r="AH518" s="143"/>
      <c r="AI518" s="143"/>
      <c r="AJ518" s="144"/>
    </row>
    <row r="519" spans="11:36">
      <c r="K519" s="85"/>
      <c r="L519" s="54" t="str">
        <f t="shared" si="51"/>
        <v/>
      </c>
      <c r="M519" s="38" t="str">
        <f t="shared" si="54"/>
        <v>0100</v>
      </c>
      <c r="N519" s="69">
        <f t="shared" si="53"/>
        <v>256</v>
      </c>
      <c r="O519" s="95"/>
      <c r="P519" s="96"/>
      <c r="Q519" s="97"/>
      <c r="R519" s="149"/>
      <c r="S519" s="153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2"/>
      <c r="AD519" s="143"/>
      <c r="AE519" s="143"/>
      <c r="AF519" s="143"/>
      <c r="AG519" s="143"/>
      <c r="AH519" s="143"/>
      <c r="AI519" s="143"/>
      <c r="AJ519" s="144"/>
    </row>
    <row r="520" spans="11:36">
      <c r="K520" s="85"/>
      <c r="L520" s="54" t="str">
        <f t="shared" si="51"/>
        <v/>
      </c>
      <c r="M520" s="38" t="str">
        <f t="shared" si="54"/>
        <v>0100</v>
      </c>
      <c r="N520" s="69">
        <f t="shared" si="53"/>
        <v>256</v>
      </c>
      <c r="O520" s="95"/>
      <c r="P520" s="96"/>
      <c r="Q520" s="97"/>
      <c r="R520" s="149"/>
      <c r="S520" s="153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2"/>
      <c r="AD520" s="143"/>
      <c r="AE520" s="143"/>
      <c r="AF520" s="143"/>
      <c r="AG520" s="143"/>
      <c r="AH520" s="143"/>
      <c r="AI520" s="143"/>
      <c r="AJ520" s="144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0100</v>
      </c>
      <c r="N521" s="69">
        <f t="shared" si="53"/>
        <v>256</v>
      </c>
      <c r="O521" s="95"/>
      <c r="P521" s="96"/>
      <c r="Q521" s="97"/>
      <c r="R521" s="149"/>
      <c r="S521" s="153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2"/>
      <c r="AD521" s="143"/>
      <c r="AE521" s="143"/>
      <c r="AF521" s="143"/>
      <c r="AG521" s="143"/>
      <c r="AH521" s="143"/>
      <c r="AI521" s="143"/>
      <c r="AJ521" s="144"/>
    </row>
    <row r="522" spans="11:36">
      <c r="K522" s="85"/>
      <c r="L522" s="54" t="str">
        <f t="shared" si="55"/>
        <v/>
      </c>
      <c r="M522" s="38" t="str">
        <f t="shared" si="54"/>
        <v>0100</v>
      </c>
      <c r="N522" s="69">
        <f t="shared" ref="N522:N585" si="57">N521+S521</f>
        <v>256</v>
      </c>
      <c r="O522" s="95"/>
      <c r="P522" s="96"/>
      <c r="Q522" s="97"/>
      <c r="R522" s="149"/>
      <c r="S522" s="153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2"/>
      <c r="AD522" s="143"/>
      <c r="AE522" s="143"/>
      <c r="AF522" s="143"/>
      <c r="AG522" s="143"/>
      <c r="AH522" s="143"/>
      <c r="AI522" s="143"/>
      <c r="AJ522" s="144"/>
    </row>
    <row r="523" spans="11:36">
      <c r="K523" s="85"/>
      <c r="L523" s="54" t="str">
        <f t="shared" si="55"/>
        <v/>
      </c>
      <c r="M523" s="38" t="str">
        <f t="shared" si="54"/>
        <v>0100</v>
      </c>
      <c r="N523" s="69">
        <f t="shared" si="57"/>
        <v>256</v>
      </c>
      <c r="O523" s="95"/>
      <c r="P523" s="96"/>
      <c r="Q523" s="97"/>
      <c r="R523" s="149"/>
      <c r="S523" s="153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2"/>
      <c r="AD523" s="143"/>
      <c r="AE523" s="143"/>
      <c r="AF523" s="143"/>
      <c r="AG523" s="143"/>
      <c r="AH523" s="143"/>
      <c r="AI523" s="143"/>
      <c r="AJ523" s="144"/>
    </row>
    <row r="524" spans="11:36">
      <c r="K524" s="85"/>
      <c r="L524" s="54" t="str">
        <f t="shared" si="55"/>
        <v/>
      </c>
      <c r="M524" s="38" t="str">
        <f t="shared" si="54"/>
        <v>0100</v>
      </c>
      <c r="N524" s="69">
        <f t="shared" si="57"/>
        <v>256</v>
      </c>
      <c r="O524" s="95"/>
      <c r="P524" s="96"/>
      <c r="Q524" s="97"/>
      <c r="R524" s="149"/>
      <c r="S524" s="153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2"/>
      <c r="AD524" s="143"/>
      <c r="AE524" s="143"/>
      <c r="AF524" s="143"/>
      <c r="AG524" s="143"/>
      <c r="AH524" s="143"/>
      <c r="AI524" s="143"/>
      <c r="AJ524" s="144"/>
    </row>
    <row r="525" spans="11:36">
      <c r="K525" s="85"/>
      <c r="L525" s="54" t="str">
        <f t="shared" si="55"/>
        <v/>
      </c>
      <c r="M525" s="38" t="str">
        <f t="shared" si="54"/>
        <v>0100</v>
      </c>
      <c r="N525" s="69">
        <f t="shared" si="57"/>
        <v>256</v>
      </c>
      <c r="O525" s="95"/>
      <c r="P525" s="96"/>
      <c r="Q525" s="97"/>
      <c r="R525" s="149"/>
      <c r="S525" s="153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2"/>
      <c r="AD525" s="143"/>
      <c r="AE525" s="143"/>
      <c r="AF525" s="143"/>
      <c r="AG525" s="143"/>
      <c r="AH525" s="143"/>
      <c r="AI525" s="143"/>
      <c r="AJ525" s="144"/>
    </row>
    <row r="526" spans="11:36">
      <c r="K526" s="85"/>
      <c r="L526" s="54" t="str">
        <f t="shared" si="55"/>
        <v/>
      </c>
      <c r="M526" s="38" t="str">
        <f t="shared" si="54"/>
        <v>0100</v>
      </c>
      <c r="N526" s="69">
        <f t="shared" si="57"/>
        <v>256</v>
      </c>
      <c r="O526" s="95"/>
      <c r="P526" s="96"/>
      <c r="Q526" s="97"/>
      <c r="R526" s="149"/>
      <c r="S526" s="153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2"/>
      <c r="AD526" s="143"/>
      <c r="AE526" s="143"/>
      <c r="AF526" s="143"/>
      <c r="AG526" s="143"/>
      <c r="AH526" s="143"/>
      <c r="AI526" s="143"/>
      <c r="AJ526" s="144"/>
    </row>
    <row r="527" spans="11:36">
      <c r="K527" s="85"/>
      <c r="L527" s="54" t="str">
        <f t="shared" si="55"/>
        <v/>
      </c>
      <c r="M527" s="38" t="str">
        <f t="shared" si="54"/>
        <v>0100</v>
      </c>
      <c r="N527" s="69">
        <f t="shared" si="57"/>
        <v>256</v>
      </c>
      <c r="O527" s="95"/>
      <c r="P527" s="96"/>
      <c r="Q527" s="97"/>
      <c r="R527" s="149"/>
      <c r="S527" s="153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2"/>
      <c r="AD527" s="143"/>
      <c r="AE527" s="143"/>
      <c r="AF527" s="143"/>
      <c r="AG527" s="143"/>
      <c r="AH527" s="143"/>
      <c r="AI527" s="143"/>
      <c r="AJ527" s="144"/>
    </row>
    <row r="528" spans="11:36">
      <c r="K528" s="85"/>
      <c r="L528" s="54" t="str">
        <f t="shared" si="55"/>
        <v/>
      </c>
      <c r="M528" s="38" t="str">
        <f t="shared" si="54"/>
        <v>0100</v>
      </c>
      <c r="N528" s="69">
        <f t="shared" si="57"/>
        <v>256</v>
      </c>
      <c r="O528" s="95"/>
      <c r="P528" s="96"/>
      <c r="Q528" s="97"/>
      <c r="R528" s="149"/>
      <c r="S528" s="153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2"/>
      <c r="AD528" s="143"/>
      <c r="AE528" s="143"/>
      <c r="AF528" s="143"/>
      <c r="AG528" s="143"/>
      <c r="AH528" s="143"/>
      <c r="AI528" s="143"/>
      <c r="AJ528" s="144"/>
    </row>
    <row r="529" spans="11:36">
      <c r="K529" s="85"/>
      <c r="L529" s="54" t="str">
        <f t="shared" si="55"/>
        <v/>
      </c>
      <c r="M529" s="38" t="str">
        <f t="shared" si="54"/>
        <v>0100</v>
      </c>
      <c r="N529" s="69">
        <f t="shared" si="57"/>
        <v>256</v>
      </c>
      <c r="O529" s="95"/>
      <c r="P529" s="96"/>
      <c r="Q529" s="97"/>
      <c r="R529" s="149"/>
      <c r="S529" s="153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2"/>
      <c r="AD529" s="143"/>
      <c r="AE529" s="143"/>
      <c r="AF529" s="143"/>
      <c r="AG529" s="143"/>
      <c r="AH529" s="143"/>
      <c r="AI529" s="143"/>
      <c r="AJ529" s="144"/>
    </row>
    <row r="530" spans="11:36">
      <c r="K530" s="85"/>
      <c r="L530" s="54" t="str">
        <f t="shared" si="55"/>
        <v/>
      </c>
      <c r="M530" s="38" t="str">
        <f t="shared" si="54"/>
        <v>0100</v>
      </c>
      <c r="N530" s="69">
        <f t="shared" si="57"/>
        <v>256</v>
      </c>
      <c r="O530" s="95"/>
      <c r="P530" s="96"/>
      <c r="Q530" s="97"/>
      <c r="R530" s="149"/>
      <c r="S530" s="153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2"/>
      <c r="AD530" s="143"/>
      <c r="AE530" s="143"/>
      <c r="AF530" s="143"/>
      <c r="AG530" s="143"/>
      <c r="AH530" s="143"/>
      <c r="AI530" s="143"/>
      <c r="AJ530" s="144"/>
    </row>
    <row r="531" spans="11:36">
      <c r="K531" s="85"/>
      <c r="L531" s="54" t="str">
        <f t="shared" si="55"/>
        <v/>
      </c>
      <c r="M531" s="38" t="str">
        <f t="shared" si="54"/>
        <v>0100</v>
      </c>
      <c r="N531" s="69">
        <f t="shared" si="57"/>
        <v>256</v>
      </c>
      <c r="O531" s="95"/>
      <c r="P531" s="96"/>
      <c r="Q531" s="97"/>
      <c r="R531" s="149"/>
      <c r="S531" s="153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2"/>
      <c r="AD531" s="143"/>
      <c r="AE531" s="143"/>
      <c r="AF531" s="143"/>
      <c r="AG531" s="143"/>
      <c r="AH531" s="143"/>
      <c r="AI531" s="143"/>
      <c r="AJ531" s="144"/>
    </row>
    <row r="532" spans="11:36">
      <c r="K532" s="85"/>
      <c r="L532" s="54" t="str">
        <f t="shared" si="55"/>
        <v/>
      </c>
      <c r="M532" s="38" t="str">
        <f t="shared" si="54"/>
        <v>0100</v>
      </c>
      <c r="N532" s="69">
        <f t="shared" si="57"/>
        <v>256</v>
      </c>
      <c r="O532" s="95"/>
      <c r="P532" s="96"/>
      <c r="Q532" s="97"/>
      <c r="R532" s="149"/>
      <c r="S532" s="153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2"/>
      <c r="AD532" s="143"/>
      <c r="AE532" s="143"/>
      <c r="AF532" s="143"/>
      <c r="AG532" s="143"/>
      <c r="AH532" s="143"/>
      <c r="AI532" s="143"/>
      <c r="AJ532" s="144"/>
    </row>
    <row r="533" spans="11:36">
      <c r="K533" s="85"/>
      <c r="L533" s="54" t="str">
        <f t="shared" si="55"/>
        <v/>
      </c>
      <c r="M533" s="38" t="str">
        <f t="shared" si="54"/>
        <v>0100</v>
      </c>
      <c r="N533" s="69">
        <f t="shared" si="57"/>
        <v>256</v>
      </c>
      <c r="O533" s="95"/>
      <c r="P533" s="96"/>
      <c r="Q533" s="97"/>
      <c r="R533" s="149"/>
      <c r="S533" s="153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2"/>
      <c r="AD533" s="143"/>
      <c r="AE533" s="143"/>
      <c r="AF533" s="143"/>
      <c r="AG533" s="143"/>
      <c r="AH533" s="143"/>
      <c r="AI533" s="143"/>
      <c r="AJ533" s="144"/>
    </row>
    <row r="534" spans="11:36">
      <c r="K534" s="85"/>
      <c r="L534" s="54" t="str">
        <f t="shared" si="55"/>
        <v/>
      </c>
      <c r="M534" s="38" t="str">
        <f t="shared" si="54"/>
        <v>0100</v>
      </c>
      <c r="N534" s="69">
        <f t="shared" si="57"/>
        <v>256</v>
      </c>
      <c r="O534" s="95"/>
      <c r="P534" s="96"/>
      <c r="Q534" s="97"/>
      <c r="R534" s="149"/>
      <c r="S534" s="153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2"/>
      <c r="AD534" s="143"/>
      <c r="AE534" s="143"/>
      <c r="AF534" s="143"/>
      <c r="AG534" s="143"/>
      <c r="AH534" s="143"/>
      <c r="AI534" s="143"/>
      <c r="AJ534" s="144"/>
    </row>
    <row r="535" spans="11:36">
      <c r="K535" s="85"/>
      <c r="L535" s="54" t="str">
        <f t="shared" si="55"/>
        <v/>
      </c>
      <c r="M535" s="38" t="str">
        <f t="shared" si="54"/>
        <v>0100</v>
      </c>
      <c r="N535" s="69">
        <f t="shared" si="57"/>
        <v>256</v>
      </c>
      <c r="O535" s="95"/>
      <c r="P535" s="96"/>
      <c r="Q535" s="97"/>
      <c r="R535" s="149"/>
      <c r="S535" s="153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2"/>
      <c r="AD535" s="143"/>
      <c r="AE535" s="143"/>
      <c r="AF535" s="143"/>
      <c r="AG535" s="143"/>
      <c r="AH535" s="143"/>
      <c r="AI535" s="143"/>
      <c r="AJ535" s="144"/>
    </row>
    <row r="536" spans="11:36">
      <c r="K536" s="85"/>
      <c r="L536" s="54" t="str">
        <f t="shared" si="55"/>
        <v/>
      </c>
      <c r="M536" s="38" t="str">
        <f t="shared" si="54"/>
        <v>0100</v>
      </c>
      <c r="N536" s="69">
        <f t="shared" si="57"/>
        <v>256</v>
      </c>
      <c r="O536" s="95"/>
      <c r="P536" s="96"/>
      <c r="Q536" s="97"/>
      <c r="R536" s="149"/>
      <c r="S536" s="153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2"/>
      <c r="AD536" s="143"/>
      <c r="AE536" s="143"/>
      <c r="AF536" s="143"/>
      <c r="AG536" s="143"/>
      <c r="AH536" s="143"/>
      <c r="AI536" s="143"/>
      <c r="AJ536" s="144"/>
    </row>
    <row r="537" spans="11:36">
      <c r="K537" s="85"/>
      <c r="L537" s="54" t="str">
        <f t="shared" si="55"/>
        <v/>
      </c>
      <c r="M537" s="38" t="str">
        <f t="shared" si="54"/>
        <v>0100</v>
      </c>
      <c r="N537" s="69">
        <f t="shared" si="57"/>
        <v>256</v>
      </c>
      <c r="O537" s="95"/>
      <c r="P537" s="96"/>
      <c r="Q537" s="97"/>
      <c r="R537" s="149"/>
      <c r="S537" s="153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2"/>
      <c r="AD537" s="143"/>
      <c r="AE537" s="143"/>
      <c r="AF537" s="143"/>
      <c r="AG537" s="143"/>
      <c r="AH537" s="143"/>
      <c r="AI537" s="143"/>
      <c r="AJ537" s="144"/>
    </row>
    <row r="538" spans="11:36">
      <c r="K538" s="85"/>
      <c r="L538" s="54" t="str">
        <f t="shared" si="55"/>
        <v/>
      </c>
      <c r="M538" s="38" t="str">
        <f t="shared" si="54"/>
        <v>0100</v>
      </c>
      <c r="N538" s="69">
        <f t="shared" si="57"/>
        <v>256</v>
      </c>
      <c r="O538" s="95"/>
      <c r="P538" s="96"/>
      <c r="Q538" s="97"/>
      <c r="R538" s="149"/>
      <c r="S538" s="153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2"/>
      <c r="AD538" s="143"/>
      <c r="AE538" s="143"/>
      <c r="AF538" s="143"/>
      <c r="AG538" s="143"/>
      <c r="AH538" s="143"/>
      <c r="AI538" s="143"/>
      <c r="AJ538" s="144"/>
    </row>
    <row r="539" spans="11:36">
      <c r="K539" s="85"/>
      <c r="L539" s="54" t="str">
        <f t="shared" si="55"/>
        <v/>
      </c>
      <c r="M539" s="38" t="str">
        <f t="shared" si="54"/>
        <v>0100</v>
      </c>
      <c r="N539" s="69">
        <f t="shared" si="57"/>
        <v>256</v>
      </c>
      <c r="O539" s="95"/>
      <c r="P539" s="96"/>
      <c r="Q539" s="97"/>
      <c r="R539" s="149"/>
      <c r="S539" s="153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2"/>
      <c r="AD539" s="143"/>
      <c r="AE539" s="143"/>
      <c r="AF539" s="143"/>
      <c r="AG539" s="143"/>
      <c r="AH539" s="143"/>
      <c r="AI539" s="143"/>
      <c r="AJ539" s="144"/>
    </row>
    <row r="540" spans="11:36">
      <c r="K540" s="85"/>
      <c r="L540" s="54" t="str">
        <f t="shared" si="55"/>
        <v/>
      </c>
      <c r="M540" s="38" t="str">
        <f t="shared" si="54"/>
        <v>0100</v>
      </c>
      <c r="N540" s="69">
        <f t="shared" si="57"/>
        <v>256</v>
      </c>
      <c r="O540" s="95"/>
      <c r="P540" s="96"/>
      <c r="Q540" s="97"/>
      <c r="R540" s="149"/>
      <c r="S540" s="153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2"/>
      <c r="AD540" s="143"/>
      <c r="AE540" s="143"/>
      <c r="AF540" s="143"/>
      <c r="AG540" s="143"/>
      <c r="AH540" s="143"/>
      <c r="AI540" s="143"/>
      <c r="AJ540" s="144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0100</v>
      </c>
      <c r="N541" s="69">
        <f t="shared" si="57"/>
        <v>256</v>
      </c>
      <c r="O541" s="95"/>
      <c r="P541" s="96"/>
      <c r="Q541" s="97"/>
      <c r="R541" s="149"/>
      <c r="S541" s="153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2"/>
      <c r="AD541" s="143"/>
      <c r="AE541" s="143"/>
      <c r="AF541" s="143"/>
      <c r="AG541" s="143"/>
      <c r="AH541" s="143"/>
      <c r="AI541" s="143"/>
      <c r="AJ541" s="144"/>
    </row>
    <row r="542" spans="11:36">
      <c r="K542" s="85"/>
      <c r="L542" s="54" t="str">
        <f t="shared" si="55"/>
        <v/>
      </c>
      <c r="M542" s="38" t="str">
        <f t="shared" si="58"/>
        <v>0100</v>
      </c>
      <c r="N542" s="69">
        <f t="shared" si="57"/>
        <v>256</v>
      </c>
      <c r="O542" s="95"/>
      <c r="P542" s="96"/>
      <c r="Q542" s="97"/>
      <c r="R542" s="149"/>
      <c r="S542" s="153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2"/>
      <c r="AD542" s="143"/>
      <c r="AE542" s="143"/>
      <c r="AF542" s="143"/>
      <c r="AG542" s="143"/>
      <c r="AH542" s="143"/>
      <c r="AI542" s="143"/>
      <c r="AJ542" s="144"/>
    </row>
    <row r="543" spans="11:36">
      <c r="K543" s="85"/>
      <c r="L543" s="54" t="str">
        <f t="shared" si="55"/>
        <v/>
      </c>
      <c r="M543" s="38" t="str">
        <f t="shared" si="58"/>
        <v>0100</v>
      </c>
      <c r="N543" s="69">
        <f t="shared" si="57"/>
        <v>256</v>
      </c>
      <c r="O543" s="95"/>
      <c r="P543" s="96"/>
      <c r="Q543" s="97"/>
      <c r="R543" s="149"/>
      <c r="S543" s="153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2"/>
      <c r="AD543" s="143"/>
      <c r="AE543" s="143"/>
      <c r="AF543" s="143"/>
      <c r="AG543" s="143"/>
      <c r="AH543" s="143"/>
      <c r="AI543" s="143"/>
      <c r="AJ543" s="144"/>
    </row>
    <row r="544" spans="11:36">
      <c r="K544" s="85"/>
      <c r="L544" s="54" t="str">
        <f t="shared" si="55"/>
        <v/>
      </c>
      <c r="M544" s="38" t="str">
        <f t="shared" si="58"/>
        <v>0100</v>
      </c>
      <c r="N544" s="69">
        <f t="shared" si="57"/>
        <v>256</v>
      </c>
      <c r="O544" s="95"/>
      <c r="P544" s="96"/>
      <c r="Q544" s="97"/>
      <c r="R544" s="149"/>
      <c r="S544" s="153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2"/>
      <c r="AD544" s="143"/>
      <c r="AE544" s="143"/>
      <c r="AF544" s="143"/>
      <c r="AG544" s="143"/>
      <c r="AH544" s="143"/>
      <c r="AI544" s="143"/>
      <c r="AJ544" s="144"/>
    </row>
    <row r="545" spans="11:36">
      <c r="K545" s="85"/>
      <c r="L545" s="54" t="str">
        <f t="shared" si="55"/>
        <v/>
      </c>
      <c r="M545" s="38" t="str">
        <f t="shared" si="58"/>
        <v>0100</v>
      </c>
      <c r="N545" s="69">
        <f t="shared" si="57"/>
        <v>256</v>
      </c>
      <c r="O545" s="95"/>
      <c r="P545" s="96"/>
      <c r="Q545" s="97"/>
      <c r="R545" s="149"/>
      <c r="S545" s="153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2"/>
      <c r="AD545" s="143"/>
      <c r="AE545" s="143"/>
      <c r="AF545" s="143"/>
      <c r="AG545" s="143"/>
      <c r="AH545" s="143"/>
      <c r="AI545" s="143"/>
      <c r="AJ545" s="144"/>
    </row>
    <row r="546" spans="11:36">
      <c r="K546" s="85"/>
      <c r="L546" s="54" t="str">
        <f t="shared" si="55"/>
        <v/>
      </c>
      <c r="M546" s="38" t="str">
        <f t="shared" si="58"/>
        <v>0100</v>
      </c>
      <c r="N546" s="69">
        <f t="shared" si="57"/>
        <v>256</v>
      </c>
      <c r="O546" s="95"/>
      <c r="P546" s="96"/>
      <c r="Q546" s="97"/>
      <c r="R546" s="149"/>
      <c r="S546" s="153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2"/>
      <c r="AD546" s="143"/>
      <c r="AE546" s="143"/>
      <c r="AF546" s="143"/>
      <c r="AG546" s="143"/>
      <c r="AH546" s="143"/>
      <c r="AI546" s="143"/>
      <c r="AJ546" s="144"/>
    </row>
    <row r="547" spans="11:36">
      <c r="K547" s="85"/>
      <c r="L547" s="54" t="str">
        <f t="shared" si="55"/>
        <v/>
      </c>
      <c r="M547" s="38" t="str">
        <f t="shared" si="58"/>
        <v>0100</v>
      </c>
      <c r="N547" s="69">
        <f t="shared" si="57"/>
        <v>256</v>
      </c>
      <c r="O547" s="95"/>
      <c r="P547" s="96"/>
      <c r="Q547" s="97"/>
      <c r="R547" s="149"/>
      <c r="S547" s="153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2"/>
      <c r="AD547" s="143"/>
      <c r="AE547" s="143"/>
      <c r="AF547" s="143"/>
      <c r="AG547" s="143"/>
      <c r="AH547" s="143"/>
      <c r="AI547" s="143"/>
      <c r="AJ547" s="144"/>
    </row>
    <row r="548" spans="11:36">
      <c r="K548" s="85"/>
      <c r="L548" s="54" t="str">
        <f t="shared" si="55"/>
        <v/>
      </c>
      <c r="M548" s="38" t="str">
        <f t="shared" si="58"/>
        <v>0100</v>
      </c>
      <c r="N548" s="69">
        <f t="shared" si="57"/>
        <v>256</v>
      </c>
      <c r="O548" s="95"/>
      <c r="P548" s="96"/>
      <c r="Q548" s="97"/>
      <c r="R548" s="149"/>
      <c r="S548" s="153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2"/>
      <c r="AD548" s="143"/>
      <c r="AE548" s="143"/>
      <c r="AF548" s="143"/>
      <c r="AG548" s="143"/>
      <c r="AH548" s="143"/>
      <c r="AI548" s="143"/>
      <c r="AJ548" s="144"/>
    </row>
    <row r="549" spans="11:36">
      <c r="K549" s="85"/>
      <c r="L549" s="54" t="str">
        <f t="shared" si="55"/>
        <v/>
      </c>
      <c r="M549" s="38" t="str">
        <f t="shared" si="58"/>
        <v>0100</v>
      </c>
      <c r="N549" s="69">
        <f t="shared" si="57"/>
        <v>256</v>
      </c>
      <c r="O549" s="95"/>
      <c r="P549" s="96"/>
      <c r="Q549" s="97"/>
      <c r="R549" s="149"/>
      <c r="S549" s="153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2"/>
      <c r="AD549" s="143"/>
      <c r="AE549" s="143"/>
      <c r="AF549" s="143"/>
      <c r="AG549" s="143"/>
      <c r="AH549" s="143"/>
      <c r="AI549" s="143"/>
      <c r="AJ549" s="144"/>
    </row>
    <row r="550" spans="11:36">
      <c r="K550" s="85"/>
      <c r="L550" s="54" t="str">
        <f t="shared" si="55"/>
        <v/>
      </c>
      <c r="M550" s="38" t="str">
        <f t="shared" si="58"/>
        <v>0100</v>
      </c>
      <c r="N550" s="69">
        <f t="shared" si="57"/>
        <v>256</v>
      </c>
      <c r="O550" s="95"/>
      <c r="P550" s="96"/>
      <c r="Q550" s="97"/>
      <c r="R550" s="149"/>
      <c r="S550" s="153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2"/>
      <c r="AD550" s="143"/>
      <c r="AE550" s="143"/>
      <c r="AF550" s="143"/>
      <c r="AG550" s="143"/>
      <c r="AH550" s="143"/>
      <c r="AI550" s="143"/>
      <c r="AJ550" s="144"/>
    </row>
    <row r="551" spans="11:36">
      <c r="K551" s="85"/>
      <c r="L551" s="54" t="str">
        <f t="shared" si="55"/>
        <v/>
      </c>
      <c r="M551" s="38" t="str">
        <f t="shared" si="58"/>
        <v>0100</v>
      </c>
      <c r="N551" s="69">
        <f t="shared" si="57"/>
        <v>256</v>
      </c>
      <c r="O551" s="95"/>
      <c r="P551" s="96"/>
      <c r="Q551" s="97"/>
      <c r="R551" s="149"/>
      <c r="S551" s="153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2"/>
      <c r="AD551" s="143"/>
      <c r="AE551" s="143"/>
      <c r="AF551" s="143"/>
      <c r="AG551" s="143"/>
      <c r="AH551" s="143"/>
      <c r="AI551" s="143"/>
      <c r="AJ551" s="144"/>
    </row>
    <row r="552" spans="11:36">
      <c r="K552" s="85"/>
      <c r="L552" s="54" t="str">
        <f t="shared" si="55"/>
        <v/>
      </c>
      <c r="M552" s="38" t="str">
        <f t="shared" si="58"/>
        <v>0100</v>
      </c>
      <c r="N552" s="69">
        <f t="shared" si="57"/>
        <v>256</v>
      </c>
      <c r="O552" s="95"/>
      <c r="P552" s="96"/>
      <c r="Q552" s="97"/>
      <c r="R552" s="149"/>
      <c r="S552" s="153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2"/>
      <c r="AD552" s="143"/>
      <c r="AE552" s="143"/>
      <c r="AF552" s="143"/>
      <c r="AG552" s="143"/>
      <c r="AH552" s="143"/>
      <c r="AI552" s="143"/>
      <c r="AJ552" s="144"/>
    </row>
    <row r="553" spans="11:36">
      <c r="K553" s="85"/>
      <c r="L553" s="54" t="str">
        <f t="shared" si="55"/>
        <v/>
      </c>
      <c r="M553" s="38" t="str">
        <f t="shared" si="58"/>
        <v>0100</v>
      </c>
      <c r="N553" s="69">
        <f t="shared" si="57"/>
        <v>256</v>
      </c>
      <c r="O553" s="95"/>
      <c r="P553" s="96"/>
      <c r="Q553" s="97"/>
      <c r="R553" s="149"/>
      <c r="S553" s="153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2"/>
      <c r="AD553" s="143"/>
      <c r="AE553" s="143"/>
      <c r="AF553" s="143"/>
      <c r="AG553" s="143"/>
      <c r="AH553" s="143"/>
      <c r="AI553" s="143"/>
      <c r="AJ553" s="144"/>
    </row>
    <row r="554" spans="11:36">
      <c r="K554" s="85"/>
      <c r="L554" s="54" t="str">
        <f t="shared" si="55"/>
        <v/>
      </c>
      <c r="M554" s="38" t="str">
        <f t="shared" si="58"/>
        <v>0100</v>
      </c>
      <c r="N554" s="69">
        <f t="shared" si="57"/>
        <v>256</v>
      </c>
      <c r="O554" s="95"/>
      <c r="P554" s="96"/>
      <c r="Q554" s="97"/>
      <c r="R554" s="149"/>
      <c r="S554" s="153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2"/>
      <c r="AD554" s="143"/>
      <c r="AE554" s="143"/>
      <c r="AF554" s="143"/>
      <c r="AG554" s="143"/>
      <c r="AH554" s="143"/>
      <c r="AI554" s="143"/>
      <c r="AJ554" s="144"/>
    </row>
    <row r="555" spans="11:36">
      <c r="K555" s="85"/>
      <c r="L555" s="54" t="str">
        <f t="shared" si="55"/>
        <v/>
      </c>
      <c r="M555" s="38" t="str">
        <f t="shared" si="58"/>
        <v>0100</v>
      </c>
      <c r="N555" s="69">
        <f t="shared" si="57"/>
        <v>256</v>
      </c>
      <c r="O555" s="95"/>
      <c r="P555" s="96"/>
      <c r="Q555" s="97"/>
      <c r="R555" s="149"/>
      <c r="S555" s="153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2"/>
      <c r="AD555" s="143"/>
      <c r="AE555" s="143"/>
      <c r="AF555" s="143"/>
      <c r="AG555" s="143"/>
      <c r="AH555" s="143"/>
      <c r="AI555" s="143"/>
      <c r="AJ555" s="144"/>
    </row>
    <row r="556" spans="11:36">
      <c r="K556" s="85"/>
      <c r="L556" s="54" t="str">
        <f t="shared" si="55"/>
        <v/>
      </c>
      <c r="M556" s="38" t="str">
        <f t="shared" si="58"/>
        <v>0100</v>
      </c>
      <c r="N556" s="69">
        <f t="shared" si="57"/>
        <v>256</v>
      </c>
      <c r="O556" s="95"/>
      <c r="P556" s="96"/>
      <c r="Q556" s="97"/>
      <c r="R556" s="149"/>
      <c r="S556" s="153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2"/>
      <c r="AD556" s="143"/>
      <c r="AE556" s="143"/>
      <c r="AF556" s="143"/>
      <c r="AG556" s="143"/>
      <c r="AH556" s="143"/>
      <c r="AI556" s="143"/>
      <c r="AJ556" s="144"/>
    </row>
    <row r="557" spans="11:36">
      <c r="K557" s="85"/>
      <c r="L557" s="54" t="str">
        <f t="shared" si="55"/>
        <v/>
      </c>
      <c r="M557" s="38" t="str">
        <f t="shared" si="58"/>
        <v>0100</v>
      </c>
      <c r="N557" s="69">
        <f t="shared" si="57"/>
        <v>256</v>
      </c>
      <c r="O557" s="95"/>
      <c r="P557" s="96"/>
      <c r="Q557" s="97"/>
      <c r="R557" s="149"/>
      <c r="S557" s="153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2"/>
      <c r="AD557" s="143"/>
      <c r="AE557" s="143"/>
      <c r="AF557" s="143"/>
      <c r="AG557" s="143"/>
      <c r="AH557" s="143"/>
      <c r="AI557" s="143"/>
      <c r="AJ557" s="144"/>
    </row>
    <row r="558" spans="11:36">
      <c r="K558" s="85"/>
      <c r="L558" s="54" t="str">
        <f t="shared" si="55"/>
        <v/>
      </c>
      <c r="M558" s="38" t="str">
        <f t="shared" si="58"/>
        <v>0100</v>
      </c>
      <c r="N558" s="69">
        <f t="shared" si="57"/>
        <v>256</v>
      </c>
      <c r="O558" s="95"/>
      <c r="P558" s="96"/>
      <c r="Q558" s="97"/>
      <c r="R558" s="149"/>
      <c r="S558" s="153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2"/>
      <c r="AD558" s="143"/>
      <c r="AE558" s="143"/>
      <c r="AF558" s="143"/>
      <c r="AG558" s="143"/>
      <c r="AH558" s="143"/>
      <c r="AI558" s="143"/>
      <c r="AJ558" s="144"/>
    </row>
    <row r="559" spans="11:36">
      <c r="K559" s="85"/>
      <c r="L559" s="54" t="str">
        <f t="shared" si="55"/>
        <v/>
      </c>
      <c r="M559" s="38" t="str">
        <f t="shared" si="58"/>
        <v>0100</v>
      </c>
      <c r="N559" s="69">
        <f t="shared" si="57"/>
        <v>256</v>
      </c>
      <c r="O559" s="95"/>
      <c r="P559" s="96"/>
      <c r="Q559" s="97"/>
      <c r="R559" s="149"/>
      <c r="S559" s="153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2"/>
      <c r="AD559" s="143"/>
      <c r="AE559" s="143"/>
      <c r="AF559" s="143"/>
      <c r="AG559" s="143"/>
      <c r="AH559" s="143"/>
      <c r="AI559" s="143"/>
      <c r="AJ559" s="144"/>
    </row>
    <row r="560" spans="11:36">
      <c r="K560" s="85"/>
      <c r="L560" s="54" t="str">
        <f t="shared" si="55"/>
        <v/>
      </c>
      <c r="M560" s="38" t="str">
        <f t="shared" si="58"/>
        <v>0100</v>
      </c>
      <c r="N560" s="69">
        <f t="shared" si="57"/>
        <v>256</v>
      </c>
      <c r="O560" s="95"/>
      <c r="P560" s="96"/>
      <c r="Q560" s="97"/>
      <c r="R560" s="149"/>
      <c r="S560" s="153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2"/>
      <c r="AD560" s="143"/>
      <c r="AE560" s="143"/>
      <c r="AF560" s="143"/>
      <c r="AG560" s="143"/>
      <c r="AH560" s="143"/>
      <c r="AI560" s="143"/>
      <c r="AJ560" s="144"/>
    </row>
    <row r="561" spans="11:36">
      <c r="K561" s="85"/>
      <c r="L561" s="54" t="str">
        <f t="shared" si="55"/>
        <v/>
      </c>
      <c r="M561" s="38" t="str">
        <f t="shared" si="58"/>
        <v>0100</v>
      </c>
      <c r="N561" s="69">
        <f t="shared" si="57"/>
        <v>256</v>
      </c>
      <c r="O561" s="95"/>
      <c r="P561" s="96"/>
      <c r="Q561" s="97"/>
      <c r="R561" s="149"/>
      <c r="S561" s="153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2"/>
      <c r="AD561" s="143"/>
      <c r="AE561" s="143"/>
      <c r="AF561" s="143"/>
      <c r="AG561" s="143"/>
      <c r="AH561" s="143"/>
      <c r="AI561" s="143"/>
      <c r="AJ561" s="144"/>
    </row>
    <row r="562" spans="11:36">
      <c r="K562" s="85"/>
      <c r="L562" s="54" t="str">
        <f t="shared" si="55"/>
        <v/>
      </c>
      <c r="M562" s="38" t="str">
        <f t="shared" si="58"/>
        <v>0100</v>
      </c>
      <c r="N562" s="69">
        <f t="shared" si="57"/>
        <v>256</v>
      </c>
      <c r="O562" s="95"/>
      <c r="P562" s="96"/>
      <c r="Q562" s="97"/>
      <c r="R562" s="149"/>
      <c r="S562" s="153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2"/>
      <c r="AD562" s="143"/>
      <c r="AE562" s="143"/>
      <c r="AF562" s="143"/>
      <c r="AG562" s="143"/>
      <c r="AH562" s="143"/>
      <c r="AI562" s="143"/>
      <c r="AJ562" s="144"/>
    </row>
    <row r="563" spans="11:36">
      <c r="K563" s="85"/>
      <c r="L563" s="54" t="str">
        <f t="shared" si="55"/>
        <v/>
      </c>
      <c r="M563" s="38" t="str">
        <f t="shared" si="58"/>
        <v>0100</v>
      </c>
      <c r="N563" s="69">
        <f t="shared" si="57"/>
        <v>256</v>
      </c>
      <c r="O563" s="95"/>
      <c r="P563" s="96"/>
      <c r="Q563" s="97"/>
      <c r="R563" s="149"/>
      <c r="S563" s="153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2"/>
      <c r="AD563" s="143"/>
      <c r="AE563" s="143"/>
      <c r="AF563" s="143"/>
      <c r="AG563" s="143"/>
      <c r="AH563" s="143"/>
      <c r="AI563" s="143"/>
      <c r="AJ563" s="144"/>
    </row>
    <row r="564" spans="11:36">
      <c r="K564" s="85"/>
      <c r="L564" s="54" t="str">
        <f t="shared" si="55"/>
        <v/>
      </c>
      <c r="M564" s="38" t="str">
        <f t="shared" si="58"/>
        <v>0100</v>
      </c>
      <c r="N564" s="69">
        <f t="shared" si="57"/>
        <v>256</v>
      </c>
      <c r="O564" s="95"/>
      <c r="P564" s="96"/>
      <c r="Q564" s="97"/>
      <c r="R564" s="149"/>
      <c r="S564" s="153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2"/>
      <c r="AD564" s="143"/>
      <c r="AE564" s="143"/>
      <c r="AF564" s="143"/>
      <c r="AG564" s="143"/>
      <c r="AH564" s="143"/>
      <c r="AI564" s="143"/>
      <c r="AJ564" s="144"/>
    </row>
    <row r="565" spans="11:36">
      <c r="K565" s="85"/>
      <c r="L565" s="54" t="str">
        <f t="shared" si="55"/>
        <v/>
      </c>
      <c r="M565" s="38" t="str">
        <f t="shared" si="58"/>
        <v>0100</v>
      </c>
      <c r="N565" s="69">
        <f t="shared" si="57"/>
        <v>256</v>
      </c>
      <c r="O565" s="95"/>
      <c r="P565" s="96"/>
      <c r="Q565" s="97"/>
      <c r="R565" s="149"/>
      <c r="S565" s="153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2"/>
      <c r="AD565" s="143"/>
      <c r="AE565" s="143"/>
      <c r="AF565" s="143"/>
      <c r="AG565" s="143"/>
      <c r="AH565" s="143"/>
      <c r="AI565" s="143"/>
      <c r="AJ565" s="144"/>
    </row>
    <row r="566" spans="11:36">
      <c r="K566" s="85"/>
      <c r="L566" s="54" t="str">
        <f t="shared" si="55"/>
        <v/>
      </c>
      <c r="M566" s="38" t="str">
        <f t="shared" si="58"/>
        <v>0100</v>
      </c>
      <c r="N566" s="69">
        <f t="shared" si="57"/>
        <v>256</v>
      </c>
      <c r="O566" s="95"/>
      <c r="P566" s="96"/>
      <c r="Q566" s="97"/>
      <c r="R566" s="149"/>
      <c r="S566" s="153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2"/>
      <c r="AD566" s="143"/>
      <c r="AE566" s="143"/>
      <c r="AF566" s="143"/>
      <c r="AG566" s="143"/>
      <c r="AH566" s="143"/>
      <c r="AI566" s="143"/>
      <c r="AJ566" s="144"/>
    </row>
    <row r="567" spans="11:36">
      <c r="K567" s="85"/>
      <c r="L567" s="54" t="str">
        <f t="shared" si="55"/>
        <v/>
      </c>
      <c r="M567" s="38" t="str">
        <f t="shared" si="58"/>
        <v>0100</v>
      </c>
      <c r="N567" s="69">
        <f t="shared" si="57"/>
        <v>256</v>
      </c>
      <c r="O567" s="95"/>
      <c r="P567" s="96"/>
      <c r="Q567" s="97"/>
      <c r="R567" s="149"/>
      <c r="S567" s="153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2"/>
      <c r="AD567" s="143"/>
      <c r="AE567" s="143"/>
      <c r="AF567" s="143"/>
      <c r="AG567" s="143"/>
      <c r="AH567" s="143"/>
      <c r="AI567" s="143"/>
      <c r="AJ567" s="144"/>
    </row>
    <row r="568" spans="11:36">
      <c r="K568" s="85"/>
      <c r="L568" s="54" t="str">
        <f t="shared" si="55"/>
        <v/>
      </c>
      <c r="M568" s="38" t="str">
        <f t="shared" si="58"/>
        <v>0100</v>
      </c>
      <c r="N568" s="69">
        <f t="shared" si="57"/>
        <v>256</v>
      </c>
      <c r="O568" s="95"/>
      <c r="P568" s="96"/>
      <c r="Q568" s="97"/>
      <c r="R568" s="149"/>
      <c r="S568" s="153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2"/>
      <c r="AD568" s="143"/>
      <c r="AE568" s="143"/>
      <c r="AF568" s="143"/>
      <c r="AG568" s="143"/>
      <c r="AH568" s="143"/>
      <c r="AI568" s="143"/>
      <c r="AJ568" s="144"/>
    </row>
    <row r="569" spans="11:36">
      <c r="K569" s="85"/>
      <c r="L569" s="54" t="str">
        <f t="shared" si="55"/>
        <v/>
      </c>
      <c r="M569" s="38" t="str">
        <f t="shared" si="58"/>
        <v>0100</v>
      </c>
      <c r="N569" s="69">
        <f t="shared" si="57"/>
        <v>256</v>
      </c>
      <c r="O569" s="95"/>
      <c r="P569" s="96"/>
      <c r="Q569" s="97"/>
      <c r="R569" s="149"/>
      <c r="S569" s="153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2"/>
      <c r="AD569" s="143"/>
      <c r="AE569" s="143"/>
      <c r="AF569" s="143"/>
      <c r="AG569" s="143"/>
      <c r="AH569" s="143"/>
      <c r="AI569" s="143"/>
      <c r="AJ569" s="144"/>
    </row>
    <row r="570" spans="11:36">
      <c r="K570" s="85"/>
      <c r="L570" s="54" t="str">
        <f t="shared" si="55"/>
        <v/>
      </c>
      <c r="M570" s="38" t="str">
        <f t="shared" si="58"/>
        <v>0100</v>
      </c>
      <c r="N570" s="69">
        <f t="shared" si="57"/>
        <v>256</v>
      </c>
      <c r="O570" s="95"/>
      <c r="P570" s="96"/>
      <c r="Q570" s="97"/>
      <c r="R570" s="149"/>
      <c r="S570" s="153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2"/>
      <c r="AD570" s="143"/>
      <c r="AE570" s="143"/>
      <c r="AF570" s="143"/>
      <c r="AG570" s="143"/>
      <c r="AH570" s="143"/>
      <c r="AI570" s="143"/>
      <c r="AJ570" s="144"/>
    </row>
    <row r="571" spans="11:36">
      <c r="K571" s="85"/>
      <c r="L571" s="54" t="str">
        <f t="shared" si="55"/>
        <v/>
      </c>
      <c r="M571" s="38" t="str">
        <f t="shared" si="58"/>
        <v>0100</v>
      </c>
      <c r="N571" s="69">
        <f t="shared" si="57"/>
        <v>256</v>
      </c>
      <c r="O571" s="95"/>
      <c r="P571" s="96"/>
      <c r="Q571" s="97"/>
      <c r="R571" s="149"/>
      <c r="S571" s="153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2"/>
      <c r="AD571" s="143"/>
      <c r="AE571" s="143"/>
      <c r="AF571" s="143"/>
      <c r="AG571" s="143"/>
      <c r="AH571" s="143"/>
      <c r="AI571" s="143"/>
      <c r="AJ571" s="144"/>
    </row>
    <row r="572" spans="11:36">
      <c r="K572" s="85"/>
      <c r="L572" s="54" t="str">
        <f t="shared" si="55"/>
        <v/>
      </c>
      <c r="M572" s="38" t="str">
        <f t="shared" si="58"/>
        <v>0100</v>
      </c>
      <c r="N572" s="69">
        <f t="shared" si="57"/>
        <v>256</v>
      </c>
      <c r="O572" s="95"/>
      <c r="P572" s="96"/>
      <c r="Q572" s="97"/>
      <c r="R572" s="149"/>
      <c r="S572" s="153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2"/>
      <c r="AD572" s="143"/>
      <c r="AE572" s="143"/>
      <c r="AF572" s="143"/>
      <c r="AG572" s="143"/>
      <c r="AH572" s="143"/>
      <c r="AI572" s="143"/>
      <c r="AJ572" s="144"/>
    </row>
    <row r="573" spans="11:36">
      <c r="K573" s="85"/>
      <c r="L573" s="54" t="str">
        <f t="shared" si="55"/>
        <v/>
      </c>
      <c r="M573" s="38" t="str">
        <f t="shared" si="58"/>
        <v>0100</v>
      </c>
      <c r="N573" s="69">
        <f t="shared" si="57"/>
        <v>256</v>
      </c>
      <c r="O573" s="95"/>
      <c r="P573" s="96"/>
      <c r="Q573" s="97"/>
      <c r="R573" s="149"/>
      <c r="S573" s="153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2"/>
      <c r="AD573" s="143"/>
      <c r="AE573" s="143"/>
      <c r="AF573" s="143"/>
      <c r="AG573" s="143"/>
      <c r="AH573" s="143"/>
      <c r="AI573" s="143"/>
      <c r="AJ573" s="144"/>
    </row>
    <row r="574" spans="11:36">
      <c r="K574" s="85"/>
      <c r="L574" s="54" t="str">
        <f t="shared" si="55"/>
        <v/>
      </c>
      <c r="M574" s="38" t="str">
        <f t="shared" si="58"/>
        <v>0100</v>
      </c>
      <c r="N574" s="69">
        <f t="shared" si="57"/>
        <v>256</v>
      </c>
      <c r="O574" s="95"/>
      <c r="P574" s="96"/>
      <c r="Q574" s="97"/>
      <c r="R574" s="149"/>
      <c r="S574" s="153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2"/>
      <c r="AD574" s="143"/>
      <c r="AE574" s="143"/>
      <c r="AF574" s="143"/>
      <c r="AG574" s="143"/>
      <c r="AH574" s="143"/>
      <c r="AI574" s="143"/>
      <c r="AJ574" s="144"/>
    </row>
    <row r="575" spans="11:36">
      <c r="K575" s="85"/>
      <c r="L575" s="54" t="str">
        <f t="shared" si="55"/>
        <v/>
      </c>
      <c r="M575" s="38" t="str">
        <f t="shared" si="58"/>
        <v>0100</v>
      </c>
      <c r="N575" s="69">
        <f t="shared" si="57"/>
        <v>256</v>
      </c>
      <c r="O575" s="95"/>
      <c r="P575" s="96"/>
      <c r="Q575" s="97"/>
      <c r="R575" s="149"/>
      <c r="S575" s="153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2"/>
      <c r="AD575" s="143"/>
      <c r="AE575" s="143"/>
      <c r="AF575" s="143"/>
      <c r="AG575" s="143"/>
      <c r="AH575" s="143"/>
      <c r="AI575" s="143"/>
      <c r="AJ575" s="144"/>
    </row>
    <row r="576" spans="11:36">
      <c r="K576" s="85"/>
      <c r="L576" s="54" t="str">
        <f t="shared" si="55"/>
        <v/>
      </c>
      <c r="M576" s="38" t="str">
        <f t="shared" si="58"/>
        <v>0100</v>
      </c>
      <c r="N576" s="69">
        <f t="shared" si="57"/>
        <v>256</v>
      </c>
      <c r="O576" s="95"/>
      <c r="P576" s="96"/>
      <c r="Q576" s="97"/>
      <c r="R576" s="149"/>
      <c r="S576" s="153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2"/>
      <c r="AD576" s="143"/>
      <c r="AE576" s="143"/>
      <c r="AF576" s="143"/>
      <c r="AG576" s="143"/>
      <c r="AH576" s="143"/>
      <c r="AI576" s="143"/>
      <c r="AJ576" s="144"/>
    </row>
    <row r="577" spans="11:36">
      <c r="K577" s="85"/>
      <c r="L577" s="54" t="str">
        <f t="shared" si="55"/>
        <v/>
      </c>
      <c r="M577" s="38" t="str">
        <f t="shared" si="58"/>
        <v>0100</v>
      </c>
      <c r="N577" s="69">
        <f t="shared" si="57"/>
        <v>256</v>
      </c>
      <c r="O577" s="95"/>
      <c r="P577" s="96"/>
      <c r="Q577" s="97"/>
      <c r="R577" s="149"/>
      <c r="S577" s="153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2"/>
      <c r="AD577" s="143"/>
      <c r="AE577" s="143"/>
      <c r="AF577" s="143"/>
      <c r="AG577" s="143"/>
      <c r="AH577" s="143"/>
      <c r="AI577" s="143"/>
      <c r="AJ577" s="144"/>
    </row>
    <row r="578" spans="11:36">
      <c r="K578" s="85"/>
      <c r="L578" s="54" t="str">
        <f t="shared" si="55"/>
        <v/>
      </c>
      <c r="M578" s="38" t="str">
        <f t="shared" si="58"/>
        <v>0100</v>
      </c>
      <c r="N578" s="69">
        <f t="shared" si="57"/>
        <v>256</v>
      </c>
      <c r="O578" s="95"/>
      <c r="P578" s="96"/>
      <c r="Q578" s="97"/>
      <c r="R578" s="149"/>
      <c r="S578" s="153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2"/>
      <c r="AD578" s="143"/>
      <c r="AE578" s="143"/>
      <c r="AF578" s="143"/>
      <c r="AG578" s="143"/>
      <c r="AH578" s="143"/>
      <c r="AI578" s="143"/>
      <c r="AJ578" s="144"/>
    </row>
    <row r="579" spans="11:36">
      <c r="K579" s="85"/>
      <c r="L579" s="54" t="str">
        <f t="shared" si="55"/>
        <v/>
      </c>
      <c r="M579" s="38" t="str">
        <f t="shared" si="58"/>
        <v>0100</v>
      </c>
      <c r="N579" s="69">
        <f t="shared" si="57"/>
        <v>256</v>
      </c>
      <c r="O579" s="95"/>
      <c r="P579" s="96"/>
      <c r="Q579" s="97"/>
      <c r="R579" s="149"/>
      <c r="S579" s="153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2"/>
      <c r="AD579" s="143"/>
      <c r="AE579" s="143"/>
      <c r="AF579" s="143"/>
      <c r="AG579" s="143"/>
      <c r="AH579" s="143"/>
      <c r="AI579" s="143"/>
      <c r="AJ579" s="144"/>
    </row>
    <row r="580" spans="11:36">
      <c r="K580" s="85"/>
      <c r="L580" s="54" t="str">
        <f t="shared" si="55"/>
        <v/>
      </c>
      <c r="M580" s="38" t="str">
        <f t="shared" si="58"/>
        <v>0100</v>
      </c>
      <c r="N580" s="69">
        <f t="shared" si="57"/>
        <v>256</v>
      </c>
      <c r="O580" s="95"/>
      <c r="P580" s="96"/>
      <c r="Q580" s="97"/>
      <c r="R580" s="149"/>
      <c r="S580" s="153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2"/>
      <c r="AD580" s="143"/>
      <c r="AE580" s="143"/>
      <c r="AF580" s="143"/>
      <c r="AG580" s="143"/>
      <c r="AH580" s="143"/>
      <c r="AI580" s="143"/>
      <c r="AJ580" s="144"/>
    </row>
    <row r="581" spans="11:36">
      <c r="K581" s="85"/>
      <c r="L581" s="54" t="str">
        <f t="shared" si="55"/>
        <v/>
      </c>
      <c r="M581" s="38" t="str">
        <f t="shared" si="58"/>
        <v>0100</v>
      </c>
      <c r="N581" s="69">
        <f t="shared" si="57"/>
        <v>256</v>
      </c>
      <c r="O581" s="95"/>
      <c r="P581" s="96"/>
      <c r="Q581" s="97"/>
      <c r="R581" s="149"/>
      <c r="S581" s="153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2"/>
      <c r="AD581" s="143"/>
      <c r="AE581" s="143"/>
      <c r="AF581" s="143"/>
      <c r="AG581" s="143"/>
      <c r="AH581" s="143"/>
      <c r="AI581" s="143"/>
      <c r="AJ581" s="144"/>
    </row>
    <row r="582" spans="11:36">
      <c r="K582" s="85"/>
      <c r="L582" s="54" t="str">
        <f t="shared" si="55"/>
        <v/>
      </c>
      <c r="M582" s="38" t="str">
        <f t="shared" si="58"/>
        <v>0100</v>
      </c>
      <c r="N582" s="69">
        <f t="shared" si="57"/>
        <v>256</v>
      </c>
      <c r="O582" s="95"/>
      <c r="P582" s="96"/>
      <c r="Q582" s="97"/>
      <c r="R582" s="149"/>
      <c r="S582" s="153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2"/>
      <c r="AD582" s="143"/>
      <c r="AE582" s="143"/>
      <c r="AF582" s="143"/>
      <c r="AG582" s="143"/>
      <c r="AH582" s="143"/>
      <c r="AI582" s="143"/>
      <c r="AJ582" s="144"/>
    </row>
    <row r="583" spans="11:36">
      <c r="K583" s="85"/>
      <c r="L583" s="54" t="str">
        <f t="shared" si="55"/>
        <v/>
      </c>
      <c r="M583" s="38" t="str">
        <f t="shared" si="58"/>
        <v>0100</v>
      </c>
      <c r="N583" s="69">
        <f t="shared" si="57"/>
        <v>256</v>
      </c>
      <c r="O583" s="95"/>
      <c r="P583" s="96"/>
      <c r="Q583" s="97"/>
      <c r="R583" s="149"/>
      <c r="S583" s="153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2"/>
      <c r="AD583" s="143"/>
      <c r="AE583" s="143"/>
      <c r="AF583" s="143"/>
      <c r="AG583" s="143"/>
      <c r="AH583" s="143"/>
      <c r="AI583" s="143"/>
      <c r="AJ583" s="144"/>
    </row>
    <row r="584" spans="11:36">
      <c r="K584" s="85"/>
      <c r="L584" s="54" t="str">
        <f t="shared" si="55"/>
        <v/>
      </c>
      <c r="M584" s="38" t="str">
        <f t="shared" si="58"/>
        <v>0100</v>
      </c>
      <c r="N584" s="69">
        <f t="shared" si="57"/>
        <v>256</v>
      </c>
      <c r="O584" s="95"/>
      <c r="P584" s="96"/>
      <c r="Q584" s="97"/>
      <c r="R584" s="149"/>
      <c r="S584" s="153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2"/>
      <c r="AD584" s="143"/>
      <c r="AE584" s="143"/>
      <c r="AF584" s="143"/>
      <c r="AG584" s="143"/>
      <c r="AH584" s="143"/>
      <c r="AI584" s="143"/>
      <c r="AJ584" s="144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0100</v>
      </c>
      <c r="N585" s="69">
        <f t="shared" si="57"/>
        <v>256</v>
      </c>
      <c r="O585" s="95"/>
      <c r="P585" s="96"/>
      <c r="Q585" s="97"/>
      <c r="R585" s="149"/>
      <c r="S585" s="153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2"/>
      <c r="AD585" s="143"/>
      <c r="AE585" s="143"/>
      <c r="AF585" s="143"/>
      <c r="AG585" s="143"/>
      <c r="AH585" s="143"/>
      <c r="AI585" s="143"/>
      <c r="AJ585" s="144"/>
    </row>
    <row r="586" spans="11:36">
      <c r="K586" s="85"/>
      <c r="L586" s="54" t="str">
        <f t="shared" si="59"/>
        <v/>
      </c>
      <c r="M586" s="38" t="str">
        <f t="shared" si="58"/>
        <v>0100</v>
      </c>
      <c r="N586" s="69">
        <f t="shared" ref="N586:N649" si="61">N585+S585</f>
        <v>256</v>
      </c>
      <c r="O586" s="95"/>
      <c r="P586" s="96"/>
      <c r="Q586" s="97"/>
      <c r="R586" s="149"/>
      <c r="S586" s="153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2"/>
      <c r="AD586" s="143"/>
      <c r="AE586" s="143"/>
      <c r="AF586" s="143"/>
      <c r="AG586" s="143"/>
      <c r="AH586" s="143"/>
      <c r="AI586" s="143"/>
      <c r="AJ586" s="144"/>
    </row>
    <row r="587" spans="11:36">
      <c r="K587" s="85"/>
      <c r="L587" s="54" t="str">
        <f t="shared" si="59"/>
        <v/>
      </c>
      <c r="M587" s="38" t="str">
        <f t="shared" si="58"/>
        <v>0100</v>
      </c>
      <c r="N587" s="69">
        <f t="shared" si="61"/>
        <v>256</v>
      </c>
      <c r="O587" s="95"/>
      <c r="P587" s="96"/>
      <c r="Q587" s="97"/>
      <c r="R587" s="149"/>
      <c r="S587" s="153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2"/>
      <c r="AD587" s="143"/>
      <c r="AE587" s="143"/>
      <c r="AF587" s="143"/>
      <c r="AG587" s="143"/>
      <c r="AH587" s="143"/>
      <c r="AI587" s="143"/>
      <c r="AJ587" s="144"/>
    </row>
    <row r="588" spans="11:36">
      <c r="K588" s="85"/>
      <c r="L588" s="54" t="str">
        <f t="shared" si="59"/>
        <v/>
      </c>
      <c r="M588" s="38" t="str">
        <f t="shared" si="58"/>
        <v>0100</v>
      </c>
      <c r="N588" s="69">
        <f t="shared" si="61"/>
        <v>256</v>
      </c>
      <c r="O588" s="95"/>
      <c r="P588" s="96"/>
      <c r="Q588" s="97"/>
      <c r="R588" s="149"/>
      <c r="S588" s="153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2"/>
      <c r="AD588" s="143"/>
      <c r="AE588" s="143"/>
      <c r="AF588" s="143"/>
      <c r="AG588" s="143"/>
      <c r="AH588" s="143"/>
      <c r="AI588" s="143"/>
      <c r="AJ588" s="144"/>
    </row>
    <row r="589" spans="11:36">
      <c r="K589" s="85"/>
      <c r="L589" s="54" t="str">
        <f t="shared" si="59"/>
        <v/>
      </c>
      <c r="M589" s="38" t="str">
        <f t="shared" si="58"/>
        <v>0100</v>
      </c>
      <c r="N589" s="69">
        <f t="shared" si="61"/>
        <v>256</v>
      </c>
      <c r="O589" s="95"/>
      <c r="P589" s="96"/>
      <c r="Q589" s="97"/>
      <c r="R589" s="149"/>
      <c r="S589" s="153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2"/>
      <c r="AD589" s="143"/>
      <c r="AE589" s="143"/>
      <c r="AF589" s="143"/>
      <c r="AG589" s="143"/>
      <c r="AH589" s="143"/>
      <c r="AI589" s="143"/>
      <c r="AJ589" s="144"/>
    </row>
    <row r="590" spans="11:36">
      <c r="K590" s="85"/>
      <c r="L590" s="54" t="str">
        <f t="shared" si="59"/>
        <v/>
      </c>
      <c r="M590" s="38" t="str">
        <f t="shared" si="58"/>
        <v>0100</v>
      </c>
      <c r="N590" s="69">
        <f t="shared" si="61"/>
        <v>256</v>
      </c>
      <c r="O590" s="95"/>
      <c r="P590" s="96"/>
      <c r="Q590" s="97"/>
      <c r="R590" s="149"/>
      <c r="S590" s="153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2"/>
      <c r="AD590" s="143"/>
      <c r="AE590" s="143"/>
      <c r="AF590" s="143"/>
      <c r="AG590" s="143"/>
      <c r="AH590" s="143"/>
      <c r="AI590" s="143"/>
      <c r="AJ590" s="144"/>
    </row>
    <row r="591" spans="11:36">
      <c r="K591" s="85"/>
      <c r="L591" s="54" t="str">
        <f t="shared" si="59"/>
        <v/>
      </c>
      <c r="M591" s="38" t="str">
        <f t="shared" si="58"/>
        <v>0100</v>
      </c>
      <c r="N591" s="69">
        <f t="shared" si="61"/>
        <v>256</v>
      </c>
      <c r="O591" s="95"/>
      <c r="P591" s="96"/>
      <c r="Q591" s="97"/>
      <c r="R591" s="149"/>
      <c r="S591" s="153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2"/>
      <c r="AD591" s="143"/>
      <c r="AE591" s="143"/>
      <c r="AF591" s="143"/>
      <c r="AG591" s="143"/>
      <c r="AH591" s="143"/>
      <c r="AI591" s="143"/>
      <c r="AJ591" s="144"/>
    </row>
    <row r="592" spans="11:36">
      <c r="K592" s="85"/>
      <c r="L592" s="54" t="str">
        <f t="shared" si="59"/>
        <v/>
      </c>
      <c r="M592" s="38" t="str">
        <f t="shared" si="58"/>
        <v>0100</v>
      </c>
      <c r="N592" s="69">
        <f t="shared" si="61"/>
        <v>256</v>
      </c>
      <c r="O592" s="95"/>
      <c r="P592" s="96"/>
      <c r="Q592" s="97"/>
      <c r="R592" s="149"/>
      <c r="S592" s="153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2"/>
      <c r="AD592" s="143"/>
      <c r="AE592" s="143"/>
      <c r="AF592" s="143"/>
      <c r="AG592" s="143"/>
      <c r="AH592" s="143"/>
      <c r="AI592" s="143"/>
      <c r="AJ592" s="144"/>
    </row>
    <row r="593" spans="11:36">
      <c r="K593" s="85"/>
      <c r="L593" s="54" t="str">
        <f t="shared" si="59"/>
        <v/>
      </c>
      <c r="M593" s="38" t="str">
        <f t="shared" si="58"/>
        <v>0100</v>
      </c>
      <c r="N593" s="69">
        <f t="shared" si="61"/>
        <v>256</v>
      </c>
      <c r="O593" s="95"/>
      <c r="P593" s="96"/>
      <c r="Q593" s="97"/>
      <c r="R593" s="149"/>
      <c r="S593" s="153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2"/>
      <c r="AD593" s="143"/>
      <c r="AE593" s="143"/>
      <c r="AF593" s="143"/>
      <c r="AG593" s="143"/>
      <c r="AH593" s="143"/>
      <c r="AI593" s="143"/>
      <c r="AJ593" s="144"/>
    </row>
    <row r="594" spans="11:36">
      <c r="K594" s="85"/>
      <c r="L594" s="54" t="str">
        <f t="shared" si="59"/>
        <v/>
      </c>
      <c r="M594" s="38" t="str">
        <f t="shared" si="58"/>
        <v>0100</v>
      </c>
      <c r="N594" s="69">
        <f t="shared" si="61"/>
        <v>256</v>
      </c>
      <c r="O594" s="95"/>
      <c r="P594" s="96"/>
      <c r="Q594" s="97"/>
      <c r="R594" s="149"/>
      <c r="S594" s="153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2"/>
      <c r="AD594" s="143"/>
      <c r="AE594" s="143"/>
      <c r="AF594" s="143"/>
      <c r="AG594" s="143"/>
      <c r="AH594" s="143"/>
      <c r="AI594" s="143"/>
      <c r="AJ594" s="144"/>
    </row>
    <row r="595" spans="11:36">
      <c r="K595" s="85"/>
      <c r="L595" s="54" t="str">
        <f t="shared" si="59"/>
        <v/>
      </c>
      <c r="M595" s="38" t="str">
        <f t="shared" si="58"/>
        <v>0100</v>
      </c>
      <c r="N595" s="69">
        <f t="shared" si="61"/>
        <v>256</v>
      </c>
      <c r="O595" s="95"/>
      <c r="P595" s="96"/>
      <c r="Q595" s="97"/>
      <c r="R595" s="149"/>
      <c r="S595" s="153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2"/>
      <c r="AD595" s="143"/>
      <c r="AE595" s="143"/>
      <c r="AF595" s="143"/>
      <c r="AG595" s="143"/>
      <c r="AH595" s="143"/>
      <c r="AI595" s="143"/>
      <c r="AJ595" s="144"/>
    </row>
    <row r="596" spans="11:36">
      <c r="K596" s="85"/>
      <c r="L596" s="54" t="str">
        <f t="shared" si="59"/>
        <v/>
      </c>
      <c r="M596" s="38" t="str">
        <f t="shared" si="58"/>
        <v>0100</v>
      </c>
      <c r="N596" s="69">
        <f t="shared" si="61"/>
        <v>256</v>
      </c>
      <c r="O596" s="95"/>
      <c r="P596" s="96"/>
      <c r="Q596" s="97"/>
      <c r="R596" s="149"/>
      <c r="S596" s="153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2"/>
      <c r="AD596" s="143"/>
      <c r="AE596" s="143"/>
      <c r="AF596" s="143"/>
      <c r="AG596" s="143"/>
      <c r="AH596" s="143"/>
      <c r="AI596" s="143"/>
      <c r="AJ596" s="144"/>
    </row>
    <row r="597" spans="11:36">
      <c r="K597" s="85"/>
      <c r="L597" s="54" t="str">
        <f t="shared" si="59"/>
        <v/>
      </c>
      <c r="M597" s="38" t="str">
        <f t="shared" si="58"/>
        <v>0100</v>
      </c>
      <c r="N597" s="69">
        <f t="shared" si="61"/>
        <v>256</v>
      </c>
      <c r="O597" s="95"/>
      <c r="P597" s="96"/>
      <c r="Q597" s="97"/>
      <c r="R597" s="149"/>
      <c r="S597" s="153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2"/>
      <c r="AD597" s="143"/>
      <c r="AE597" s="143"/>
      <c r="AF597" s="143"/>
      <c r="AG597" s="143"/>
      <c r="AH597" s="143"/>
      <c r="AI597" s="143"/>
      <c r="AJ597" s="144"/>
    </row>
    <row r="598" spans="11:36">
      <c r="K598" s="85"/>
      <c r="L598" s="54" t="str">
        <f t="shared" si="59"/>
        <v/>
      </c>
      <c r="M598" s="38" t="str">
        <f t="shared" si="58"/>
        <v>0100</v>
      </c>
      <c r="N598" s="69">
        <f t="shared" si="61"/>
        <v>256</v>
      </c>
      <c r="O598" s="95"/>
      <c r="P598" s="96"/>
      <c r="Q598" s="97"/>
      <c r="R598" s="149"/>
      <c r="S598" s="153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2"/>
      <c r="AD598" s="143"/>
      <c r="AE598" s="143"/>
      <c r="AF598" s="143"/>
      <c r="AG598" s="143"/>
      <c r="AH598" s="143"/>
      <c r="AI598" s="143"/>
      <c r="AJ598" s="144"/>
    </row>
    <row r="599" spans="11:36">
      <c r="K599" s="85"/>
      <c r="L599" s="54" t="str">
        <f t="shared" si="59"/>
        <v/>
      </c>
      <c r="M599" s="38" t="str">
        <f t="shared" si="58"/>
        <v>0100</v>
      </c>
      <c r="N599" s="69">
        <f t="shared" si="61"/>
        <v>256</v>
      </c>
      <c r="O599" s="95"/>
      <c r="P599" s="96"/>
      <c r="Q599" s="97"/>
      <c r="R599" s="149"/>
      <c r="S599" s="153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2"/>
      <c r="AD599" s="143"/>
      <c r="AE599" s="143"/>
      <c r="AF599" s="143"/>
      <c r="AG599" s="143"/>
      <c r="AH599" s="143"/>
      <c r="AI599" s="143"/>
      <c r="AJ599" s="144"/>
    </row>
    <row r="600" spans="11:36">
      <c r="K600" s="85"/>
      <c r="L600" s="54" t="str">
        <f t="shared" si="59"/>
        <v/>
      </c>
      <c r="M600" s="38" t="str">
        <f t="shared" si="58"/>
        <v>0100</v>
      </c>
      <c r="N600" s="69">
        <f t="shared" si="61"/>
        <v>256</v>
      </c>
      <c r="O600" s="95"/>
      <c r="P600" s="96"/>
      <c r="Q600" s="97"/>
      <c r="R600" s="149"/>
      <c r="S600" s="153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2"/>
      <c r="AD600" s="143"/>
      <c r="AE600" s="143"/>
      <c r="AF600" s="143"/>
      <c r="AG600" s="143"/>
      <c r="AH600" s="143"/>
      <c r="AI600" s="143"/>
      <c r="AJ600" s="144"/>
    </row>
    <row r="601" spans="11:36">
      <c r="K601" s="85"/>
      <c r="L601" s="54" t="str">
        <f t="shared" si="59"/>
        <v/>
      </c>
      <c r="M601" s="38" t="str">
        <f t="shared" si="58"/>
        <v>0100</v>
      </c>
      <c r="N601" s="69">
        <f t="shared" si="61"/>
        <v>256</v>
      </c>
      <c r="O601" s="95"/>
      <c r="P601" s="96"/>
      <c r="Q601" s="97"/>
      <c r="R601" s="149"/>
      <c r="S601" s="153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2"/>
      <c r="AD601" s="143"/>
      <c r="AE601" s="143"/>
      <c r="AF601" s="143"/>
      <c r="AG601" s="143"/>
      <c r="AH601" s="143"/>
      <c r="AI601" s="143"/>
      <c r="AJ601" s="144"/>
    </row>
    <row r="602" spans="11:36">
      <c r="K602" s="85"/>
      <c r="L602" s="54" t="str">
        <f t="shared" si="59"/>
        <v/>
      </c>
      <c r="M602" s="38" t="str">
        <f t="shared" si="58"/>
        <v>0100</v>
      </c>
      <c r="N602" s="69">
        <f t="shared" si="61"/>
        <v>256</v>
      </c>
      <c r="O602" s="95"/>
      <c r="P602" s="96"/>
      <c r="Q602" s="97"/>
      <c r="R602" s="149"/>
      <c r="S602" s="153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2"/>
      <c r="AD602" s="143"/>
      <c r="AE602" s="143"/>
      <c r="AF602" s="143"/>
      <c r="AG602" s="143"/>
      <c r="AH602" s="143"/>
      <c r="AI602" s="143"/>
      <c r="AJ602" s="144"/>
    </row>
    <row r="603" spans="11:36">
      <c r="K603" s="85"/>
      <c r="L603" s="54" t="str">
        <f t="shared" si="59"/>
        <v/>
      </c>
      <c r="M603" s="38" t="str">
        <f t="shared" si="58"/>
        <v>0100</v>
      </c>
      <c r="N603" s="69">
        <f t="shared" si="61"/>
        <v>256</v>
      </c>
      <c r="O603" s="95"/>
      <c r="P603" s="96"/>
      <c r="Q603" s="97"/>
      <c r="R603" s="149"/>
      <c r="S603" s="153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2"/>
      <c r="AD603" s="143"/>
      <c r="AE603" s="143"/>
      <c r="AF603" s="143"/>
      <c r="AG603" s="143"/>
      <c r="AH603" s="143"/>
      <c r="AI603" s="143"/>
      <c r="AJ603" s="144"/>
    </row>
    <row r="604" spans="11:36">
      <c r="K604" s="85"/>
      <c r="L604" s="54" t="str">
        <f t="shared" si="59"/>
        <v/>
      </c>
      <c r="M604" s="38" t="str">
        <f t="shared" si="58"/>
        <v>0100</v>
      </c>
      <c r="N604" s="69">
        <f t="shared" si="61"/>
        <v>256</v>
      </c>
      <c r="O604" s="95"/>
      <c r="P604" s="96"/>
      <c r="Q604" s="97"/>
      <c r="R604" s="149"/>
      <c r="S604" s="153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2"/>
      <c r="AD604" s="143"/>
      <c r="AE604" s="143"/>
      <c r="AF604" s="143"/>
      <c r="AG604" s="143"/>
      <c r="AH604" s="143"/>
      <c r="AI604" s="143"/>
      <c r="AJ604" s="144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0100</v>
      </c>
      <c r="N605" s="69">
        <f t="shared" si="61"/>
        <v>256</v>
      </c>
      <c r="O605" s="95"/>
      <c r="P605" s="96"/>
      <c r="Q605" s="97"/>
      <c r="R605" s="149"/>
      <c r="S605" s="153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2"/>
      <c r="AD605" s="143"/>
      <c r="AE605" s="143"/>
      <c r="AF605" s="143"/>
      <c r="AG605" s="143"/>
      <c r="AH605" s="143"/>
      <c r="AI605" s="143"/>
      <c r="AJ605" s="144"/>
    </row>
    <row r="606" spans="11:36">
      <c r="K606" s="85"/>
      <c r="L606" s="54" t="str">
        <f t="shared" si="59"/>
        <v/>
      </c>
      <c r="M606" s="38" t="str">
        <f t="shared" si="62"/>
        <v>0100</v>
      </c>
      <c r="N606" s="69">
        <f t="shared" si="61"/>
        <v>256</v>
      </c>
      <c r="O606" s="95"/>
      <c r="P606" s="96"/>
      <c r="Q606" s="97"/>
      <c r="R606" s="149"/>
      <c r="S606" s="153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2"/>
      <c r="AD606" s="143"/>
      <c r="AE606" s="143"/>
      <c r="AF606" s="143"/>
      <c r="AG606" s="143"/>
      <c r="AH606" s="143"/>
      <c r="AI606" s="143"/>
      <c r="AJ606" s="144"/>
    </row>
    <row r="607" spans="11:36">
      <c r="K607" s="85"/>
      <c r="L607" s="54" t="str">
        <f t="shared" si="59"/>
        <v/>
      </c>
      <c r="M607" s="38" t="str">
        <f t="shared" si="62"/>
        <v>0100</v>
      </c>
      <c r="N607" s="69">
        <f t="shared" si="61"/>
        <v>256</v>
      </c>
      <c r="O607" s="95"/>
      <c r="P607" s="96"/>
      <c r="Q607" s="97"/>
      <c r="R607" s="149"/>
      <c r="S607" s="153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2"/>
      <c r="AD607" s="143"/>
      <c r="AE607" s="143"/>
      <c r="AF607" s="143"/>
      <c r="AG607" s="143"/>
      <c r="AH607" s="143"/>
      <c r="AI607" s="143"/>
      <c r="AJ607" s="144"/>
    </row>
    <row r="608" spans="11:36">
      <c r="K608" s="85"/>
      <c r="L608" s="54" t="str">
        <f t="shared" si="59"/>
        <v/>
      </c>
      <c r="M608" s="38" t="str">
        <f t="shared" si="62"/>
        <v>0100</v>
      </c>
      <c r="N608" s="69">
        <f t="shared" si="61"/>
        <v>256</v>
      </c>
      <c r="O608" s="95"/>
      <c r="P608" s="96"/>
      <c r="Q608" s="97"/>
      <c r="R608" s="149"/>
      <c r="S608" s="153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2"/>
      <c r="AD608" s="143"/>
      <c r="AE608" s="143"/>
      <c r="AF608" s="143"/>
      <c r="AG608" s="143"/>
      <c r="AH608" s="143"/>
      <c r="AI608" s="143"/>
      <c r="AJ608" s="144"/>
    </row>
    <row r="609" spans="11:36">
      <c r="K609" s="85"/>
      <c r="L609" s="54" t="str">
        <f t="shared" si="59"/>
        <v/>
      </c>
      <c r="M609" s="38" t="str">
        <f t="shared" si="62"/>
        <v>0100</v>
      </c>
      <c r="N609" s="69">
        <f t="shared" si="61"/>
        <v>256</v>
      </c>
      <c r="O609" s="95"/>
      <c r="P609" s="96"/>
      <c r="Q609" s="97"/>
      <c r="R609" s="149"/>
      <c r="S609" s="153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2"/>
      <c r="AD609" s="143"/>
      <c r="AE609" s="143"/>
      <c r="AF609" s="143"/>
      <c r="AG609" s="143"/>
      <c r="AH609" s="143"/>
      <c r="AI609" s="143"/>
      <c r="AJ609" s="144"/>
    </row>
    <row r="610" spans="11:36">
      <c r="K610" s="85"/>
      <c r="L610" s="54" t="str">
        <f t="shared" si="59"/>
        <v/>
      </c>
      <c r="M610" s="38" t="str">
        <f t="shared" si="62"/>
        <v>0100</v>
      </c>
      <c r="N610" s="69">
        <f t="shared" si="61"/>
        <v>256</v>
      </c>
      <c r="O610" s="95"/>
      <c r="P610" s="96"/>
      <c r="Q610" s="97"/>
      <c r="R610" s="149"/>
      <c r="S610" s="153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2"/>
      <c r="AD610" s="143"/>
      <c r="AE610" s="143"/>
      <c r="AF610" s="143"/>
      <c r="AG610" s="143"/>
      <c r="AH610" s="143"/>
      <c r="AI610" s="143"/>
      <c r="AJ610" s="144"/>
    </row>
    <row r="611" spans="11:36">
      <c r="K611" s="85"/>
      <c r="L611" s="54" t="str">
        <f t="shared" si="59"/>
        <v/>
      </c>
      <c r="M611" s="38" t="str">
        <f t="shared" si="62"/>
        <v>0100</v>
      </c>
      <c r="N611" s="69">
        <f t="shared" si="61"/>
        <v>256</v>
      </c>
      <c r="O611" s="95"/>
      <c r="P611" s="96"/>
      <c r="Q611" s="97"/>
      <c r="R611" s="149"/>
      <c r="S611" s="153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2"/>
      <c r="AD611" s="143"/>
      <c r="AE611" s="143"/>
      <c r="AF611" s="143"/>
      <c r="AG611" s="143"/>
      <c r="AH611" s="143"/>
      <c r="AI611" s="143"/>
      <c r="AJ611" s="144"/>
    </row>
    <row r="612" spans="11:36">
      <c r="K612" s="85"/>
      <c r="L612" s="54" t="str">
        <f t="shared" si="59"/>
        <v/>
      </c>
      <c r="M612" s="38" t="str">
        <f t="shared" si="62"/>
        <v>0100</v>
      </c>
      <c r="N612" s="69">
        <f t="shared" si="61"/>
        <v>256</v>
      </c>
      <c r="O612" s="95"/>
      <c r="P612" s="96"/>
      <c r="Q612" s="97"/>
      <c r="R612" s="149"/>
      <c r="S612" s="153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2"/>
      <c r="AD612" s="143"/>
      <c r="AE612" s="143"/>
      <c r="AF612" s="143"/>
      <c r="AG612" s="143"/>
      <c r="AH612" s="143"/>
      <c r="AI612" s="143"/>
      <c r="AJ612" s="144"/>
    </row>
    <row r="613" spans="11:36">
      <c r="K613" s="85"/>
      <c r="L613" s="54" t="str">
        <f t="shared" si="59"/>
        <v/>
      </c>
      <c r="M613" s="38" t="str">
        <f t="shared" si="62"/>
        <v>0100</v>
      </c>
      <c r="N613" s="69">
        <f t="shared" si="61"/>
        <v>256</v>
      </c>
      <c r="O613" s="95"/>
      <c r="P613" s="96"/>
      <c r="Q613" s="97"/>
      <c r="R613" s="149"/>
      <c r="S613" s="153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2"/>
      <c r="AD613" s="143"/>
      <c r="AE613" s="143"/>
      <c r="AF613" s="143"/>
      <c r="AG613" s="143"/>
      <c r="AH613" s="143"/>
      <c r="AI613" s="143"/>
      <c r="AJ613" s="144"/>
    </row>
    <row r="614" spans="11:36">
      <c r="K614" s="85"/>
      <c r="L614" s="54" t="str">
        <f t="shared" si="59"/>
        <v/>
      </c>
      <c r="M614" s="38" t="str">
        <f t="shared" si="62"/>
        <v>0100</v>
      </c>
      <c r="N614" s="69">
        <f t="shared" si="61"/>
        <v>256</v>
      </c>
      <c r="O614" s="95"/>
      <c r="P614" s="96"/>
      <c r="Q614" s="97"/>
      <c r="R614" s="149"/>
      <c r="S614" s="153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2"/>
      <c r="AD614" s="143"/>
      <c r="AE614" s="143"/>
      <c r="AF614" s="143"/>
      <c r="AG614" s="143"/>
      <c r="AH614" s="143"/>
      <c r="AI614" s="143"/>
      <c r="AJ614" s="144"/>
    </row>
    <row r="615" spans="11:36">
      <c r="K615" s="85"/>
      <c r="L615" s="54" t="str">
        <f t="shared" si="59"/>
        <v/>
      </c>
      <c r="M615" s="38" t="str">
        <f t="shared" si="62"/>
        <v>0100</v>
      </c>
      <c r="N615" s="69">
        <f t="shared" si="61"/>
        <v>256</v>
      </c>
      <c r="O615" s="95"/>
      <c r="P615" s="96"/>
      <c r="Q615" s="97"/>
      <c r="R615" s="149"/>
      <c r="S615" s="153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2"/>
      <c r="AD615" s="143"/>
      <c r="AE615" s="143"/>
      <c r="AF615" s="143"/>
      <c r="AG615" s="143"/>
      <c r="AH615" s="143"/>
      <c r="AI615" s="143"/>
      <c r="AJ615" s="144"/>
    </row>
    <row r="616" spans="11:36">
      <c r="K616" s="85"/>
      <c r="L616" s="54" t="str">
        <f t="shared" si="59"/>
        <v/>
      </c>
      <c r="M616" s="38" t="str">
        <f t="shared" si="62"/>
        <v>0100</v>
      </c>
      <c r="N616" s="69">
        <f t="shared" si="61"/>
        <v>256</v>
      </c>
      <c r="O616" s="95"/>
      <c r="P616" s="96"/>
      <c r="Q616" s="97"/>
      <c r="R616" s="149"/>
      <c r="S616" s="153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2"/>
      <c r="AD616" s="143"/>
      <c r="AE616" s="143"/>
      <c r="AF616" s="143"/>
      <c r="AG616" s="143"/>
      <c r="AH616" s="143"/>
      <c r="AI616" s="143"/>
      <c r="AJ616" s="144"/>
    </row>
    <row r="617" spans="11:36">
      <c r="K617" s="85"/>
      <c r="L617" s="54" t="str">
        <f t="shared" si="59"/>
        <v/>
      </c>
      <c r="M617" s="38" t="str">
        <f t="shared" si="62"/>
        <v>0100</v>
      </c>
      <c r="N617" s="69">
        <f t="shared" si="61"/>
        <v>256</v>
      </c>
      <c r="O617" s="95"/>
      <c r="P617" s="96"/>
      <c r="Q617" s="97"/>
      <c r="R617" s="149"/>
      <c r="S617" s="153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2"/>
      <c r="AD617" s="143"/>
      <c r="AE617" s="143"/>
      <c r="AF617" s="143"/>
      <c r="AG617" s="143"/>
      <c r="AH617" s="143"/>
      <c r="AI617" s="143"/>
      <c r="AJ617" s="144"/>
    </row>
    <row r="618" spans="11:36">
      <c r="K618" s="85"/>
      <c r="L618" s="54" t="str">
        <f t="shared" si="59"/>
        <v/>
      </c>
      <c r="M618" s="38" t="str">
        <f t="shared" si="62"/>
        <v>0100</v>
      </c>
      <c r="N618" s="69">
        <f t="shared" si="61"/>
        <v>256</v>
      </c>
      <c r="O618" s="95"/>
      <c r="P618" s="96"/>
      <c r="Q618" s="97"/>
      <c r="R618" s="149"/>
      <c r="S618" s="153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2"/>
      <c r="AD618" s="143"/>
      <c r="AE618" s="143"/>
      <c r="AF618" s="143"/>
      <c r="AG618" s="143"/>
      <c r="AH618" s="143"/>
      <c r="AI618" s="143"/>
      <c r="AJ618" s="144"/>
    </row>
    <row r="619" spans="11:36">
      <c r="K619" s="85"/>
      <c r="L619" s="54" t="str">
        <f t="shared" si="59"/>
        <v/>
      </c>
      <c r="M619" s="38" t="str">
        <f t="shared" si="62"/>
        <v>0100</v>
      </c>
      <c r="N619" s="69">
        <f t="shared" si="61"/>
        <v>256</v>
      </c>
      <c r="O619" s="95"/>
      <c r="P619" s="96"/>
      <c r="Q619" s="97"/>
      <c r="R619" s="149"/>
      <c r="S619" s="153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2"/>
      <c r="AD619" s="143"/>
      <c r="AE619" s="143"/>
      <c r="AF619" s="143"/>
      <c r="AG619" s="143"/>
      <c r="AH619" s="143"/>
      <c r="AI619" s="143"/>
      <c r="AJ619" s="144"/>
    </row>
    <row r="620" spans="11:36">
      <c r="K620" s="85"/>
      <c r="L620" s="54" t="str">
        <f t="shared" si="59"/>
        <v/>
      </c>
      <c r="M620" s="38" t="str">
        <f t="shared" si="62"/>
        <v>0100</v>
      </c>
      <c r="N620" s="69">
        <f t="shared" si="61"/>
        <v>256</v>
      </c>
      <c r="O620" s="95"/>
      <c r="P620" s="96"/>
      <c r="Q620" s="97"/>
      <c r="R620" s="149"/>
      <c r="S620" s="153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2"/>
      <c r="AD620" s="143"/>
      <c r="AE620" s="143"/>
      <c r="AF620" s="143"/>
      <c r="AG620" s="143"/>
      <c r="AH620" s="143"/>
      <c r="AI620" s="143"/>
      <c r="AJ620" s="144"/>
    </row>
    <row r="621" spans="11:36">
      <c r="K621" s="85"/>
      <c r="L621" s="54" t="str">
        <f t="shared" si="59"/>
        <v/>
      </c>
      <c r="M621" s="38" t="str">
        <f t="shared" si="62"/>
        <v>0100</v>
      </c>
      <c r="N621" s="69">
        <f t="shared" si="61"/>
        <v>256</v>
      </c>
      <c r="O621" s="95"/>
      <c r="P621" s="96"/>
      <c r="Q621" s="97"/>
      <c r="R621" s="149"/>
      <c r="S621" s="153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2"/>
      <c r="AD621" s="143"/>
      <c r="AE621" s="143"/>
      <c r="AF621" s="143"/>
      <c r="AG621" s="143"/>
      <c r="AH621" s="143"/>
      <c r="AI621" s="143"/>
      <c r="AJ621" s="144"/>
    </row>
    <row r="622" spans="11:36">
      <c r="K622" s="85"/>
      <c r="L622" s="54" t="str">
        <f t="shared" si="59"/>
        <v/>
      </c>
      <c r="M622" s="38" t="str">
        <f t="shared" si="62"/>
        <v>0100</v>
      </c>
      <c r="N622" s="69">
        <f t="shared" si="61"/>
        <v>256</v>
      </c>
      <c r="O622" s="95"/>
      <c r="P622" s="96"/>
      <c r="Q622" s="97"/>
      <c r="R622" s="149"/>
      <c r="S622" s="153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2"/>
      <c r="AD622" s="143"/>
      <c r="AE622" s="143"/>
      <c r="AF622" s="143"/>
      <c r="AG622" s="143"/>
      <c r="AH622" s="143"/>
      <c r="AI622" s="143"/>
      <c r="AJ622" s="144"/>
    </row>
    <row r="623" spans="11:36">
      <c r="K623" s="85"/>
      <c r="L623" s="54" t="str">
        <f t="shared" si="59"/>
        <v/>
      </c>
      <c r="M623" s="38" t="str">
        <f t="shared" si="62"/>
        <v>0100</v>
      </c>
      <c r="N623" s="69">
        <f t="shared" si="61"/>
        <v>256</v>
      </c>
      <c r="O623" s="95"/>
      <c r="P623" s="96"/>
      <c r="Q623" s="97"/>
      <c r="R623" s="149"/>
      <c r="S623" s="153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2"/>
      <c r="AD623" s="143"/>
      <c r="AE623" s="143"/>
      <c r="AF623" s="143"/>
      <c r="AG623" s="143"/>
      <c r="AH623" s="143"/>
      <c r="AI623" s="143"/>
      <c r="AJ623" s="144"/>
    </row>
    <row r="624" spans="11:36">
      <c r="K624" s="85"/>
      <c r="L624" s="54" t="str">
        <f t="shared" si="59"/>
        <v/>
      </c>
      <c r="M624" s="38" t="str">
        <f t="shared" si="62"/>
        <v>0100</v>
      </c>
      <c r="N624" s="69">
        <f t="shared" si="61"/>
        <v>256</v>
      </c>
      <c r="O624" s="95"/>
      <c r="P624" s="96"/>
      <c r="Q624" s="97"/>
      <c r="R624" s="149"/>
      <c r="S624" s="153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2"/>
      <c r="AD624" s="143"/>
      <c r="AE624" s="143"/>
      <c r="AF624" s="143"/>
      <c r="AG624" s="143"/>
      <c r="AH624" s="143"/>
      <c r="AI624" s="143"/>
      <c r="AJ624" s="144"/>
    </row>
    <row r="625" spans="11:36">
      <c r="K625" s="85"/>
      <c r="L625" s="54" t="str">
        <f t="shared" si="59"/>
        <v/>
      </c>
      <c r="M625" s="38" t="str">
        <f t="shared" si="62"/>
        <v>0100</v>
      </c>
      <c r="N625" s="69">
        <f t="shared" si="61"/>
        <v>256</v>
      </c>
      <c r="O625" s="95"/>
      <c r="P625" s="96"/>
      <c r="Q625" s="97"/>
      <c r="R625" s="149"/>
      <c r="S625" s="153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2"/>
      <c r="AD625" s="143"/>
      <c r="AE625" s="143"/>
      <c r="AF625" s="143"/>
      <c r="AG625" s="143"/>
      <c r="AH625" s="143"/>
      <c r="AI625" s="143"/>
      <c r="AJ625" s="144"/>
    </row>
    <row r="626" spans="11:36">
      <c r="K626" s="85"/>
      <c r="L626" s="54" t="str">
        <f t="shared" si="59"/>
        <v/>
      </c>
      <c r="M626" s="38" t="str">
        <f t="shared" si="62"/>
        <v>0100</v>
      </c>
      <c r="N626" s="69">
        <f t="shared" si="61"/>
        <v>256</v>
      </c>
      <c r="O626" s="95"/>
      <c r="P626" s="96"/>
      <c r="Q626" s="97"/>
      <c r="R626" s="149"/>
      <c r="S626" s="153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2"/>
      <c r="AD626" s="143"/>
      <c r="AE626" s="143"/>
      <c r="AF626" s="143"/>
      <c r="AG626" s="143"/>
      <c r="AH626" s="143"/>
      <c r="AI626" s="143"/>
      <c r="AJ626" s="144"/>
    </row>
    <row r="627" spans="11:36">
      <c r="K627" s="85"/>
      <c r="L627" s="54" t="str">
        <f t="shared" si="59"/>
        <v/>
      </c>
      <c r="M627" s="38" t="str">
        <f t="shared" si="62"/>
        <v>0100</v>
      </c>
      <c r="N627" s="69">
        <f t="shared" si="61"/>
        <v>256</v>
      </c>
      <c r="O627" s="95"/>
      <c r="P627" s="96"/>
      <c r="Q627" s="97"/>
      <c r="R627" s="149"/>
      <c r="S627" s="153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2"/>
      <c r="AD627" s="143"/>
      <c r="AE627" s="143"/>
      <c r="AF627" s="143"/>
      <c r="AG627" s="143"/>
      <c r="AH627" s="143"/>
      <c r="AI627" s="143"/>
      <c r="AJ627" s="144"/>
    </row>
    <row r="628" spans="11:36">
      <c r="K628" s="85"/>
      <c r="L628" s="54" t="str">
        <f t="shared" si="59"/>
        <v/>
      </c>
      <c r="M628" s="38" t="str">
        <f t="shared" si="62"/>
        <v>0100</v>
      </c>
      <c r="N628" s="69">
        <f t="shared" si="61"/>
        <v>256</v>
      </c>
      <c r="O628" s="95"/>
      <c r="P628" s="96"/>
      <c r="Q628" s="97"/>
      <c r="R628" s="149"/>
      <c r="S628" s="153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2"/>
      <c r="AD628" s="143"/>
      <c r="AE628" s="143"/>
      <c r="AF628" s="143"/>
      <c r="AG628" s="143"/>
      <c r="AH628" s="143"/>
      <c r="AI628" s="143"/>
      <c r="AJ628" s="144"/>
    </row>
    <row r="629" spans="11:36">
      <c r="K629" s="85"/>
      <c r="L629" s="54" t="str">
        <f t="shared" si="59"/>
        <v/>
      </c>
      <c r="M629" s="38" t="str">
        <f t="shared" si="62"/>
        <v>0100</v>
      </c>
      <c r="N629" s="69">
        <f t="shared" si="61"/>
        <v>256</v>
      </c>
      <c r="O629" s="95"/>
      <c r="P629" s="96"/>
      <c r="Q629" s="97"/>
      <c r="R629" s="149"/>
      <c r="S629" s="153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2"/>
      <c r="AD629" s="143"/>
      <c r="AE629" s="143"/>
      <c r="AF629" s="143"/>
      <c r="AG629" s="143"/>
      <c r="AH629" s="143"/>
      <c r="AI629" s="143"/>
      <c r="AJ629" s="144"/>
    </row>
    <row r="630" spans="11:36">
      <c r="K630" s="85"/>
      <c r="L630" s="54" t="str">
        <f t="shared" si="59"/>
        <v/>
      </c>
      <c r="M630" s="38" t="str">
        <f t="shared" si="62"/>
        <v>0100</v>
      </c>
      <c r="N630" s="69">
        <f t="shared" si="61"/>
        <v>256</v>
      </c>
      <c r="O630" s="95"/>
      <c r="P630" s="96"/>
      <c r="Q630" s="97"/>
      <c r="R630" s="149"/>
      <c r="S630" s="153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2"/>
      <c r="AD630" s="143"/>
      <c r="AE630" s="143"/>
      <c r="AF630" s="143"/>
      <c r="AG630" s="143"/>
      <c r="AH630" s="143"/>
      <c r="AI630" s="143"/>
      <c r="AJ630" s="144"/>
    </row>
    <row r="631" spans="11:36">
      <c r="K631" s="85"/>
      <c r="L631" s="54" t="str">
        <f t="shared" si="59"/>
        <v/>
      </c>
      <c r="M631" s="38" t="str">
        <f t="shared" si="62"/>
        <v>0100</v>
      </c>
      <c r="N631" s="69">
        <f t="shared" si="61"/>
        <v>256</v>
      </c>
      <c r="O631" s="95"/>
      <c r="P631" s="96"/>
      <c r="Q631" s="97"/>
      <c r="R631" s="149"/>
      <c r="S631" s="153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2"/>
      <c r="AD631" s="143"/>
      <c r="AE631" s="143"/>
      <c r="AF631" s="143"/>
      <c r="AG631" s="143"/>
      <c r="AH631" s="143"/>
      <c r="AI631" s="143"/>
      <c r="AJ631" s="144"/>
    </row>
    <row r="632" spans="11:36">
      <c r="K632" s="85"/>
      <c r="L632" s="54" t="str">
        <f t="shared" si="59"/>
        <v/>
      </c>
      <c r="M632" s="38" t="str">
        <f t="shared" si="62"/>
        <v>0100</v>
      </c>
      <c r="N632" s="69">
        <f t="shared" si="61"/>
        <v>256</v>
      </c>
      <c r="O632" s="95"/>
      <c r="P632" s="96"/>
      <c r="Q632" s="97"/>
      <c r="R632" s="149"/>
      <c r="S632" s="153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2"/>
      <c r="AD632" s="143"/>
      <c r="AE632" s="143"/>
      <c r="AF632" s="143"/>
      <c r="AG632" s="143"/>
      <c r="AH632" s="143"/>
      <c r="AI632" s="143"/>
      <c r="AJ632" s="144"/>
    </row>
    <row r="633" spans="11:36">
      <c r="K633" s="85"/>
      <c r="L633" s="54" t="str">
        <f t="shared" si="59"/>
        <v/>
      </c>
      <c r="M633" s="38" t="str">
        <f t="shared" si="62"/>
        <v>0100</v>
      </c>
      <c r="N633" s="69">
        <f t="shared" si="61"/>
        <v>256</v>
      </c>
      <c r="O633" s="95"/>
      <c r="P633" s="96"/>
      <c r="Q633" s="97"/>
      <c r="R633" s="149"/>
      <c r="S633" s="153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2"/>
      <c r="AD633" s="143"/>
      <c r="AE633" s="143"/>
      <c r="AF633" s="143"/>
      <c r="AG633" s="143"/>
      <c r="AH633" s="143"/>
      <c r="AI633" s="143"/>
      <c r="AJ633" s="144"/>
    </row>
    <row r="634" spans="11:36">
      <c r="K634" s="85"/>
      <c r="L634" s="54" t="str">
        <f t="shared" si="59"/>
        <v/>
      </c>
      <c r="M634" s="38" t="str">
        <f t="shared" si="62"/>
        <v>0100</v>
      </c>
      <c r="N634" s="69">
        <f t="shared" si="61"/>
        <v>256</v>
      </c>
      <c r="O634" s="95"/>
      <c r="P634" s="96"/>
      <c r="Q634" s="97"/>
      <c r="R634" s="149"/>
      <c r="S634" s="153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2"/>
      <c r="AD634" s="143"/>
      <c r="AE634" s="143"/>
      <c r="AF634" s="143"/>
      <c r="AG634" s="143"/>
      <c r="AH634" s="143"/>
      <c r="AI634" s="143"/>
      <c r="AJ634" s="144"/>
    </row>
    <row r="635" spans="11:36">
      <c r="K635" s="85"/>
      <c r="L635" s="54" t="str">
        <f t="shared" si="59"/>
        <v/>
      </c>
      <c r="M635" s="38" t="str">
        <f t="shared" si="62"/>
        <v>0100</v>
      </c>
      <c r="N635" s="69">
        <f t="shared" si="61"/>
        <v>256</v>
      </c>
      <c r="O635" s="95"/>
      <c r="P635" s="96"/>
      <c r="Q635" s="97"/>
      <c r="R635" s="149"/>
      <c r="S635" s="153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2"/>
      <c r="AD635" s="143"/>
      <c r="AE635" s="143"/>
      <c r="AF635" s="143"/>
      <c r="AG635" s="143"/>
      <c r="AH635" s="143"/>
      <c r="AI635" s="143"/>
      <c r="AJ635" s="144"/>
    </row>
    <row r="636" spans="11:36">
      <c r="K636" s="85"/>
      <c r="L636" s="54" t="str">
        <f t="shared" si="59"/>
        <v/>
      </c>
      <c r="M636" s="38" t="str">
        <f t="shared" si="62"/>
        <v>0100</v>
      </c>
      <c r="N636" s="69">
        <f t="shared" si="61"/>
        <v>256</v>
      </c>
      <c r="O636" s="95"/>
      <c r="P636" s="96"/>
      <c r="Q636" s="97"/>
      <c r="R636" s="149"/>
      <c r="S636" s="153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2"/>
      <c r="AD636" s="143"/>
      <c r="AE636" s="143"/>
      <c r="AF636" s="143"/>
      <c r="AG636" s="143"/>
      <c r="AH636" s="143"/>
      <c r="AI636" s="143"/>
      <c r="AJ636" s="144"/>
    </row>
    <row r="637" spans="11:36">
      <c r="K637" s="85"/>
      <c r="L637" s="54" t="str">
        <f t="shared" si="59"/>
        <v/>
      </c>
      <c r="M637" s="38" t="str">
        <f t="shared" si="62"/>
        <v>0100</v>
      </c>
      <c r="N637" s="69">
        <f t="shared" si="61"/>
        <v>256</v>
      </c>
      <c r="O637" s="95"/>
      <c r="P637" s="96"/>
      <c r="Q637" s="97"/>
      <c r="R637" s="149"/>
      <c r="S637" s="153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2"/>
      <c r="AD637" s="143"/>
      <c r="AE637" s="143"/>
      <c r="AF637" s="143"/>
      <c r="AG637" s="143"/>
      <c r="AH637" s="143"/>
      <c r="AI637" s="143"/>
      <c r="AJ637" s="144"/>
    </row>
    <row r="638" spans="11:36">
      <c r="K638" s="85"/>
      <c r="L638" s="54" t="str">
        <f t="shared" si="59"/>
        <v/>
      </c>
      <c r="M638" s="38" t="str">
        <f t="shared" si="62"/>
        <v>0100</v>
      </c>
      <c r="N638" s="69">
        <f t="shared" si="61"/>
        <v>256</v>
      </c>
      <c r="O638" s="95"/>
      <c r="P638" s="96"/>
      <c r="Q638" s="97"/>
      <c r="R638" s="149"/>
      <c r="S638" s="153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2"/>
      <c r="AD638" s="143"/>
      <c r="AE638" s="143"/>
      <c r="AF638" s="143"/>
      <c r="AG638" s="143"/>
      <c r="AH638" s="143"/>
      <c r="AI638" s="143"/>
      <c r="AJ638" s="144"/>
    </row>
    <row r="639" spans="11:36">
      <c r="K639" s="85"/>
      <c r="L639" s="54" t="str">
        <f t="shared" si="59"/>
        <v/>
      </c>
      <c r="M639" s="38" t="str">
        <f t="shared" si="62"/>
        <v>0100</v>
      </c>
      <c r="N639" s="69">
        <f t="shared" si="61"/>
        <v>256</v>
      </c>
      <c r="O639" s="95"/>
      <c r="P639" s="96"/>
      <c r="Q639" s="97"/>
      <c r="R639" s="149"/>
      <c r="S639" s="153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2"/>
      <c r="AD639" s="143"/>
      <c r="AE639" s="143"/>
      <c r="AF639" s="143"/>
      <c r="AG639" s="143"/>
      <c r="AH639" s="143"/>
      <c r="AI639" s="143"/>
      <c r="AJ639" s="144"/>
    </row>
    <row r="640" spans="11:36">
      <c r="K640" s="85"/>
      <c r="L640" s="54" t="str">
        <f t="shared" si="59"/>
        <v/>
      </c>
      <c r="M640" s="38" t="str">
        <f t="shared" si="62"/>
        <v>0100</v>
      </c>
      <c r="N640" s="69">
        <f t="shared" si="61"/>
        <v>256</v>
      </c>
      <c r="O640" s="95"/>
      <c r="P640" s="96"/>
      <c r="Q640" s="97"/>
      <c r="R640" s="149"/>
      <c r="S640" s="153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2"/>
      <c r="AD640" s="143"/>
      <c r="AE640" s="143"/>
      <c r="AF640" s="143"/>
      <c r="AG640" s="143"/>
      <c r="AH640" s="143"/>
      <c r="AI640" s="143"/>
      <c r="AJ640" s="144"/>
    </row>
    <row r="641" spans="11:36">
      <c r="K641" s="85"/>
      <c r="L641" s="54" t="str">
        <f t="shared" si="59"/>
        <v/>
      </c>
      <c r="M641" s="38" t="str">
        <f t="shared" si="62"/>
        <v>0100</v>
      </c>
      <c r="N641" s="69">
        <f t="shared" si="61"/>
        <v>256</v>
      </c>
      <c r="O641" s="95"/>
      <c r="P641" s="96"/>
      <c r="Q641" s="97"/>
      <c r="R641" s="149"/>
      <c r="S641" s="153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2"/>
      <c r="AD641" s="143"/>
      <c r="AE641" s="143"/>
      <c r="AF641" s="143"/>
      <c r="AG641" s="143"/>
      <c r="AH641" s="143"/>
      <c r="AI641" s="143"/>
      <c r="AJ641" s="144"/>
    </row>
    <row r="642" spans="11:36">
      <c r="K642" s="85"/>
      <c r="L642" s="54" t="str">
        <f t="shared" si="59"/>
        <v/>
      </c>
      <c r="M642" s="38" t="str">
        <f t="shared" si="62"/>
        <v>0100</v>
      </c>
      <c r="N642" s="69">
        <f t="shared" si="61"/>
        <v>256</v>
      </c>
      <c r="O642" s="95"/>
      <c r="P642" s="96"/>
      <c r="Q642" s="97"/>
      <c r="R642" s="149"/>
      <c r="S642" s="153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2"/>
      <c r="AD642" s="143"/>
      <c r="AE642" s="143"/>
      <c r="AF642" s="143"/>
      <c r="AG642" s="143"/>
      <c r="AH642" s="143"/>
      <c r="AI642" s="143"/>
      <c r="AJ642" s="144"/>
    </row>
    <row r="643" spans="11:36">
      <c r="K643" s="85"/>
      <c r="L643" s="54" t="str">
        <f t="shared" si="59"/>
        <v/>
      </c>
      <c r="M643" s="38" t="str">
        <f t="shared" si="62"/>
        <v>0100</v>
      </c>
      <c r="N643" s="69">
        <f t="shared" si="61"/>
        <v>256</v>
      </c>
      <c r="O643" s="95"/>
      <c r="P643" s="96"/>
      <c r="Q643" s="97"/>
      <c r="R643" s="149"/>
      <c r="S643" s="153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2"/>
      <c r="AD643" s="143"/>
      <c r="AE643" s="143"/>
      <c r="AF643" s="143"/>
      <c r="AG643" s="143"/>
      <c r="AH643" s="143"/>
      <c r="AI643" s="143"/>
      <c r="AJ643" s="144"/>
    </row>
    <row r="644" spans="11:36">
      <c r="K644" s="85"/>
      <c r="L644" s="54" t="str">
        <f t="shared" si="59"/>
        <v/>
      </c>
      <c r="M644" s="38" t="str">
        <f t="shared" si="62"/>
        <v>0100</v>
      </c>
      <c r="N644" s="69">
        <f t="shared" si="61"/>
        <v>256</v>
      </c>
      <c r="O644" s="95"/>
      <c r="P644" s="96"/>
      <c r="Q644" s="97"/>
      <c r="R644" s="149"/>
      <c r="S644" s="153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2"/>
      <c r="AD644" s="143"/>
      <c r="AE644" s="143"/>
      <c r="AF644" s="143"/>
      <c r="AG644" s="143"/>
      <c r="AH644" s="143"/>
      <c r="AI644" s="143"/>
      <c r="AJ644" s="144"/>
    </row>
    <row r="645" spans="11:36">
      <c r="K645" s="85"/>
      <c r="L645" s="54" t="str">
        <f t="shared" si="59"/>
        <v/>
      </c>
      <c r="M645" s="38" t="str">
        <f t="shared" si="62"/>
        <v>0100</v>
      </c>
      <c r="N645" s="69">
        <f t="shared" si="61"/>
        <v>256</v>
      </c>
      <c r="O645" s="95"/>
      <c r="P645" s="96"/>
      <c r="Q645" s="97"/>
      <c r="R645" s="149"/>
      <c r="S645" s="153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2"/>
      <c r="AD645" s="143"/>
      <c r="AE645" s="143"/>
      <c r="AF645" s="143"/>
      <c r="AG645" s="143"/>
      <c r="AH645" s="143"/>
      <c r="AI645" s="143"/>
      <c r="AJ645" s="144"/>
    </row>
    <row r="646" spans="11:36">
      <c r="K646" s="85"/>
      <c r="L646" s="54" t="str">
        <f t="shared" si="59"/>
        <v/>
      </c>
      <c r="M646" s="38" t="str">
        <f t="shared" si="62"/>
        <v>0100</v>
      </c>
      <c r="N646" s="69">
        <f t="shared" si="61"/>
        <v>256</v>
      </c>
      <c r="O646" s="95"/>
      <c r="P646" s="96"/>
      <c r="Q646" s="97"/>
      <c r="R646" s="149"/>
      <c r="S646" s="153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2"/>
      <c r="AD646" s="143"/>
      <c r="AE646" s="143"/>
      <c r="AF646" s="143"/>
      <c r="AG646" s="143"/>
      <c r="AH646" s="143"/>
      <c r="AI646" s="143"/>
      <c r="AJ646" s="144"/>
    </row>
    <row r="647" spans="11:36">
      <c r="K647" s="85"/>
      <c r="L647" s="54" t="str">
        <f t="shared" si="59"/>
        <v/>
      </c>
      <c r="M647" s="38" t="str">
        <f t="shared" si="62"/>
        <v>0100</v>
      </c>
      <c r="N647" s="69">
        <f t="shared" si="61"/>
        <v>256</v>
      </c>
      <c r="O647" s="95"/>
      <c r="P647" s="96"/>
      <c r="Q647" s="97"/>
      <c r="R647" s="149"/>
      <c r="S647" s="153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2"/>
      <c r="AD647" s="143"/>
      <c r="AE647" s="143"/>
      <c r="AF647" s="143"/>
      <c r="AG647" s="143"/>
      <c r="AH647" s="143"/>
      <c r="AI647" s="143"/>
      <c r="AJ647" s="144"/>
    </row>
    <row r="648" spans="11:36">
      <c r="K648" s="85"/>
      <c r="L648" s="54" t="str">
        <f t="shared" si="59"/>
        <v/>
      </c>
      <c r="M648" s="38" t="str">
        <f t="shared" si="62"/>
        <v>0100</v>
      </c>
      <c r="N648" s="69">
        <f t="shared" si="61"/>
        <v>256</v>
      </c>
      <c r="O648" s="95"/>
      <c r="P648" s="96"/>
      <c r="Q648" s="97"/>
      <c r="R648" s="149"/>
      <c r="S648" s="153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2"/>
      <c r="AD648" s="143"/>
      <c r="AE648" s="143"/>
      <c r="AF648" s="143"/>
      <c r="AG648" s="143"/>
      <c r="AH648" s="143"/>
      <c r="AI648" s="143"/>
      <c r="AJ648" s="144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0100</v>
      </c>
      <c r="N649" s="69">
        <f t="shared" si="61"/>
        <v>256</v>
      </c>
      <c r="O649" s="95"/>
      <c r="P649" s="96"/>
      <c r="Q649" s="97"/>
      <c r="R649" s="149"/>
      <c r="S649" s="153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2"/>
      <c r="AD649" s="143"/>
      <c r="AE649" s="143"/>
      <c r="AF649" s="143"/>
      <c r="AG649" s="143"/>
      <c r="AH649" s="143"/>
      <c r="AI649" s="143"/>
      <c r="AJ649" s="144"/>
    </row>
    <row r="650" spans="11:36">
      <c r="K650" s="85"/>
      <c r="L650" s="54" t="str">
        <f t="shared" si="63"/>
        <v/>
      </c>
      <c r="M650" s="38" t="str">
        <f t="shared" si="62"/>
        <v>0100</v>
      </c>
      <c r="N650" s="69">
        <f t="shared" ref="N650:N713" si="65">N649+S649</f>
        <v>256</v>
      </c>
      <c r="O650" s="95"/>
      <c r="P650" s="96"/>
      <c r="Q650" s="97"/>
      <c r="R650" s="149"/>
      <c r="S650" s="153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2"/>
      <c r="AD650" s="143"/>
      <c r="AE650" s="143"/>
      <c r="AF650" s="143"/>
      <c r="AG650" s="143"/>
      <c r="AH650" s="143"/>
      <c r="AI650" s="143"/>
      <c r="AJ650" s="144"/>
    </row>
    <row r="651" spans="11:36">
      <c r="K651" s="85"/>
      <c r="L651" s="54" t="str">
        <f t="shared" si="63"/>
        <v/>
      </c>
      <c r="M651" s="38" t="str">
        <f t="shared" si="62"/>
        <v>0100</v>
      </c>
      <c r="N651" s="69">
        <f t="shared" si="65"/>
        <v>256</v>
      </c>
      <c r="O651" s="95"/>
      <c r="P651" s="96"/>
      <c r="Q651" s="97"/>
      <c r="R651" s="149"/>
      <c r="S651" s="153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2"/>
      <c r="AD651" s="143"/>
      <c r="AE651" s="143"/>
      <c r="AF651" s="143"/>
      <c r="AG651" s="143"/>
      <c r="AH651" s="143"/>
      <c r="AI651" s="143"/>
      <c r="AJ651" s="144"/>
    </row>
    <row r="652" spans="11:36">
      <c r="K652" s="85"/>
      <c r="L652" s="54" t="str">
        <f t="shared" si="63"/>
        <v/>
      </c>
      <c r="M652" s="38" t="str">
        <f t="shared" si="62"/>
        <v>0100</v>
      </c>
      <c r="N652" s="69">
        <f t="shared" si="65"/>
        <v>256</v>
      </c>
      <c r="O652" s="95"/>
      <c r="P652" s="96"/>
      <c r="Q652" s="97"/>
      <c r="R652" s="149"/>
      <c r="S652" s="153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2"/>
      <c r="AD652" s="143"/>
      <c r="AE652" s="143"/>
      <c r="AF652" s="143"/>
      <c r="AG652" s="143"/>
      <c r="AH652" s="143"/>
      <c r="AI652" s="143"/>
      <c r="AJ652" s="144"/>
    </row>
    <row r="653" spans="11:36">
      <c r="K653" s="85"/>
      <c r="L653" s="54" t="str">
        <f t="shared" si="63"/>
        <v/>
      </c>
      <c r="M653" s="38" t="str">
        <f t="shared" si="62"/>
        <v>0100</v>
      </c>
      <c r="N653" s="69">
        <f t="shared" si="65"/>
        <v>256</v>
      </c>
      <c r="O653" s="95"/>
      <c r="P653" s="96"/>
      <c r="Q653" s="97"/>
      <c r="R653" s="149"/>
      <c r="S653" s="153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2"/>
      <c r="AD653" s="143"/>
      <c r="AE653" s="143"/>
      <c r="AF653" s="143"/>
      <c r="AG653" s="143"/>
      <c r="AH653" s="143"/>
      <c r="AI653" s="143"/>
      <c r="AJ653" s="144"/>
    </row>
    <row r="654" spans="11:36">
      <c r="K654" s="85"/>
      <c r="L654" s="54" t="str">
        <f t="shared" si="63"/>
        <v/>
      </c>
      <c r="M654" s="38" t="str">
        <f t="shared" si="62"/>
        <v>0100</v>
      </c>
      <c r="N654" s="69">
        <f t="shared" si="65"/>
        <v>256</v>
      </c>
      <c r="O654" s="95"/>
      <c r="P654" s="96"/>
      <c r="Q654" s="97"/>
      <c r="R654" s="149"/>
      <c r="S654" s="153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2"/>
      <c r="AD654" s="143"/>
      <c r="AE654" s="143"/>
      <c r="AF654" s="143"/>
      <c r="AG654" s="143"/>
      <c r="AH654" s="143"/>
      <c r="AI654" s="143"/>
      <c r="AJ654" s="144"/>
    </row>
    <row r="655" spans="11:36">
      <c r="K655" s="85"/>
      <c r="L655" s="54" t="str">
        <f t="shared" si="63"/>
        <v/>
      </c>
      <c r="M655" s="38" t="str">
        <f t="shared" si="62"/>
        <v>0100</v>
      </c>
      <c r="N655" s="69">
        <f t="shared" si="65"/>
        <v>256</v>
      </c>
      <c r="O655" s="95"/>
      <c r="P655" s="96"/>
      <c r="Q655" s="97"/>
      <c r="R655" s="149"/>
      <c r="S655" s="153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2"/>
      <c r="AD655" s="143"/>
      <c r="AE655" s="143"/>
      <c r="AF655" s="143"/>
      <c r="AG655" s="143"/>
      <c r="AH655" s="143"/>
      <c r="AI655" s="143"/>
      <c r="AJ655" s="144"/>
    </row>
    <row r="656" spans="11:36">
      <c r="K656" s="85"/>
      <c r="L656" s="54" t="str">
        <f t="shared" si="63"/>
        <v/>
      </c>
      <c r="M656" s="38" t="str">
        <f t="shared" si="62"/>
        <v>0100</v>
      </c>
      <c r="N656" s="69">
        <f t="shared" si="65"/>
        <v>256</v>
      </c>
      <c r="O656" s="95"/>
      <c r="P656" s="96"/>
      <c r="Q656" s="97"/>
      <c r="R656" s="149"/>
      <c r="S656" s="153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2"/>
      <c r="AD656" s="143"/>
      <c r="AE656" s="143"/>
      <c r="AF656" s="143"/>
      <c r="AG656" s="143"/>
      <c r="AH656" s="143"/>
      <c r="AI656" s="143"/>
      <c r="AJ656" s="144"/>
    </row>
    <row r="657" spans="11:36">
      <c r="K657" s="85"/>
      <c r="L657" s="54" t="str">
        <f t="shared" si="63"/>
        <v/>
      </c>
      <c r="M657" s="38" t="str">
        <f t="shared" si="62"/>
        <v>0100</v>
      </c>
      <c r="N657" s="69">
        <f t="shared" si="65"/>
        <v>256</v>
      </c>
      <c r="O657" s="95"/>
      <c r="P657" s="96"/>
      <c r="Q657" s="97"/>
      <c r="R657" s="149"/>
      <c r="S657" s="153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2"/>
      <c r="AD657" s="143"/>
      <c r="AE657" s="143"/>
      <c r="AF657" s="143"/>
      <c r="AG657" s="143"/>
      <c r="AH657" s="143"/>
      <c r="AI657" s="143"/>
      <c r="AJ657" s="144"/>
    </row>
    <row r="658" spans="11:36">
      <c r="K658" s="85"/>
      <c r="L658" s="54" t="str">
        <f t="shared" si="63"/>
        <v/>
      </c>
      <c r="M658" s="38" t="str">
        <f t="shared" si="62"/>
        <v>0100</v>
      </c>
      <c r="N658" s="69">
        <f t="shared" si="65"/>
        <v>256</v>
      </c>
      <c r="O658" s="95"/>
      <c r="P658" s="96"/>
      <c r="Q658" s="97"/>
      <c r="R658" s="149"/>
      <c r="S658" s="153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2"/>
      <c r="AD658" s="143"/>
      <c r="AE658" s="143"/>
      <c r="AF658" s="143"/>
      <c r="AG658" s="143"/>
      <c r="AH658" s="143"/>
      <c r="AI658" s="143"/>
      <c r="AJ658" s="144"/>
    </row>
    <row r="659" spans="11:36">
      <c r="K659" s="85"/>
      <c r="L659" s="54" t="str">
        <f t="shared" si="63"/>
        <v/>
      </c>
      <c r="M659" s="38" t="str">
        <f t="shared" si="62"/>
        <v>0100</v>
      </c>
      <c r="N659" s="69">
        <f t="shared" si="65"/>
        <v>256</v>
      </c>
      <c r="O659" s="95"/>
      <c r="P659" s="96"/>
      <c r="Q659" s="97"/>
      <c r="R659" s="149"/>
      <c r="S659" s="153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2"/>
      <c r="AD659" s="143"/>
      <c r="AE659" s="143"/>
      <c r="AF659" s="143"/>
      <c r="AG659" s="143"/>
      <c r="AH659" s="143"/>
      <c r="AI659" s="143"/>
      <c r="AJ659" s="144"/>
    </row>
    <row r="660" spans="11:36">
      <c r="K660" s="85"/>
      <c r="L660" s="54" t="str">
        <f t="shared" si="63"/>
        <v/>
      </c>
      <c r="M660" s="38" t="str">
        <f t="shared" si="62"/>
        <v>0100</v>
      </c>
      <c r="N660" s="69">
        <f t="shared" si="65"/>
        <v>256</v>
      </c>
      <c r="O660" s="95"/>
      <c r="P660" s="96"/>
      <c r="Q660" s="97"/>
      <c r="R660" s="149"/>
      <c r="S660" s="153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2"/>
      <c r="AD660" s="143"/>
      <c r="AE660" s="143"/>
      <c r="AF660" s="143"/>
      <c r="AG660" s="143"/>
      <c r="AH660" s="143"/>
      <c r="AI660" s="143"/>
      <c r="AJ660" s="144"/>
    </row>
    <row r="661" spans="11:36">
      <c r="K661" s="85"/>
      <c r="L661" s="54" t="str">
        <f t="shared" si="63"/>
        <v/>
      </c>
      <c r="M661" s="38" t="str">
        <f t="shared" si="62"/>
        <v>0100</v>
      </c>
      <c r="N661" s="69">
        <f t="shared" si="65"/>
        <v>256</v>
      </c>
      <c r="O661" s="95"/>
      <c r="P661" s="96"/>
      <c r="Q661" s="97"/>
      <c r="R661" s="149"/>
      <c r="S661" s="153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2"/>
      <c r="AD661" s="143"/>
      <c r="AE661" s="143"/>
      <c r="AF661" s="143"/>
      <c r="AG661" s="143"/>
      <c r="AH661" s="143"/>
      <c r="AI661" s="143"/>
      <c r="AJ661" s="144"/>
    </row>
    <row r="662" spans="11:36">
      <c r="K662" s="85"/>
      <c r="L662" s="54" t="str">
        <f t="shared" si="63"/>
        <v/>
      </c>
      <c r="M662" s="38" t="str">
        <f t="shared" si="62"/>
        <v>0100</v>
      </c>
      <c r="N662" s="69">
        <f t="shared" si="65"/>
        <v>256</v>
      </c>
      <c r="O662" s="95"/>
      <c r="P662" s="96"/>
      <c r="Q662" s="97"/>
      <c r="R662" s="149"/>
      <c r="S662" s="153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2"/>
      <c r="AD662" s="143"/>
      <c r="AE662" s="143"/>
      <c r="AF662" s="143"/>
      <c r="AG662" s="143"/>
      <c r="AH662" s="143"/>
      <c r="AI662" s="143"/>
      <c r="AJ662" s="144"/>
    </row>
    <row r="663" spans="11:36">
      <c r="K663" s="85"/>
      <c r="L663" s="54" t="str">
        <f t="shared" si="63"/>
        <v/>
      </c>
      <c r="M663" s="38" t="str">
        <f t="shared" si="62"/>
        <v>0100</v>
      </c>
      <c r="N663" s="69">
        <f t="shared" si="65"/>
        <v>256</v>
      </c>
      <c r="O663" s="95"/>
      <c r="P663" s="96"/>
      <c r="Q663" s="97"/>
      <c r="R663" s="149"/>
      <c r="S663" s="153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2"/>
      <c r="AD663" s="143"/>
      <c r="AE663" s="143"/>
      <c r="AF663" s="143"/>
      <c r="AG663" s="143"/>
      <c r="AH663" s="143"/>
      <c r="AI663" s="143"/>
      <c r="AJ663" s="144"/>
    </row>
    <row r="664" spans="11:36">
      <c r="K664" s="85"/>
      <c r="L664" s="54" t="str">
        <f t="shared" si="63"/>
        <v/>
      </c>
      <c r="M664" s="38" t="str">
        <f t="shared" si="62"/>
        <v>0100</v>
      </c>
      <c r="N664" s="69">
        <f t="shared" si="65"/>
        <v>256</v>
      </c>
      <c r="O664" s="95"/>
      <c r="P664" s="96"/>
      <c r="Q664" s="97"/>
      <c r="R664" s="149"/>
      <c r="S664" s="153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2"/>
      <c r="AD664" s="143"/>
      <c r="AE664" s="143"/>
      <c r="AF664" s="143"/>
      <c r="AG664" s="143"/>
      <c r="AH664" s="143"/>
      <c r="AI664" s="143"/>
      <c r="AJ664" s="144"/>
    </row>
    <row r="665" spans="11:36">
      <c r="K665" s="85"/>
      <c r="L665" s="54" t="str">
        <f t="shared" si="63"/>
        <v/>
      </c>
      <c r="M665" s="38" t="str">
        <f t="shared" si="62"/>
        <v>0100</v>
      </c>
      <c r="N665" s="69">
        <f t="shared" si="65"/>
        <v>256</v>
      </c>
      <c r="O665" s="95"/>
      <c r="P665" s="96"/>
      <c r="Q665" s="97"/>
      <c r="R665" s="149"/>
      <c r="S665" s="153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2"/>
      <c r="AD665" s="143"/>
      <c r="AE665" s="143"/>
      <c r="AF665" s="143"/>
      <c r="AG665" s="143"/>
      <c r="AH665" s="143"/>
      <c r="AI665" s="143"/>
      <c r="AJ665" s="144"/>
    </row>
    <row r="666" spans="11:36">
      <c r="K666" s="85"/>
      <c r="L666" s="54" t="str">
        <f t="shared" si="63"/>
        <v/>
      </c>
      <c r="M666" s="38" t="str">
        <f t="shared" si="62"/>
        <v>0100</v>
      </c>
      <c r="N666" s="69">
        <f t="shared" si="65"/>
        <v>256</v>
      </c>
      <c r="O666" s="95"/>
      <c r="P666" s="96"/>
      <c r="Q666" s="97"/>
      <c r="R666" s="149"/>
      <c r="S666" s="153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2"/>
      <c r="AD666" s="143"/>
      <c r="AE666" s="143"/>
      <c r="AF666" s="143"/>
      <c r="AG666" s="143"/>
      <c r="AH666" s="143"/>
      <c r="AI666" s="143"/>
      <c r="AJ666" s="144"/>
    </row>
    <row r="667" spans="11:36">
      <c r="K667" s="85"/>
      <c r="L667" s="54" t="str">
        <f t="shared" si="63"/>
        <v/>
      </c>
      <c r="M667" s="38" t="str">
        <f t="shared" si="62"/>
        <v>0100</v>
      </c>
      <c r="N667" s="69">
        <f t="shared" si="65"/>
        <v>256</v>
      </c>
      <c r="O667" s="95"/>
      <c r="P667" s="96"/>
      <c r="Q667" s="97"/>
      <c r="R667" s="149"/>
      <c r="S667" s="153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2"/>
      <c r="AD667" s="143"/>
      <c r="AE667" s="143"/>
      <c r="AF667" s="143"/>
      <c r="AG667" s="143"/>
      <c r="AH667" s="143"/>
      <c r="AI667" s="143"/>
      <c r="AJ667" s="144"/>
    </row>
    <row r="668" spans="11:36">
      <c r="K668" s="85"/>
      <c r="L668" s="54" t="str">
        <f t="shared" si="63"/>
        <v/>
      </c>
      <c r="M668" s="38" t="str">
        <f t="shared" si="62"/>
        <v>0100</v>
      </c>
      <c r="N668" s="69">
        <f t="shared" si="65"/>
        <v>256</v>
      </c>
      <c r="O668" s="95"/>
      <c r="P668" s="96"/>
      <c r="Q668" s="97"/>
      <c r="R668" s="149"/>
      <c r="S668" s="153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2"/>
      <c r="AD668" s="143"/>
      <c r="AE668" s="143"/>
      <c r="AF668" s="143"/>
      <c r="AG668" s="143"/>
      <c r="AH668" s="143"/>
      <c r="AI668" s="143"/>
      <c r="AJ668" s="144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0100</v>
      </c>
      <c r="N669" s="69">
        <f t="shared" si="65"/>
        <v>256</v>
      </c>
      <c r="O669" s="95"/>
      <c r="P669" s="96"/>
      <c r="Q669" s="97"/>
      <c r="R669" s="149"/>
      <c r="S669" s="153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2"/>
      <c r="AD669" s="143"/>
      <c r="AE669" s="143"/>
      <c r="AF669" s="143"/>
      <c r="AG669" s="143"/>
      <c r="AH669" s="143"/>
      <c r="AI669" s="143"/>
      <c r="AJ669" s="144"/>
    </row>
    <row r="670" spans="11:36">
      <c r="K670" s="85"/>
      <c r="L670" s="54" t="str">
        <f t="shared" si="63"/>
        <v/>
      </c>
      <c r="M670" s="38" t="str">
        <f t="shared" si="66"/>
        <v>0100</v>
      </c>
      <c r="N670" s="69">
        <f t="shared" si="65"/>
        <v>256</v>
      </c>
      <c r="O670" s="95"/>
      <c r="P670" s="96"/>
      <c r="Q670" s="97"/>
      <c r="R670" s="149"/>
      <c r="S670" s="153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2"/>
      <c r="AD670" s="143"/>
      <c r="AE670" s="143"/>
      <c r="AF670" s="143"/>
      <c r="AG670" s="143"/>
      <c r="AH670" s="143"/>
      <c r="AI670" s="143"/>
      <c r="AJ670" s="144"/>
    </row>
    <row r="671" spans="11:36">
      <c r="K671" s="85"/>
      <c r="L671" s="54" t="str">
        <f t="shared" si="63"/>
        <v/>
      </c>
      <c r="M671" s="38" t="str">
        <f t="shared" si="66"/>
        <v>0100</v>
      </c>
      <c r="N671" s="69">
        <f t="shared" si="65"/>
        <v>256</v>
      </c>
      <c r="O671" s="95"/>
      <c r="P671" s="96"/>
      <c r="Q671" s="97"/>
      <c r="R671" s="149"/>
      <c r="S671" s="153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2"/>
      <c r="AD671" s="143"/>
      <c r="AE671" s="143"/>
      <c r="AF671" s="143"/>
      <c r="AG671" s="143"/>
      <c r="AH671" s="143"/>
      <c r="AI671" s="143"/>
      <c r="AJ671" s="144"/>
    </row>
    <row r="672" spans="11:36">
      <c r="K672" s="85"/>
      <c r="L672" s="54" t="str">
        <f t="shared" si="63"/>
        <v/>
      </c>
      <c r="M672" s="38" t="str">
        <f t="shared" si="66"/>
        <v>0100</v>
      </c>
      <c r="N672" s="69">
        <f t="shared" si="65"/>
        <v>256</v>
      </c>
      <c r="O672" s="95"/>
      <c r="P672" s="96"/>
      <c r="Q672" s="97"/>
      <c r="R672" s="149"/>
      <c r="S672" s="153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2"/>
      <c r="AD672" s="143"/>
      <c r="AE672" s="143"/>
      <c r="AF672" s="143"/>
      <c r="AG672" s="143"/>
      <c r="AH672" s="143"/>
      <c r="AI672" s="143"/>
      <c r="AJ672" s="144"/>
    </row>
    <row r="673" spans="11:36">
      <c r="K673" s="85"/>
      <c r="L673" s="54" t="str">
        <f t="shared" si="63"/>
        <v/>
      </c>
      <c r="M673" s="38" t="str">
        <f t="shared" si="66"/>
        <v>0100</v>
      </c>
      <c r="N673" s="69">
        <f t="shared" si="65"/>
        <v>256</v>
      </c>
      <c r="O673" s="95"/>
      <c r="P673" s="96"/>
      <c r="Q673" s="97"/>
      <c r="R673" s="149"/>
      <c r="S673" s="153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2"/>
      <c r="AD673" s="143"/>
      <c r="AE673" s="143"/>
      <c r="AF673" s="143"/>
      <c r="AG673" s="143"/>
      <c r="AH673" s="143"/>
      <c r="AI673" s="143"/>
      <c r="AJ673" s="144"/>
    </row>
    <row r="674" spans="11:36">
      <c r="K674" s="85"/>
      <c r="L674" s="54" t="str">
        <f t="shared" si="63"/>
        <v/>
      </c>
      <c r="M674" s="38" t="str">
        <f t="shared" si="66"/>
        <v>0100</v>
      </c>
      <c r="N674" s="69">
        <f t="shared" si="65"/>
        <v>256</v>
      </c>
      <c r="O674" s="95"/>
      <c r="P674" s="96"/>
      <c r="Q674" s="97"/>
      <c r="R674" s="149"/>
      <c r="S674" s="153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2"/>
      <c r="AD674" s="143"/>
      <c r="AE674" s="143"/>
      <c r="AF674" s="143"/>
      <c r="AG674" s="143"/>
      <c r="AH674" s="143"/>
      <c r="AI674" s="143"/>
      <c r="AJ674" s="144"/>
    </row>
    <row r="675" spans="11:36">
      <c r="K675" s="85"/>
      <c r="L675" s="54" t="str">
        <f t="shared" si="63"/>
        <v/>
      </c>
      <c r="M675" s="38" t="str">
        <f t="shared" si="66"/>
        <v>0100</v>
      </c>
      <c r="N675" s="69">
        <f t="shared" si="65"/>
        <v>256</v>
      </c>
      <c r="O675" s="95"/>
      <c r="P675" s="96"/>
      <c r="Q675" s="97"/>
      <c r="R675" s="149"/>
      <c r="S675" s="153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2"/>
      <c r="AD675" s="143"/>
      <c r="AE675" s="143"/>
      <c r="AF675" s="143"/>
      <c r="AG675" s="143"/>
      <c r="AH675" s="143"/>
      <c r="AI675" s="143"/>
      <c r="AJ675" s="144"/>
    </row>
    <row r="676" spans="11:36">
      <c r="K676" s="85"/>
      <c r="L676" s="54" t="str">
        <f t="shared" si="63"/>
        <v/>
      </c>
      <c r="M676" s="38" t="str">
        <f t="shared" si="66"/>
        <v>0100</v>
      </c>
      <c r="N676" s="69">
        <f t="shared" si="65"/>
        <v>256</v>
      </c>
      <c r="O676" s="95"/>
      <c r="P676" s="96"/>
      <c r="Q676" s="97"/>
      <c r="R676" s="149"/>
      <c r="S676" s="153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2"/>
      <c r="AD676" s="143"/>
      <c r="AE676" s="143"/>
      <c r="AF676" s="143"/>
      <c r="AG676" s="143"/>
      <c r="AH676" s="143"/>
      <c r="AI676" s="143"/>
      <c r="AJ676" s="144"/>
    </row>
    <row r="677" spans="11:36">
      <c r="K677" s="85"/>
      <c r="L677" s="54" t="str">
        <f t="shared" si="63"/>
        <v/>
      </c>
      <c r="M677" s="38" t="str">
        <f t="shared" si="66"/>
        <v>0100</v>
      </c>
      <c r="N677" s="69">
        <f t="shared" si="65"/>
        <v>256</v>
      </c>
      <c r="O677" s="95"/>
      <c r="P677" s="96"/>
      <c r="Q677" s="97"/>
      <c r="R677" s="149"/>
      <c r="S677" s="153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2"/>
      <c r="AD677" s="143"/>
      <c r="AE677" s="143"/>
      <c r="AF677" s="143"/>
      <c r="AG677" s="143"/>
      <c r="AH677" s="143"/>
      <c r="AI677" s="143"/>
      <c r="AJ677" s="144"/>
    </row>
    <row r="678" spans="11:36">
      <c r="K678" s="85"/>
      <c r="L678" s="54" t="str">
        <f t="shared" si="63"/>
        <v/>
      </c>
      <c r="M678" s="38" t="str">
        <f t="shared" si="66"/>
        <v>0100</v>
      </c>
      <c r="N678" s="69">
        <f t="shared" si="65"/>
        <v>256</v>
      </c>
      <c r="O678" s="95"/>
      <c r="P678" s="96"/>
      <c r="Q678" s="97"/>
      <c r="R678" s="149"/>
      <c r="S678" s="153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2"/>
      <c r="AD678" s="143"/>
      <c r="AE678" s="143"/>
      <c r="AF678" s="143"/>
      <c r="AG678" s="143"/>
      <c r="AH678" s="143"/>
      <c r="AI678" s="143"/>
      <c r="AJ678" s="144"/>
    </row>
    <row r="679" spans="11:36">
      <c r="K679" s="85"/>
      <c r="L679" s="54" t="str">
        <f t="shared" si="63"/>
        <v/>
      </c>
      <c r="M679" s="38" t="str">
        <f t="shared" si="66"/>
        <v>0100</v>
      </c>
      <c r="N679" s="69">
        <f t="shared" si="65"/>
        <v>256</v>
      </c>
      <c r="O679" s="95"/>
      <c r="P679" s="96"/>
      <c r="Q679" s="97"/>
      <c r="R679" s="149"/>
      <c r="S679" s="153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2"/>
      <c r="AD679" s="143"/>
      <c r="AE679" s="143"/>
      <c r="AF679" s="143"/>
      <c r="AG679" s="143"/>
      <c r="AH679" s="143"/>
      <c r="AI679" s="143"/>
      <c r="AJ679" s="144"/>
    </row>
    <row r="680" spans="11:36">
      <c r="K680" s="85"/>
      <c r="L680" s="54" t="str">
        <f t="shared" si="63"/>
        <v/>
      </c>
      <c r="M680" s="38" t="str">
        <f t="shared" si="66"/>
        <v>0100</v>
      </c>
      <c r="N680" s="69">
        <f t="shared" si="65"/>
        <v>256</v>
      </c>
      <c r="O680" s="95"/>
      <c r="P680" s="96"/>
      <c r="Q680" s="97"/>
      <c r="R680" s="149"/>
      <c r="S680" s="153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2"/>
      <c r="AD680" s="143"/>
      <c r="AE680" s="143"/>
      <c r="AF680" s="143"/>
      <c r="AG680" s="143"/>
      <c r="AH680" s="143"/>
      <c r="AI680" s="143"/>
      <c r="AJ680" s="144"/>
    </row>
    <row r="681" spans="11:36">
      <c r="K681" s="85"/>
      <c r="L681" s="54" t="str">
        <f t="shared" si="63"/>
        <v/>
      </c>
      <c r="M681" s="38" t="str">
        <f t="shared" si="66"/>
        <v>0100</v>
      </c>
      <c r="N681" s="69">
        <f t="shared" si="65"/>
        <v>256</v>
      </c>
      <c r="O681" s="95"/>
      <c r="P681" s="96"/>
      <c r="Q681" s="97"/>
      <c r="R681" s="149"/>
      <c r="S681" s="153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2"/>
      <c r="AD681" s="143"/>
      <c r="AE681" s="143"/>
      <c r="AF681" s="143"/>
      <c r="AG681" s="143"/>
      <c r="AH681" s="143"/>
      <c r="AI681" s="143"/>
      <c r="AJ681" s="144"/>
    </row>
    <row r="682" spans="11:36">
      <c r="K682" s="85"/>
      <c r="L682" s="54" t="str">
        <f t="shared" si="63"/>
        <v/>
      </c>
      <c r="M682" s="38" t="str">
        <f t="shared" si="66"/>
        <v>0100</v>
      </c>
      <c r="N682" s="69">
        <f t="shared" si="65"/>
        <v>256</v>
      </c>
      <c r="O682" s="95"/>
      <c r="P682" s="96"/>
      <c r="Q682" s="97"/>
      <c r="R682" s="149"/>
      <c r="S682" s="153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2"/>
      <c r="AD682" s="143"/>
      <c r="AE682" s="143"/>
      <c r="AF682" s="143"/>
      <c r="AG682" s="143"/>
      <c r="AH682" s="143"/>
      <c r="AI682" s="143"/>
      <c r="AJ682" s="144"/>
    </row>
    <row r="683" spans="11:36">
      <c r="K683" s="85"/>
      <c r="L683" s="54" t="str">
        <f t="shared" si="63"/>
        <v/>
      </c>
      <c r="M683" s="38" t="str">
        <f t="shared" si="66"/>
        <v>0100</v>
      </c>
      <c r="N683" s="69">
        <f t="shared" si="65"/>
        <v>256</v>
      </c>
      <c r="O683" s="95"/>
      <c r="P683" s="96"/>
      <c r="Q683" s="97"/>
      <c r="R683" s="149"/>
      <c r="S683" s="153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2"/>
      <c r="AD683" s="143"/>
      <c r="AE683" s="143"/>
      <c r="AF683" s="143"/>
      <c r="AG683" s="143"/>
      <c r="AH683" s="143"/>
      <c r="AI683" s="143"/>
      <c r="AJ683" s="144"/>
    </row>
    <row r="684" spans="11:36">
      <c r="K684" s="85"/>
      <c r="L684" s="54" t="str">
        <f t="shared" si="63"/>
        <v/>
      </c>
      <c r="M684" s="38" t="str">
        <f t="shared" si="66"/>
        <v>0100</v>
      </c>
      <c r="N684" s="69">
        <f t="shared" si="65"/>
        <v>256</v>
      </c>
      <c r="O684" s="95"/>
      <c r="P684" s="96"/>
      <c r="Q684" s="97"/>
      <c r="R684" s="149"/>
      <c r="S684" s="153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2"/>
      <c r="AD684" s="143"/>
      <c r="AE684" s="143"/>
      <c r="AF684" s="143"/>
      <c r="AG684" s="143"/>
      <c r="AH684" s="143"/>
      <c r="AI684" s="143"/>
      <c r="AJ684" s="144"/>
    </row>
    <row r="685" spans="11:36">
      <c r="K685" s="85"/>
      <c r="L685" s="54" t="str">
        <f t="shared" si="63"/>
        <v/>
      </c>
      <c r="M685" s="38" t="str">
        <f t="shared" si="66"/>
        <v>0100</v>
      </c>
      <c r="N685" s="69">
        <f t="shared" si="65"/>
        <v>256</v>
      </c>
      <c r="O685" s="95"/>
      <c r="P685" s="96"/>
      <c r="Q685" s="97"/>
      <c r="R685" s="149"/>
      <c r="S685" s="153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2"/>
      <c r="AD685" s="143"/>
      <c r="AE685" s="143"/>
      <c r="AF685" s="143"/>
      <c r="AG685" s="143"/>
      <c r="AH685" s="143"/>
      <c r="AI685" s="143"/>
      <c r="AJ685" s="144"/>
    </row>
    <row r="686" spans="11:36">
      <c r="K686" s="85"/>
      <c r="L686" s="54" t="str">
        <f t="shared" si="63"/>
        <v/>
      </c>
      <c r="M686" s="38" t="str">
        <f t="shared" si="66"/>
        <v>0100</v>
      </c>
      <c r="N686" s="69">
        <f t="shared" si="65"/>
        <v>256</v>
      </c>
      <c r="O686" s="95"/>
      <c r="P686" s="96"/>
      <c r="Q686" s="97"/>
      <c r="R686" s="149"/>
      <c r="S686" s="153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2"/>
      <c r="AD686" s="143"/>
      <c r="AE686" s="143"/>
      <c r="AF686" s="143"/>
      <c r="AG686" s="143"/>
      <c r="AH686" s="143"/>
      <c r="AI686" s="143"/>
      <c r="AJ686" s="144"/>
    </row>
    <row r="687" spans="11:36">
      <c r="K687" s="85"/>
      <c r="L687" s="54" t="str">
        <f t="shared" si="63"/>
        <v/>
      </c>
      <c r="M687" s="38" t="str">
        <f t="shared" si="66"/>
        <v>0100</v>
      </c>
      <c r="N687" s="69">
        <f t="shared" si="65"/>
        <v>256</v>
      </c>
      <c r="O687" s="95"/>
      <c r="P687" s="96"/>
      <c r="Q687" s="97"/>
      <c r="R687" s="149"/>
      <c r="S687" s="153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2"/>
      <c r="AD687" s="143"/>
      <c r="AE687" s="143"/>
      <c r="AF687" s="143"/>
      <c r="AG687" s="143"/>
      <c r="AH687" s="143"/>
      <c r="AI687" s="143"/>
      <c r="AJ687" s="144"/>
    </row>
    <row r="688" spans="11:36">
      <c r="K688" s="85"/>
      <c r="L688" s="54" t="str">
        <f t="shared" si="63"/>
        <v/>
      </c>
      <c r="M688" s="38" t="str">
        <f t="shared" si="66"/>
        <v>0100</v>
      </c>
      <c r="N688" s="69">
        <f t="shared" si="65"/>
        <v>256</v>
      </c>
      <c r="O688" s="95"/>
      <c r="P688" s="96"/>
      <c r="Q688" s="97"/>
      <c r="R688" s="149"/>
      <c r="S688" s="153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2"/>
      <c r="AD688" s="143"/>
      <c r="AE688" s="143"/>
      <c r="AF688" s="143"/>
      <c r="AG688" s="143"/>
      <c r="AH688" s="143"/>
      <c r="AI688" s="143"/>
      <c r="AJ688" s="144"/>
    </row>
    <row r="689" spans="11:36">
      <c r="K689" s="85"/>
      <c r="L689" s="54" t="str">
        <f t="shared" si="63"/>
        <v/>
      </c>
      <c r="M689" s="38" t="str">
        <f t="shared" si="66"/>
        <v>0100</v>
      </c>
      <c r="N689" s="69">
        <f t="shared" si="65"/>
        <v>256</v>
      </c>
      <c r="O689" s="95"/>
      <c r="P689" s="96"/>
      <c r="Q689" s="97"/>
      <c r="R689" s="149"/>
      <c r="S689" s="153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2"/>
      <c r="AD689" s="143"/>
      <c r="AE689" s="143"/>
      <c r="AF689" s="143"/>
      <c r="AG689" s="143"/>
      <c r="AH689" s="143"/>
      <c r="AI689" s="143"/>
      <c r="AJ689" s="144"/>
    </row>
    <row r="690" spans="11:36">
      <c r="K690" s="85"/>
      <c r="L690" s="54" t="str">
        <f t="shared" si="63"/>
        <v/>
      </c>
      <c r="M690" s="38" t="str">
        <f t="shared" si="66"/>
        <v>0100</v>
      </c>
      <c r="N690" s="69">
        <f t="shared" si="65"/>
        <v>256</v>
      </c>
      <c r="O690" s="95"/>
      <c r="P690" s="96"/>
      <c r="Q690" s="97"/>
      <c r="R690" s="149"/>
      <c r="S690" s="153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2"/>
      <c r="AD690" s="143"/>
      <c r="AE690" s="143"/>
      <c r="AF690" s="143"/>
      <c r="AG690" s="143"/>
      <c r="AH690" s="143"/>
      <c r="AI690" s="143"/>
      <c r="AJ690" s="144"/>
    </row>
    <row r="691" spans="11:36">
      <c r="K691" s="85"/>
      <c r="L691" s="54" t="str">
        <f t="shared" si="63"/>
        <v/>
      </c>
      <c r="M691" s="38" t="str">
        <f t="shared" si="66"/>
        <v>0100</v>
      </c>
      <c r="N691" s="69">
        <f t="shared" si="65"/>
        <v>256</v>
      </c>
      <c r="O691" s="95"/>
      <c r="P691" s="96"/>
      <c r="Q691" s="97"/>
      <c r="R691" s="149"/>
      <c r="S691" s="153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2"/>
      <c r="AD691" s="143"/>
      <c r="AE691" s="143"/>
      <c r="AF691" s="143"/>
      <c r="AG691" s="143"/>
      <c r="AH691" s="143"/>
      <c r="AI691" s="143"/>
      <c r="AJ691" s="144"/>
    </row>
    <row r="692" spans="11:36">
      <c r="K692" s="85"/>
      <c r="L692" s="54" t="str">
        <f t="shared" si="63"/>
        <v/>
      </c>
      <c r="M692" s="38" t="str">
        <f t="shared" si="66"/>
        <v>0100</v>
      </c>
      <c r="N692" s="69">
        <f t="shared" si="65"/>
        <v>256</v>
      </c>
      <c r="O692" s="95"/>
      <c r="P692" s="96"/>
      <c r="Q692" s="97"/>
      <c r="R692" s="149"/>
      <c r="S692" s="153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2"/>
      <c r="AD692" s="143"/>
      <c r="AE692" s="143"/>
      <c r="AF692" s="143"/>
      <c r="AG692" s="143"/>
      <c r="AH692" s="143"/>
      <c r="AI692" s="143"/>
      <c r="AJ692" s="144"/>
    </row>
    <row r="693" spans="11:36">
      <c r="K693" s="85"/>
      <c r="L693" s="54" t="str">
        <f t="shared" si="63"/>
        <v/>
      </c>
      <c r="M693" s="38" t="str">
        <f t="shared" si="66"/>
        <v>0100</v>
      </c>
      <c r="N693" s="69">
        <f t="shared" si="65"/>
        <v>256</v>
      </c>
      <c r="O693" s="95"/>
      <c r="P693" s="96"/>
      <c r="Q693" s="97"/>
      <c r="R693" s="149"/>
      <c r="S693" s="153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2"/>
      <c r="AD693" s="143"/>
      <c r="AE693" s="143"/>
      <c r="AF693" s="143"/>
      <c r="AG693" s="143"/>
      <c r="AH693" s="143"/>
      <c r="AI693" s="143"/>
      <c r="AJ693" s="144"/>
    </row>
    <row r="694" spans="11:36">
      <c r="K694" s="85"/>
      <c r="L694" s="54" t="str">
        <f t="shared" si="63"/>
        <v/>
      </c>
      <c r="M694" s="38" t="str">
        <f t="shared" si="66"/>
        <v>0100</v>
      </c>
      <c r="N694" s="69">
        <f t="shared" si="65"/>
        <v>256</v>
      </c>
      <c r="O694" s="95"/>
      <c r="P694" s="96"/>
      <c r="Q694" s="97"/>
      <c r="R694" s="149"/>
      <c r="S694" s="153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2"/>
      <c r="AD694" s="143"/>
      <c r="AE694" s="143"/>
      <c r="AF694" s="143"/>
      <c r="AG694" s="143"/>
      <c r="AH694" s="143"/>
      <c r="AI694" s="143"/>
      <c r="AJ694" s="144"/>
    </row>
    <row r="695" spans="11:36">
      <c r="K695" s="85"/>
      <c r="L695" s="54" t="str">
        <f t="shared" si="63"/>
        <v/>
      </c>
      <c r="M695" s="38" t="str">
        <f t="shared" si="66"/>
        <v>0100</v>
      </c>
      <c r="N695" s="69">
        <f t="shared" si="65"/>
        <v>256</v>
      </c>
      <c r="O695" s="95"/>
      <c r="P695" s="96"/>
      <c r="Q695" s="97"/>
      <c r="R695" s="149"/>
      <c r="S695" s="153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2"/>
      <c r="AD695" s="143"/>
      <c r="AE695" s="143"/>
      <c r="AF695" s="143"/>
      <c r="AG695" s="143"/>
      <c r="AH695" s="143"/>
      <c r="AI695" s="143"/>
      <c r="AJ695" s="144"/>
    </row>
    <row r="696" spans="11:36">
      <c r="K696" s="85"/>
      <c r="L696" s="54" t="str">
        <f t="shared" si="63"/>
        <v/>
      </c>
      <c r="M696" s="38" t="str">
        <f t="shared" si="66"/>
        <v>0100</v>
      </c>
      <c r="N696" s="69">
        <f t="shared" si="65"/>
        <v>256</v>
      </c>
      <c r="O696" s="95"/>
      <c r="P696" s="96"/>
      <c r="Q696" s="97"/>
      <c r="R696" s="149"/>
      <c r="S696" s="153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2"/>
      <c r="AD696" s="143"/>
      <c r="AE696" s="143"/>
      <c r="AF696" s="143"/>
      <c r="AG696" s="143"/>
      <c r="AH696" s="143"/>
      <c r="AI696" s="143"/>
      <c r="AJ696" s="144"/>
    </row>
    <row r="697" spans="11:36">
      <c r="K697" s="85"/>
      <c r="L697" s="54" t="str">
        <f t="shared" si="63"/>
        <v/>
      </c>
      <c r="M697" s="38" t="str">
        <f t="shared" si="66"/>
        <v>0100</v>
      </c>
      <c r="N697" s="69">
        <f t="shared" si="65"/>
        <v>256</v>
      </c>
      <c r="O697" s="95"/>
      <c r="P697" s="96"/>
      <c r="Q697" s="97"/>
      <c r="R697" s="149"/>
      <c r="S697" s="153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2"/>
      <c r="AD697" s="143"/>
      <c r="AE697" s="143"/>
      <c r="AF697" s="143"/>
      <c r="AG697" s="143"/>
      <c r="AH697" s="143"/>
      <c r="AI697" s="143"/>
      <c r="AJ697" s="144"/>
    </row>
    <row r="698" spans="11:36">
      <c r="K698" s="85"/>
      <c r="L698" s="54" t="str">
        <f t="shared" si="63"/>
        <v/>
      </c>
      <c r="M698" s="38" t="str">
        <f t="shared" si="66"/>
        <v>0100</v>
      </c>
      <c r="N698" s="69">
        <f t="shared" si="65"/>
        <v>256</v>
      </c>
      <c r="O698" s="95"/>
      <c r="P698" s="96"/>
      <c r="Q698" s="97"/>
      <c r="R698" s="149"/>
      <c r="S698" s="153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2"/>
      <c r="AD698" s="143"/>
      <c r="AE698" s="143"/>
      <c r="AF698" s="143"/>
      <c r="AG698" s="143"/>
      <c r="AH698" s="143"/>
      <c r="AI698" s="143"/>
      <c r="AJ698" s="144"/>
    </row>
    <row r="699" spans="11:36">
      <c r="K699" s="85"/>
      <c r="L699" s="54" t="str">
        <f t="shared" si="63"/>
        <v/>
      </c>
      <c r="M699" s="38" t="str">
        <f t="shared" si="66"/>
        <v>0100</v>
      </c>
      <c r="N699" s="69">
        <f t="shared" si="65"/>
        <v>256</v>
      </c>
      <c r="O699" s="95"/>
      <c r="P699" s="96"/>
      <c r="Q699" s="97"/>
      <c r="R699" s="149"/>
      <c r="S699" s="153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2"/>
      <c r="AD699" s="143"/>
      <c r="AE699" s="143"/>
      <c r="AF699" s="143"/>
      <c r="AG699" s="143"/>
      <c r="AH699" s="143"/>
      <c r="AI699" s="143"/>
      <c r="AJ699" s="144"/>
    </row>
    <row r="700" spans="11:36">
      <c r="K700" s="85"/>
      <c r="L700" s="54" t="str">
        <f t="shared" si="63"/>
        <v/>
      </c>
      <c r="M700" s="38" t="str">
        <f t="shared" si="66"/>
        <v>0100</v>
      </c>
      <c r="N700" s="69">
        <f t="shared" si="65"/>
        <v>256</v>
      </c>
      <c r="O700" s="95"/>
      <c r="P700" s="96"/>
      <c r="Q700" s="97"/>
      <c r="R700" s="149"/>
      <c r="S700" s="153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2"/>
      <c r="AD700" s="143"/>
      <c r="AE700" s="143"/>
      <c r="AF700" s="143"/>
      <c r="AG700" s="143"/>
      <c r="AH700" s="143"/>
      <c r="AI700" s="143"/>
      <c r="AJ700" s="144"/>
    </row>
    <row r="701" spans="11:36">
      <c r="K701" s="85"/>
      <c r="L701" s="54" t="str">
        <f t="shared" si="63"/>
        <v/>
      </c>
      <c r="M701" s="38" t="str">
        <f t="shared" si="66"/>
        <v>0100</v>
      </c>
      <c r="N701" s="69">
        <f t="shared" si="65"/>
        <v>256</v>
      </c>
      <c r="O701" s="95"/>
      <c r="P701" s="96"/>
      <c r="Q701" s="97"/>
      <c r="R701" s="149"/>
      <c r="S701" s="153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2"/>
      <c r="AD701" s="143"/>
      <c r="AE701" s="143"/>
      <c r="AF701" s="143"/>
      <c r="AG701" s="143"/>
      <c r="AH701" s="143"/>
      <c r="AI701" s="143"/>
      <c r="AJ701" s="144"/>
    </row>
    <row r="702" spans="11:36">
      <c r="K702" s="85"/>
      <c r="L702" s="54" t="str">
        <f t="shared" si="63"/>
        <v/>
      </c>
      <c r="M702" s="38" t="str">
        <f t="shared" si="66"/>
        <v>0100</v>
      </c>
      <c r="N702" s="69">
        <f t="shared" si="65"/>
        <v>256</v>
      </c>
      <c r="O702" s="95"/>
      <c r="P702" s="96"/>
      <c r="Q702" s="97"/>
      <c r="R702" s="149"/>
      <c r="S702" s="153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2"/>
      <c r="AD702" s="143"/>
      <c r="AE702" s="143"/>
      <c r="AF702" s="143"/>
      <c r="AG702" s="143"/>
      <c r="AH702" s="143"/>
      <c r="AI702" s="143"/>
      <c r="AJ702" s="144"/>
    </row>
    <row r="703" spans="11:36">
      <c r="K703" s="85"/>
      <c r="L703" s="54" t="str">
        <f t="shared" si="63"/>
        <v/>
      </c>
      <c r="M703" s="38" t="str">
        <f t="shared" si="66"/>
        <v>0100</v>
      </c>
      <c r="N703" s="69">
        <f t="shared" si="65"/>
        <v>256</v>
      </c>
      <c r="O703" s="95"/>
      <c r="P703" s="96"/>
      <c r="Q703" s="97"/>
      <c r="R703" s="149"/>
      <c r="S703" s="153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2"/>
      <c r="AD703" s="143"/>
      <c r="AE703" s="143"/>
      <c r="AF703" s="143"/>
      <c r="AG703" s="143"/>
      <c r="AH703" s="143"/>
      <c r="AI703" s="143"/>
      <c r="AJ703" s="144"/>
    </row>
    <row r="704" spans="11:36">
      <c r="K704" s="85"/>
      <c r="L704" s="54" t="str">
        <f t="shared" si="63"/>
        <v/>
      </c>
      <c r="M704" s="38" t="str">
        <f t="shared" si="66"/>
        <v>0100</v>
      </c>
      <c r="N704" s="69">
        <f t="shared" si="65"/>
        <v>256</v>
      </c>
      <c r="O704" s="95"/>
      <c r="P704" s="96"/>
      <c r="Q704" s="97"/>
      <c r="R704" s="149"/>
      <c r="S704" s="153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2"/>
      <c r="AD704" s="143"/>
      <c r="AE704" s="143"/>
      <c r="AF704" s="143"/>
      <c r="AG704" s="143"/>
      <c r="AH704" s="143"/>
      <c r="AI704" s="143"/>
      <c r="AJ704" s="144"/>
    </row>
    <row r="705" spans="11:36">
      <c r="K705" s="85"/>
      <c r="L705" s="54" t="str">
        <f t="shared" si="63"/>
        <v/>
      </c>
      <c r="M705" s="38" t="str">
        <f t="shared" si="66"/>
        <v>0100</v>
      </c>
      <c r="N705" s="69">
        <f t="shared" si="65"/>
        <v>256</v>
      </c>
      <c r="O705" s="95"/>
      <c r="P705" s="96"/>
      <c r="Q705" s="97"/>
      <c r="R705" s="149"/>
      <c r="S705" s="153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2"/>
      <c r="AD705" s="143"/>
      <c r="AE705" s="143"/>
      <c r="AF705" s="143"/>
      <c r="AG705" s="143"/>
      <c r="AH705" s="143"/>
      <c r="AI705" s="143"/>
      <c r="AJ705" s="144"/>
    </row>
    <row r="706" spans="11:36">
      <c r="K706" s="85"/>
      <c r="L706" s="54" t="str">
        <f t="shared" si="63"/>
        <v/>
      </c>
      <c r="M706" s="38" t="str">
        <f t="shared" si="66"/>
        <v>0100</v>
      </c>
      <c r="N706" s="69">
        <f t="shared" si="65"/>
        <v>256</v>
      </c>
      <c r="O706" s="95"/>
      <c r="P706" s="96"/>
      <c r="Q706" s="97"/>
      <c r="R706" s="149"/>
      <c r="S706" s="153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2"/>
      <c r="AD706" s="143"/>
      <c r="AE706" s="143"/>
      <c r="AF706" s="143"/>
      <c r="AG706" s="143"/>
      <c r="AH706" s="143"/>
      <c r="AI706" s="143"/>
      <c r="AJ706" s="144"/>
    </row>
    <row r="707" spans="11:36">
      <c r="K707" s="85"/>
      <c r="L707" s="54" t="str">
        <f t="shared" si="63"/>
        <v/>
      </c>
      <c r="M707" s="38" t="str">
        <f t="shared" si="66"/>
        <v>0100</v>
      </c>
      <c r="N707" s="69">
        <f t="shared" si="65"/>
        <v>256</v>
      </c>
      <c r="O707" s="95"/>
      <c r="P707" s="96"/>
      <c r="Q707" s="97"/>
      <c r="R707" s="149"/>
      <c r="S707" s="153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2"/>
      <c r="AD707" s="143"/>
      <c r="AE707" s="143"/>
      <c r="AF707" s="143"/>
      <c r="AG707" s="143"/>
      <c r="AH707" s="143"/>
      <c r="AI707" s="143"/>
      <c r="AJ707" s="144"/>
    </row>
    <row r="708" spans="11:36">
      <c r="K708" s="85"/>
      <c r="L708" s="54" t="str">
        <f t="shared" si="63"/>
        <v/>
      </c>
      <c r="M708" s="38" t="str">
        <f t="shared" si="66"/>
        <v>0100</v>
      </c>
      <c r="N708" s="69">
        <f t="shared" si="65"/>
        <v>256</v>
      </c>
      <c r="O708" s="95"/>
      <c r="P708" s="96"/>
      <c r="Q708" s="97"/>
      <c r="R708" s="149"/>
      <c r="S708" s="153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2"/>
      <c r="AD708" s="143"/>
      <c r="AE708" s="143"/>
      <c r="AF708" s="143"/>
      <c r="AG708" s="143"/>
      <c r="AH708" s="143"/>
      <c r="AI708" s="143"/>
      <c r="AJ708" s="144"/>
    </row>
    <row r="709" spans="11:36">
      <c r="K709" s="85"/>
      <c r="L709" s="54" t="str">
        <f t="shared" si="63"/>
        <v/>
      </c>
      <c r="M709" s="38" t="str">
        <f t="shared" si="66"/>
        <v>0100</v>
      </c>
      <c r="N709" s="69">
        <f t="shared" si="65"/>
        <v>256</v>
      </c>
      <c r="O709" s="95"/>
      <c r="P709" s="96"/>
      <c r="Q709" s="97"/>
      <c r="R709" s="149"/>
      <c r="S709" s="153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2"/>
      <c r="AD709" s="143"/>
      <c r="AE709" s="143"/>
      <c r="AF709" s="143"/>
      <c r="AG709" s="143"/>
      <c r="AH709" s="143"/>
      <c r="AI709" s="143"/>
      <c r="AJ709" s="144"/>
    </row>
    <row r="710" spans="11:36">
      <c r="K710" s="85"/>
      <c r="L710" s="54" t="str">
        <f t="shared" si="63"/>
        <v/>
      </c>
      <c r="M710" s="38" t="str">
        <f t="shared" si="66"/>
        <v>0100</v>
      </c>
      <c r="N710" s="69">
        <f t="shared" si="65"/>
        <v>256</v>
      </c>
      <c r="O710" s="95"/>
      <c r="P710" s="96"/>
      <c r="Q710" s="97"/>
      <c r="R710" s="149"/>
      <c r="S710" s="153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2"/>
      <c r="AD710" s="143"/>
      <c r="AE710" s="143"/>
      <c r="AF710" s="143"/>
      <c r="AG710" s="143"/>
      <c r="AH710" s="143"/>
      <c r="AI710" s="143"/>
      <c r="AJ710" s="144"/>
    </row>
    <row r="711" spans="11:36">
      <c r="K711" s="85"/>
      <c r="L711" s="54" t="str">
        <f t="shared" si="63"/>
        <v/>
      </c>
      <c r="M711" s="38" t="str">
        <f t="shared" si="66"/>
        <v>0100</v>
      </c>
      <c r="N711" s="69">
        <f t="shared" si="65"/>
        <v>256</v>
      </c>
      <c r="O711" s="95"/>
      <c r="P711" s="96"/>
      <c r="Q711" s="97"/>
      <c r="R711" s="149"/>
      <c r="S711" s="153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2"/>
      <c r="AD711" s="143"/>
      <c r="AE711" s="143"/>
      <c r="AF711" s="143"/>
      <c r="AG711" s="143"/>
      <c r="AH711" s="143"/>
      <c r="AI711" s="143"/>
      <c r="AJ711" s="144"/>
    </row>
    <row r="712" spans="11:36">
      <c r="K712" s="85"/>
      <c r="L712" s="54" t="str">
        <f t="shared" si="63"/>
        <v/>
      </c>
      <c r="M712" s="38" t="str">
        <f t="shared" si="66"/>
        <v>0100</v>
      </c>
      <c r="N712" s="69">
        <f t="shared" si="65"/>
        <v>256</v>
      </c>
      <c r="O712" s="95"/>
      <c r="P712" s="96"/>
      <c r="Q712" s="97"/>
      <c r="R712" s="149"/>
      <c r="S712" s="153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2"/>
      <c r="AD712" s="143"/>
      <c r="AE712" s="143"/>
      <c r="AF712" s="143"/>
      <c r="AG712" s="143"/>
      <c r="AH712" s="143"/>
      <c r="AI712" s="143"/>
      <c r="AJ712" s="144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0100</v>
      </c>
      <c r="N713" s="69">
        <f t="shared" si="65"/>
        <v>256</v>
      </c>
      <c r="O713" s="95"/>
      <c r="P713" s="96"/>
      <c r="Q713" s="97"/>
      <c r="R713" s="149"/>
      <c r="S713" s="153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2"/>
      <c r="AD713" s="143"/>
      <c r="AE713" s="143"/>
      <c r="AF713" s="143"/>
      <c r="AG713" s="143"/>
      <c r="AH713" s="143"/>
      <c r="AI713" s="143"/>
      <c r="AJ713" s="144"/>
    </row>
    <row r="714" spans="11:36">
      <c r="K714" s="85"/>
      <c r="L714" s="54" t="str">
        <f t="shared" si="67"/>
        <v/>
      </c>
      <c r="M714" s="38" t="str">
        <f t="shared" si="66"/>
        <v>0100</v>
      </c>
      <c r="N714" s="69">
        <f t="shared" ref="N714:N777" si="69">N713+S713</f>
        <v>256</v>
      </c>
      <c r="O714" s="95"/>
      <c r="P714" s="96"/>
      <c r="Q714" s="97"/>
      <c r="R714" s="149"/>
      <c r="S714" s="153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2"/>
      <c r="AD714" s="143"/>
      <c r="AE714" s="143"/>
      <c r="AF714" s="143"/>
      <c r="AG714" s="143"/>
      <c r="AH714" s="143"/>
      <c r="AI714" s="143"/>
      <c r="AJ714" s="144"/>
    </row>
    <row r="715" spans="11:36">
      <c r="K715" s="85"/>
      <c r="L715" s="54" t="str">
        <f t="shared" si="67"/>
        <v/>
      </c>
      <c r="M715" s="38" t="str">
        <f t="shared" si="66"/>
        <v>0100</v>
      </c>
      <c r="N715" s="69">
        <f t="shared" si="69"/>
        <v>256</v>
      </c>
      <c r="O715" s="95"/>
      <c r="P715" s="96"/>
      <c r="Q715" s="97"/>
      <c r="R715" s="149"/>
      <c r="S715" s="153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2"/>
      <c r="AD715" s="143"/>
      <c r="AE715" s="143"/>
      <c r="AF715" s="143"/>
      <c r="AG715" s="143"/>
      <c r="AH715" s="143"/>
      <c r="AI715" s="143"/>
      <c r="AJ715" s="144"/>
    </row>
    <row r="716" spans="11:36">
      <c r="K716" s="85"/>
      <c r="L716" s="54" t="str">
        <f t="shared" si="67"/>
        <v/>
      </c>
      <c r="M716" s="38" t="str">
        <f t="shared" si="66"/>
        <v>0100</v>
      </c>
      <c r="N716" s="69">
        <f t="shared" si="69"/>
        <v>256</v>
      </c>
      <c r="O716" s="95"/>
      <c r="P716" s="96"/>
      <c r="Q716" s="97"/>
      <c r="R716" s="149"/>
      <c r="S716" s="153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2"/>
      <c r="AD716" s="143"/>
      <c r="AE716" s="143"/>
      <c r="AF716" s="143"/>
      <c r="AG716" s="143"/>
      <c r="AH716" s="143"/>
      <c r="AI716" s="143"/>
      <c r="AJ716" s="144"/>
    </row>
    <row r="717" spans="11:36">
      <c r="K717" s="85"/>
      <c r="L717" s="54" t="str">
        <f t="shared" si="67"/>
        <v/>
      </c>
      <c r="M717" s="38" t="str">
        <f t="shared" si="66"/>
        <v>0100</v>
      </c>
      <c r="N717" s="69">
        <f t="shared" si="69"/>
        <v>256</v>
      </c>
      <c r="O717" s="95"/>
      <c r="P717" s="96"/>
      <c r="Q717" s="97"/>
      <c r="R717" s="149"/>
      <c r="S717" s="153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2"/>
      <c r="AD717" s="143"/>
      <c r="AE717" s="143"/>
      <c r="AF717" s="143"/>
      <c r="AG717" s="143"/>
      <c r="AH717" s="143"/>
      <c r="AI717" s="143"/>
      <c r="AJ717" s="144"/>
    </row>
    <row r="718" spans="11:36">
      <c r="K718" s="85"/>
      <c r="L718" s="54" t="str">
        <f t="shared" si="67"/>
        <v/>
      </c>
      <c r="M718" s="38" t="str">
        <f t="shared" si="66"/>
        <v>0100</v>
      </c>
      <c r="N718" s="69">
        <f t="shared" si="69"/>
        <v>256</v>
      </c>
      <c r="O718" s="95"/>
      <c r="P718" s="96"/>
      <c r="Q718" s="97"/>
      <c r="R718" s="149"/>
      <c r="S718" s="153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2"/>
      <c r="AD718" s="143"/>
      <c r="AE718" s="143"/>
      <c r="AF718" s="143"/>
      <c r="AG718" s="143"/>
      <c r="AH718" s="143"/>
      <c r="AI718" s="143"/>
      <c r="AJ718" s="144"/>
    </row>
    <row r="719" spans="11:36">
      <c r="K719" s="85"/>
      <c r="L719" s="54" t="str">
        <f t="shared" si="67"/>
        <v/>
      </c>
      <c r="M719" s="38" t="str">
        <f t="shared" si="66"/>
        <v>0100</v>
      </c>
      <c r="N719" s="69">
        <f t="shared" si="69"/>
        <v>256</v>
      </c>
      <c r="O719" s="95"/>
      <c r="P719" s="96"/>
      <c r="Q719" s="97"/>
      <c r="R719" s="149"/>
      <c r="S719" s="153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2"/>
      <c r="AD719" s="143"/>
      <c r="AE719" s="143"/>
      <c r="AF719" s="143"/>
      <c r="AG719" s="143"/>
      <c r="AH719" s="143"/>
      <c r="AI719" s="143"/>
      <c r="AJ719" s="144"/>
    </row>
    <row r="720" spans="11:36">
      <c r="K720" s="85"/>
      <c r="L720" s="54" t="str">
        <f t="shared" si="67"/>
        <v/>
      </c>
      <c r="M720" s="38" t="str">
        <f t="shared" si="66"/>
        <v>0100</v>
      </c>
      <c r="N720" s="69">
        <f t="shared" si="69"/>
        <v>256</v>
      </c>
      <c r="O720" s="95"/>
      <c r="P720" s="96"/>
      <c r="Q720" s="97"/>
      <c r="R720" s="149"/>
      <c r="S720" s="153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2"/>
      <c r="AD720" s="143"/>
      <c r="AE720" s="143"/>
      <c r="AF720" s="143"/>
      <c r="AG720" s="143"/>
      <c r="AH720" s="143"/>
      <c r="AI720" s="143"/>
      <c r="AJ720" s="144"/>
    </row>
    <row r="721" spans="11:36">
      <c r="K721" s="85"/>
      <c r="L721" s="54" t="str">
        <f t="shared" si="67"/>
        <v/>
      </c>
      <c r="M721" s="38" t="str">
        <f t="shared" si="66"/>
        <v>0100</v>
      </c>
      <c r="N721" s="69">
        <f t="shared" si="69"/>
        <v>256</v>
      </c>
      <c r="O721" s="95"/>
      <c r="P721" s="96"/>
      <c r="Q721" s="97"/>
      <c r="R721" s="149"/>
      <c r="S721" s="153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2"/>
      <c r="AD721" s="143"/>
      <c r="AE721" s="143"/>
      <c r="AF721" s="143"/>
      <c r="AG721" s="143"/>
      <c r="AH721" s="143"/>
      <c r="AI721" s="143"/>
      <c r="AJ721" s="144"/>
    </row>
    <row r="722" spans="11:36">
      <c r="K722" s="85"/>
      <c r="L722" s="54" t="str">
        <f t="shared" si="67"/>
        <v/>
      </c>
      <c r="M722" s="38" t="str">
        <f t="shared" si="66"/>
        <v>0100</v>
      </c>
      <c r="N722" s="69">
        <f t="shared" si="69"/>
        <v>256</v>
      </c>
      <c r="O722" s="95"/>
      <c r="P722" s="96"/>
      <c r="Q722" s="97"/>
      <c r="R722" s="149"/>
      <c r="S722" s="153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2"/>
      <c r="AD722" s="143"/>
      <c r="AE722" s="143"/>
      <c r="AF722" s="143"/>
      <c r="AG722" s="143"/>
      <c r="AH722" s="143"/>
      <c r="AI722" s="143"/>
      <c r="AJ722" s="144"/>
    </row>
    <row r="723" spans="11:36">
      <c r="K723" s="85"/>
      <c r="L723" s="54" t="str">
        <f t="shared" si="67"/>
        <v/>
      </c>
      <c r="M723" s="38" t="str">
        <f t="shared" si="66"/>
        <v>0100</v>
      </c>
      <c r="N723" s="69">
        <f t="shared" si="69"/>
        <v>256</v>
      </c>
      <c r="O723" s="95"/>
      <c r="P723" s="96"/>
      <c r="Q723" s="97"/>
      <c r="R723" s="149"/>
      <c r="S723" s="153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2"/>
      <c r="AD723" s="143"/>
      <c r="AE723" s="143"/>
      <c r="AF723" s="143"/>
      <c r="AG723" s="143"/>
      <c r="AH723" s="143"/>
      <c r="AI723" s="143"/>
      <c r="AJ723" s="144"/>
    </row>
    <row r="724" spans="11:36">
      <c r="K724" s="85"/>
      <c r="L724" s="54" t="str">
        <f t="shared" si="67"/>
        <v/>
      </c>
      <c r="M724" s="38" t="str">
        <f t="shared" si="66"/>
        <v>0100</v>
      </c>
      <c r="N724" s="69">
        <f t="shared" si="69"/>
        <v>256</v>
      </c>
      <c r="O724" s="95"/>
      <c r="P724" s="96"/>
      <c r="Q724" s="97"/>
      <c r="R724" s="149"/>
      <c r="S724" s="153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2"/>
      <c r="AD724" s="143"/>
      <c r="AE724" s="143"/>
      <c r="AF724" s="143"/>
      <c r="AG724" s="143"/>
      <c r="AH724" s="143"/>
      <c r="AI724" s="143"/>
      <c r="AJ724" s="144"/>
    </row>
    <row r="725" spans="11:36">
      <c r="K725" s="85"/>
      <c r="L725" s="54" t="str">
        <f t="shared" si="67"/>
        <v/>
      </c>
      <c r="M725" s="38" t="str">
        <f t="shared" si="66"/>
        <v>0100</v>
      </c>
      <c r="N725" s="69">
        <f t="shared" si="69"/>
        <v>256</v>
      </c>
      <c r="O725" s="95"/>
      <c r="P725" s="96"/>
      <c r="Q725" s="97"/>
      <c r="R725" s="149"/>
      <c r="S725" s="153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2"/>
      <c r="AD725" s="143"/>
      <c r="AE725" s="143"/>
      <c r="AF725" s="143"/>
      <c r="AG725" s="143"/>
      <c r="AH725" s="143"/>
      <c r="AI725" s="143"/>
      <c r="AJ725" s="144"/>
    </row>
    <row r="726" spans="11:36">
      <c r="K726" s="85"/>
      <c r="L726" s="54" t="str">
        <f t="shared" si="67"/>
        <v/>
      </c>
      <c r="M726" s="38" t="str">
        <f t="shared" si="66"/>
        <v>0100</v>
      </c>
      <c r="N726" s="69">
        <f t="shared" si="69"/>
        <v>256</v>
      </c>
      <c r="O726" s="95"/>
      <c r="P726" s="96"/>
      <c r="Q726" s="97"/>
      <c r="R726" s="149"/>
      <c r="S726" s="153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2"/>
      <c r="AD726" s="143"/>
      <c r="AE726" s="143"/>
      <c r="AF726" s="143"/>
      <c r="AG726" s="143"/>
      <c r="AH726" s="143"/>
      <c r="AI726" s="143"/>
      <c r="AJ726" s="144"/>
    </row>
    <row r="727" spans="11:36">
      <c r="K727" s="85"/>
      <c r="L727" s="54" t="str">
        <f t="shared" si="67"/>
        <v/>
      </c>
      <c r="M727" s="38" t="str">
        <f t="shared" si="66"/>
        <v>0100</v>
      </c>
      <c r="N727" s="69">
        <f t="shared" si="69"/>
        <v>256</v>
      </c>
      <c r="O727" s="95"/>
      <c r="P727" s="96"/>
      <c r="Q727" s="97"/>
      <c r="R727" s="149"/>
      <c r="S727" s="153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2"/>
      <c r="AD727" s="143"/>
      <c r="AE727" s="143"/>
      <c r="AF727" s="143"/>
      <c r="AG727" s="143"/>
      <c r="AH727" s="143"/>
      <c r="AI727" s="143"/>
      <c r="AJ727" s="144"/>
    </row>
    <row r="728" spans="11:36">
      <c r="K728" s="85"/>
      <c r="L728" s="54" t="str">
        <f t="shared" si="67"/>
        <v/>
      </c>
      <c r="M728" s="38" t="str">
        <f t="shared" si="66"/>
        <v>0100</v>
      </c>
      <c r="N728" s="69">
        <f t="shared" si="69"/>
        <v>256</v>
      </c>
      <c r="O728" s="95"/>
      <c r="P728" s="96"/>
      <c r="Q728" s="97"/>
      <c r="R728" s="149"/>
      <c r="S728" s="153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2"/>
      <c r="AD728" s="143"/>
      <c r="AE728" s="143"/>
      <c r="AF728" s="143"/>
      <c r="AG728" s="143"/>
      <c r="AH728" s="143"/>
      <c r="AI728" s="143"/>
      <c r="AJ728" s="144"/>
    </row>
    <row r="729" spans="11:36">
      <c r="K729" s="85"/>
      <c r="L729" s="54" t="str">
        <f t="shared" si="67"/>
        <v/>
      </c>
      <c r="M729" s="38" t="str">
        <f t="shared" si="66"/>
        <v>0100</v>
      </c>
      <c r="N729" s="69">
        <f t="shared" si="69"/>
        <v>256</v>
      </c>
      <c r="O729" s="95"/>
      <c r="P729" s="96"/>
      <c r="Q729" s="97"/>
      <c r="R729" s="149"/>
      <c r="S729" s="153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2"/>
      <c r="AD729" s="143"/>
      <c r="AE729" s="143"/>
      <c r="AF729" s="143"/>
      <c r="AG729" s="143"/>
      <c r="AH729" s="143"/>
      <c r="AI729" s="143"/>
      <c r="AJ729" s="144"/>
    </row>
    <row r="730" spans="11:36">
      <c r="K730" s="85"/>
      <c r="L730" s="54" t="str">
        <f t="shared" si="67"/>
        <v/>
      </c>
      <c r="M730" s="38" t="str">
        <f t="shared" si="66"/>
        <v>0100</v>
      </c>
      <c r="N730" s="69">
        <f t="shared" si="69"/>
        <v>256</v>
      </c>
      <c r="O730" s="95"/>
      <c r="P730" s="96"/>
      <c r="Q730" s="97"/>
      <c r="R730" s="149"/>
      <c r="S730" s="153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2"/>
      <c r="AD730" s="143"/>
      <c r="AE730" s="143"/>
      <c r="AF730" s="143"/>
      <c r="AG730" s="143"/>
      <c r="AH730" s="143"/>
      <c r="AI730" s="143"/>
      <c r="AJ730" s="144"/>
    </row>
    <row r="731" spans="11:36">
      <c r="K731" s="85"/>
      <c r="L731" s="54" t="str">
        <f t="shared" si="67"/>
        <v/>
      </c>
      <c r="M731" s="38" t="str">
        <f t="shared" si="66"/>
        <v>0100</v>
      </c>
      <c r="N731" s="69">
        <f t="shared" si="69"/>
        <v>256</v>
      </c>
      <c r="O731" s="95"/>
      <c r="P731" s="96"/>
      <c r="Q731" s="97"/>
      <c r="R731" s="149"/>
      <c r="S731" s="153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2"/>
      <c r="AD731" s="143"/>
      <c r="AE731" s="143"/>
      <c r="AF731" s="143"/>
      <c r="AG731" s="143"/>
      <c r="AH731" s="143"/>
      <c r="AI731" s="143"/>
      <c r="AJ731" s="144"/>
    </row>
    <row r="732" spans="11:36">
      <c r="K732" s="85"/>
      <c r="L732" s="54" t="str">
        <f t="shared" si="67"/>
        <v/>
      </c>
      <c r="M732" s="38" t="str">
        <f t="shared" si="66"/>
        <v>0100</v>
      </c>
      <c r="N732" s="69">
        <f t="shared" si="69"/>
        <v>256</v>
      </c>
      <c r="O732" s="95"/>
      <c r="P732" s="96"/>
      <c r="Q732" s="97"/>
      <c r="R732" s="149"/>
      <c r="S732" s="153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2"/>
      <c r="AD732" s="143"/>
      <c r="AE732" s="143"/>
      <c r="AF732" s="143"/>
      <c r="AG732" s="143"/>
      <c r="AH732" s="143"/>
      <c r="AI732" s="143"/>
      <c r="AJ732" s="144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0100</v>
      </c>
      <c r="N733" s="69">
        <f t="shared" si="69"/>
        <v>256</v>
      </c>
      <c r="O733" s="95"/>
      <c r="P733" s="96"/>
      <c r="Q733" s="97"/>
      <c r="R733" s="149"/>
      <c r="S733" s="153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2"/>
      <c r="AD733" s="143"/>
      <c r="AE733" s="143"/>
      <c r="AF733" s="143"/>
      <c r="AG733" s="143"/>
      <c r="AH733" s="143"/>
      <c r="AI733" s="143"/>
      <c r="AJ733" s="144"/>
    </row>
    <row r="734" spans="11:36">
      <c r="K734" s="85"/>
      <c r="L734" s="54" t="str">
        <f t="shared" si="67"/>
        <v/>
      </c>
      <c r="M734" s="38" t="str">
        <f t="shared" si="70"/>
        <v>0100</v>
      </c>
      <c r="N734" s="69">
        <f t="shared" si="69"/>
        <v>256</v>
      </c>
      <c r="O734" s="95"/>
      <c r="P734" s="96"/>
      <c r="Q734" s="97"/>
      <c r="R734" s="149"/>
      <c r="S734" s="153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2"/>
      <c r="AD734" s="143"/>
      <c r="AE734" s="143"/>
      <c r="AF734" s="143"/>
      <c r="AG734" s="143"/>
      <c r="AH734" s="143"/>
      <c r="AI734" s="143"/>
      <c r="AJ734" s="144"/>
    </row>
    <row r="735" spans="11:36">
      <c r="K735" s="85"/>
      <c r="L735" s="54" t="str">
        <f t="shared" si="67"/>
        <v/>
      </c>
      <c r="M735" s="38" t="str">
        <f t="shared" si="70"/>
        <v>0100</v>
      </c>
      <c r="N735" s="69">
        <f t="shared" si="69"/>
        <v>256</v>
      </c>
      <c r="O735" s="95"/>
      <c r="P735" s="96"/>
      <c r="Q735" s="97"/>
      <c r="R735" s="149"/>
      <c r="S735" s="153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2"/>
      <c r="AD735" s="143"/>
      <c r="AE735" s="143"/>
      <c r="AF735" s="143"/>
      <c r="AG735" s="143"/>
      <c r="AH735" s="143"/>
      <c r="AI735" s="143"/>
      <c r="AJ735" s="144"/>
    </row>
    <row r="736" spans="11:36">
      <c r="K736" s="85"/>
      <c r="L736" s="54" t="str">
        <f t="shared" si="67"/>
        <v/>
      </c>
      <c r="M736" s="38" t="str">
        <f t="shared" si="70"/>
        <v>0100</v>
      </c>
      <c r="N736" s="69">
        <f t="shared" si="69"/>
        <v>256</v>
      </c>
      <c r="O736" s="95"/>
      <c r="P736" s="96"/>
      <c r="Q736" s="97"/>
      <c r="R736" s="149"/>
      <c r="S736" s="153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2"/>
      <c r="AD736" s="143"/>
      <c r="AE736" s="143"/>
      <c r="AF736" s="143"/>
      <c r="AG736" s="143"/>
      <c r="AH736" s="143"/>
      <c r="AI736" s="143"/>
      <c r="AJ736" s="144"/>
    </row>
    <row r="737" spans="11:36">
      <c r="K737" s="85"/>
      <c r="L737" s="54" t="str">
        <f t="shared" si="67"/>
        <v/>
      </c>
      <c r="M737" s="38" t="str">
        <f t="shared" si="70"/>
        <v>0100</v>
      </c>
      <c r="N737" s="69">
        <f t="shared" si="69"/>
        <v>256</v>
      </c>
      <c r="O737" s="95"/>
      <c r="P737" s="96"/>
      <c r="Q737" s="97"/>
      <c r="R737" s="149"/>
      <c r="S737" s="153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2"/>
      <c r="AD737" s="143"/>
      <c r="AE737" s="143"/>
      <c r="AF737" s="143"/>
      <c r="AG737" s="143"/>
      <c r="AH737" s="143"/>
      <c r="AI737" s="143"/>
      <c r="AJ737" s="144"/>
    </row>
    <row r="738" spans="11:36">
      <c r="K738" s="85"/>
      <c r="L738" s="54" t="str">
        <f t="shared" si="67"/>
        <v/>
      </c>
      <c r="M738" s="38" t="str">
        <f t="shared" si="70"/>
        <v>0100</v>
      </c>
      <c r="N738" s="69">
        <f t="shared" si="69"/>
        <v>256</v>
      </c>
      <c r="O738" s="95"/>
      <c r="P738" s="96"/>
      <c r="Q738" s="97"/>
      <c r="R738" s="149"/>
      <c r="S738" s="153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2"/>
      <c r="AD738" s="143"/>
      <c r="AE738" s="143"/>
      <c r="AF738" s="143"/>
      <c r="AG738" s="143"/>
      <c r="AH738" s="143"/>
      <c r="AI738" s="143"/>
      <c r="AJ738" s="144"/>
    </row>
    <row r="739" spans="11:36">
      <c r="K739" s="85"/>
      <c r="L739" s="54" t="str">
        <f t="shared" si="67"/>
        <v/>
      </c>
      <c r="M739" s="38" t="str">
        <f t="shared" si="70"/>
        <v>0100</v>
      </c>
      <c r="N739" s="69">
        <f t="shared" si="69"/>
        <v>256</v>
      </c>
      <c r="O739" s="95"/>
      <c r="P739" s="96"/>
      <c r="Q739" s="97"/>
      <c r="R739" s="149"/>
      <c r="S739" s="153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2"/>
      <c r="AD739" s="143"/>
      <c r="AE739" s="143"/>
      <c r="AF739" s="143"/>
      <c r="AG739" s="143"/>
      <c r="AH739" s="143"/>
      <c r="AI739" s="143"/>
      <c r="AJ739" s="144"/>
    </row>
    <row r="740" spans="11:36">
      <c r="K740" s="85"/>
      <c r="L740" s="54" t="str">
        <f t="shared" si="67"/>
        <v/>
      </c>
      <c r="M740" s="38" t="str">
        <f t="shared" si="70"/>
        <v>0100</v>
      </c>
      <c r="N740" s="69">
        <f t="shared" si="69"/>
        <v>256</v>
      </c>
      <c r="O740" s="95"/>
      <c r="P740" s="96"/>
      <c r="Q740" s="97"/>
      <c r="R740" s="149"/>
      <c r="S740" s="153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2"/>
      <c r="AD740" s="143"/>
      <c r="AE740" s="143"/>
      <c r="AF740" s="143"/>
      <c r="AG740" s="143"/>
      <c r="AH740" s="143"/>
      <c r="AI740" s="143"/>
      <c r="AJ740" s="144"/>
    </row>
    <row r="741" spans="11:36">
      <c r="K741" s="85"/>
      <c r="L741" s="54" t="str">
        <f t="shared" si="67"/>
        <v/>
      </c>
      <c r="M741" s="38" t="str">
        <f t="shared" si="70"/>
        <v>0100</v>
      </c>
      <c r="N741" s="69">
        <f t="shared" si="69"/>
        <v>256</v>
      </c>
      <c r="O741" s="95"/>
      <c r="P741" s="96"/>
      <c r="Q741" s="97"/>
      <c r="R741" s="149"/>
      <c r="S741" s="153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2"/>
      <c r="AD741" s="143"/>
      <c r="AE741" s="143"/>
      <c r="AF741" s="143"/>
      <c r="AG741" s="143"/>
      <c r="AH741" s="143"/>
      <c r="AI741" s="143"/>
      <c r="AJ741" s="144"/>
    </row>
    <row r="742" spans="11:36">
      <c r="K742" s="85"/>
      <c r="L742" s="54" t="str">
        <f t="shared" si="67"/>
        <v/>
      </c>
      <c r="M742" s="38" t="str">
        <f t="shared" si="70"/>
        <v>0100</v>
      </c>
      <c r="N742" s="69">
        <f t="shared" si="69"/>
        <v>256</v>
      </c>
      <c r="O742" s="95"/>
      <c r="P742" s="96"/>
      <c r="Q742" s="97"/>
      <c r="R742" s="149"/>
      <c r="S742" s="153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2"/>
      <c r="AD742" s="143"/>
      <c r="AE742" s="143"/>
      <c r="AF742" s="143"/>
      <c r="AG742" s="143"/>
      <c r="AH742" s="143"/>
      <c r="AI742" s="143"/>
      <c r="AJ742" s="144"/>
    </row>
    <row r="743" spans="11:36">
      <c r="K743" s="85"/>
      <c r="L743" s="54" t="str">
        <f t="shared" si="67"/>
        <v/>
      </c>
      <c r="M743" s="38" t="str">
        <f t="shared" si="70"/>
        <v>0100</v>
      </c>
      <c r="N743" s="69">
        <f t="shared" si="69"/>
        <v>256</v>
      </c>
      <c r="O743" s="95"/>
      <c r="P743" s="96"/>
      <c r="Q743" s="97"/>
      <c r="R743" s="149"/>
      <c r="S743" s="153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2"/>
      <c r="AD743" s="143"/>
      <c r="AE743" s="143"/>
      <c r="AF743" s="143"/>
      <c r="AG743" s="143"/>
      <c r="AH743" s="143"/>
      <c r="AI743" s="143"/>
      <c r="AJ743" s="144"/>
    </row>
    <row r="744" spans="11:36">
      <c r="K744" s="85"/>
      <c r="L744" s="54" t="str">
        <f t="shared" si="67"/>
        <v/>
      </c>
      <c r="M744" s="38" t="str">
        <f t="shared" si="70"/>
        <v>0100</v>
      </c>
      <c r="N744" s="69">
        <f t="shared" si="69"/>
        <v>256</v>
      </c>
      <c r="O744" s="95"/>
      <c r="P744" s="96"/>
      <c r="Q744" s="97"/>
      <c r="R744" s="149"/>
      <c r="S744" s="153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2"/>
      <c r="AD744" s="143"/>
      <c r="AE744" s="143"/>
      <c r="AF744" s="143"/>
      <c r="AG744" s="143"/>
      <c r="AH744" s="143"/>
      <c r="AI744" s="143"/>
      <c r="AJ744" s="144"/>
    </row>
    <row r="745" spans="11:36">
      <c r="K745" s="85"/>
      <c r="L745" s="54" t="str">
        <f t="shared" si="67"/>
        <v/>
      </c>
      <c r="M745" s="38" t="str">
        <f t="shared" si="70"/>
        <v>0100</v>
      </c>
      <c r="N745" s="69">
        <f t="shared" si="69"/>
        <v>256</v>
      </c>
      <c r="O745" s="95"/>
      <c r="P745" s="96"/>
      <c r="Q745" s="97"/>
      <c r="R745" s="149"/>
      <c r="S745" s="153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2"/>
      <c r="AD745" s="143"/>
      <c r="AE745" s="143"/>
      <c r="AF745" s="143"/>
      <c r="AG745" s="143"/>
      <c r="AH745" s="143"/>
      <c r="AI745" s="143"/>
      <c r="AJ745" s="144"/>
    </row>
    <row r="746" spans="11:36">
      <c r="K746" s="85"/>
      <c r="L746" s="54" t="str">
        <f t="shared" si="67"/>
        <v/>
      </c>
      <c r="M746" s="38" t="str">
        <f t="shared" si="70"/>
        <v>0100</v>
      </c>
      <c r="N746" s="69">
        <f t="shared" si="69"/>
        <v>256</v>
      </c>
      <c r="O746" s="95"/>
      <c r="P746" s="96"/>
      <c r="Q746" s="97"/>
      <c r="R746" s="149"/>
      <c r="S746" s="153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2"/>
      <c r="AD746" s="143"/>
      <c r="AE746" s="143"/>
      <c r="AF746" s="143"/>
      <c r="AG746" s="143"/>
      <c r="AH746" s="143"/>
      <c r="AI746" s="143"/>
      <c r="AJ746" s="144"/>
    </row>
    <row r="747" spans="11:36">
      <c r="K747" s="85"/>
      <c r="L747" s="54" t="str">
        <f t="shared" si="67"/>
        <v/>
      </c>
      <c r="M747" s="38" t="str">
        <f t="shared" si="70"/>
        <v>0100</v>
      </c>
      <c r="N747" s="69">
        <f t="shared" si="69"/>
        <v>256</v>
      </c>
      <c r="O747" s="95"/>
      <c r="P747" s="96"/>
      <c r="Q747" s="97"/>
      <c r="R747" s="149"/>
      <c r="S747" s="153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2"/>
      <c r="AD747" s="143"/>
      <c r="AE747" s="143"/>
      <c r="AF747" s="143"/>
      <c r="AG747" s="143"/>
      <c r="AH747" s="143"/>
      <c r="AI747" s="143"/>
      <c r="AJ747" s="144"/>
    </row>
    <row r="748" spans="11:36">
      <c r="K748" s="85"/>
      <c r="L748" s="54" t="str">
        <f t="shared" si="67"/>
        <v/>
      </c>
      <c r="M748" s="38" t="str">
        <f t="shared" si="70"/>
        <v>0100</v>
      </c>
      <c r="N748" s="69">
        <f t="shared" si="69"/>
        <v>256</v>
      </c>
      <c r="O748" s="95"/>
      <c r="P748" s="96"/>
      <c r="Q748" s="97"/>
      <c r="R748" s="149"/>
      <c r="S748" s="153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2"/>
      <c r="AD748" s="143"/>
      <c r="AE748" s="143"/>
      <c r="AF748" s="143"/>
      <c r="AG748" s="143"/>
      <c r="AH748" s="143"/>
      <c r="AI748" s="143"/>
      <c r="AJ748" s="144"/>
    </row>
    <row r="749" spans="11:36">
      <c r="K749" s="85"/>
      <c r="L749" s="54" t="str">
        <f t="shared" si="67"/>
        <v/>
      </c>
      <c r="M749" s="38" t="str">
        <f t="shared" si="70"/>
        <v>0100</v>
      </c>
      <c r="N749" s="69">
        <f t="shared" si="69"/>
        <v>256</v>
      </c>
      <c r="O749" s="95"/>
      <c r="P749" s="96"/>
      <c r="Q749" s="97"/>
      <c r="R749" s="149"/>
      <c r="S749" s="153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2"/>
      <c r="AD749" s="143"/>
      <c r="AE749" s="143"/>
      <c r="AF749" s="143"/>
      <c r="AG749" s="143"/>
      <c r="AH749" s="143"/>
      <c r="AI749" s="143"/>
      <c r="AJ749" s="144"/>
    </row>
    <row r="750" spans="11:36">
      <c r="K750" s="85"/>
      <c r="L750" s="54" t="str">
        <f t="shared" si="67"/>
        <v/>
      </c>
      <c r="M750" s="38" t="str">
        <f t="shared" si="70"/>
        <v>0100</v>
      </c>
      <c r="N750" s="69">
        <f t="shared" si="69"/>
        <v>256</v>
      </c>
      <c r="O750" s="95"/>
      <c r="P750" s="96"/>
      <c r="Q750" s="97"/>
      <c r="R750" s="149"/>
      <c r="S750" s="153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2"/>
      <c r="AD750" s="143"/>
      <c r="AE750" s="143"/>
      <c r="AF750" s="143"/>
      <c r="AG750" s="143"/>
      <c r="AH750" s="143"/>
      <c r="AI750" s="143"/>
      <c r="AJ750" s="144"/>
    </row>
    <row r="751" spans="11:36">
      <c r="K751" s="85"/>
      <c r="L751" s="54" t="str">
        <f t="shared" si="67"/>
        <v/>
      </c>
      <c r="M751" s="38" t="str">
        <f t="shared" si="70"/>
        <v>0100</v>
      </c>
      <c r="N751" s="69">
        <f t="shared" si="69"/>
        <v>256</v>
      </c>
      <c r="O751" s="95"/>
      <c r="P751" s="96"/>
      <c r="Q751" s="97"/>
      <c r="R751" s="149"/>
      <c r="S751" s="153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2"/>
      <c r="AD751" s="143"/>
      <c r="AE751" s="143"/>
      <c r="AF751" s="143"/>
      <c r="AG751" s="143"/>
      <c r="AH751" s="143"/>
      <c r="AI751" s="143"/>
      <c r="AJ751" s="144"/>
    </row>
    <row r="752" spans="11:36">
      <c r="K752" s="85"/>
      <c r="L752" s="54" t="str">
        <f t="shared" si="67"/>
        <v/>
      </c>
      <c r="M752" s="38" t="str">
        <f t="shared" si="70"/>
        <v>0100</v>
      </c>
      <c r="N752" s="69">
        <f t="shared" si="69"/>
        <v>256</v>
      </c>
      <c r="O752" s="95"/>
      <c r="P752" s="96"/>
      <c r="Q752" s="97"/>
      <c r="R752" s="149"/>
      <c r="S752" s="153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2"/>
      <c r="AD752" s="143"/>
      <c r="AE752" s="143"/>
      <c r="AF752" s="143"/>
      <c r="AG752" s="143"/>
      <c r="AH752" s="143"/>
      <c r="AI752" s="143"/>
      <c r="AJ752" s="144"/>
    </row>
    <row r="753" spans="11:36">
      <c r="K753" s="85"/>
      <c r="L753" s="54" t="str">
        <f t="shared" si="67"/>
        <v/>
      </c>
      <c r="M753" s="38" t="str">
        <f t="shared" si="70"/>
        <v>0100</v>
      </c>
      <c r="N753" s="69">
        <f t="shared" si="69"/>
        <v>256</v>
      </c>
      <c r="O753" s="95"/>
      <c r="P753" s="96"/>
      <c r="Q753" s="97"/>
      <c r="R753" s="149"/>
      <c r="S753" s="153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2"/>
      <c r="AD753" s="143"/>
      <c r="AE753" s="143"/>
      <c r="AF753" s="143"/>
      <c r="AG753" s="143"/>
      <c r="AH753" s="143"/>
      <c r="AI753" s="143"/>
      <c r="AJ753" s="144"/>
    </row>
    <row r="754" spans="11:36">
      <c r="K754" s="85"/>
      <c r="L754" s="54" t="str">
        <f t="shared" si="67"/>
        <v/>
      </c>
      <c r="M754" s="38" t="str">
        <f t="shared" si="70"/>
        <v>0100</v>
      </c>
      <c r="N754" s="69">
        <f t="shared" si="69"/>
        <v>256</v>
      </c>
      <c r="O754" s="95"/>
      <c r="P754" s="96"/>
      <c r="Q754" s="97"/>
      <c r="R754" s="149"/>
      <c r="S754" s="153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2"/>
      <c r="AD754" s="143"/>
      <c r="AE754" s="143"/>
      <c r="AF754" s="143"/>
      <c r="AG754" s="143"/>
      <c r="AH754" s="143"/>
      <c r="AI754" s="143"/>
      <c r="AJ754" s="144"/>
    </row>
    <row r="755" spans="11:36">
      <c r="K755" s="85"/>
      <c r="L755" s="54" t="str">
        <f t="shared" si="67"/>
        <v/>
      </c>
      <c r="M755" s="38" t="str">
        <f t="shared" si="70"/>
        <v>0100</v>
      </c>
      <c r="N755" s="69">
        <f t="shared" si="69"/>
        <v>256</v>
      </c>
      <c r="O755" s="95"/>
      <c r="P755" s="96"/>
      <c r="Q755" s="97"/>
      <c r="R755" s="149"/>
      <c r="S755" s="153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2"/>
      <c r="AD755" s="143"/>
      <c r="AE755" s="143"/>
      <c r="AF755" s="143"/>
      <c r="AG755" s="143"/>
      <c r="AH755" s="143"/>
      <c r="AI755" s="143"/>
      <c r="AJ755" s="144"/>
    </row>
    <row r="756" spans="11:36">
      <c r="K756" s="85"/>
      <c r="L756" s="54" t="str">
        <f t="shared" si="67"/>
        <v/>
      </c>
      <c r="M756" s="38" t="str">
        <f t="shared" si="70"/>
        <v>0100</v>
      </c>
      <c r="N756" s="69">
        <f t="shared" si="69"/>
        <v>256</v>
      </c>
      <c r="O756" s="95"/>
      <c r="P756" s="96"/>
      <c r="Q756" s="97"/>
      <c r="R756" s="149"/>
      <c r="S756" s="153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2"/>
      <c r="AD756" s="143"/>
      <c r="AE756" s="143"/>
      <c r="AF756" s="143"/>
      <c r="AG756" s="143"/>
      <c r="AH756" s="143"/>
      <c r="AI756" s="143"/>
      <c r="AJ756" s="144"/>
    </row>
    <row r="757" spans="11:36">
      <c r="K757" s="85"/>
      <c r="L757" s="54" t="str">
        <f t="shared" si="67"/>
        <v/>
      </c>
      <c r="M757" s="38" t="str">
        <f t="shared" si="70"/>
        <v>0100</v>
      </c>
      <c r="N757" s="69">
        <f t="shared" si="69"/>
        <v>256</v>
      </c>
      <c r="O757" s="95"/>
      <c r="P757" s="96"/>
      <c r="Q757" s="97"/>
      <c r="R757" s="149"/>
      <c r="S757" s="153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2"/>
      <c r="AD757" s="143"/>
      <c r="AE757" s="143"/>
      <c r="AF757" s="143"/>
      <c r="AG757" s="143"/>
      <c r="AH757" s="143"/>
      <c r="AI757" s="143"/>
      <c r="AJ757" s="144"/>
    </row>
    <row r="758" spans="11:36">
      <c r="K758" s="85"/>
      <c r="L758" s="54" t="str">
        <f t="shared" si="67"/>
        <v/>
      </c>
      <c r="M758" s="38" t="str">
        <f t="shared" si="70"/>
        <v>0100</v>
      </c>
      <c r="N758" s="69">
        <f t="shared" si="69"/>
        <v>256</v>
      </c>
      <c r="O758" s="95"/>
      <c r="P758" s="96"/>
      <c r="Q758" s="97"/>
      <c r="R758" s="149"/>
      <c r="S758" s="153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2"/>
      <c r="AD758" s="143"/>
      <c r="AE758" s="143"/>
      <c r="AF758" s="143"/>
      <c r="AG758" s="143"/>
      <c r="AH758" s="143"/>
      <c r="AI758" s="143"/>
      <c r="AJ758" s="144"/>
    </row>
    <row r="759" spans="11:36">
      <c r="K759" s="85"/>
      <c r="L759" s="54" t="str">
        <f t="shared" si="67"/>
        <v/>
      </c>
      <c r="M759" s="38" t="str">
        <f t="shared" si="70"/>
        <v>0100</v>
      </c>
      <c r="N759" s="69">
        <f t="shared" si="69"/>
        <v>256</v>
      </c>
      <c r="O759" s="95"/>
      <c r="P759" s="96"/>
      <c r="Q759" s="97"/>
      <c r="R759" s="149"/>
      <c r="S759" s="153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2"/>
      <c r="AD759" s="143"/>
      <c r="AE759" s="143"/>
      <c r="AF759" s="143"/>
      <c r="AG759" s="143"/>
      <c r="AH759" s="143"/>
      <c r="AI759" s="143"/>
      <c r="AJ759" s="144"/>
    </row>
    <row r="760" spans="11:36">
      <c r="K760" s="85"/>
      <c r="L760" s="54" t="str">
        <f t="shared" si="67"/>
        <v/>
      </c>
      <c r="M760" s="38" t="str">
        <f t="shared" si="70"/>
        <v>0100</v>
      </c>
      <c r="N760" s="69">
        <f t="shared" si="69"/>
        <v>256</v>
      </c>
      <c r="O760" s="95"/>
      <c r="P760" s="96"/>
      <c r="Q760" s="97"/>
      <c r="R760" s="149"/>
      <c r="S760" s="153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2"/>
      <c r="AD760" s="143"/>
      <c r="AE760" s="143"/>
      <c r="AF760" s="143"/>
      <c r="AG760" s="143"/>
      <c r="AH760" s="143"/>
      <c r="AI760" s="143"/>
      <c r="AJ760" s="144"/>
    </row>
    <row r="761" spans="11:36">
      <c r="K761" s="85"/>
      <c r="L761" s="54" t="str">
        <f t="shared" si="67"/>
        <v/>
      </c>
      <c r="M761" s="38" t="str">
        <f t="shared" si="70"/>
        <v>0100</v>
      </c>
      <c r="N761" s="69">
        <f t="shared" si="69"/>
        <v>256</v>
      </c>
      <c r="O761" s="95"/>
      <c r="P761" s="96"/>
      <c r="Q761" s="97"/>
      <c r="R761" s="149"/>
      <c r="S761" s="153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2"/>
      <c r="AD761" s="143"/>
      <c r="AE761" s="143"/>
      <c r="AF761" s="143"/>
      <c r="AG761" s="143"/>
      <c r="AH761" s="143"/>
      <c r="AI761" s="143"/>
      <c r="AJ761" s="144"/>
    </row>
    <row r="762" spans="11:36">
      <c r="K762" s="85"/>
      <c r="L762" s="54" t="str">
        <f t="shared" si="67"/>
        <v/>
      </c>
      <c r="M762" s="38" t="str">
        <f t="shared" si="70"/>
        <v>0100</v>
      </c>
      <c r="N762" s="69">
        <f t="shared" si="69"/>
        <v>256</v>
      </c>
      <c r="O762" s="95"/>
      <c r="P762" s="96"/>
      <c r="Q762" s="97"/>
      <c r="R762" s="149"/>
      <c r="S762" s="153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2"/>
      <c r="AD762" s="143"/>
      <c r="AE762" s="143"/>
      <c r="AF762" s="143"/>
      <c r="AG762" s="143"/>
      <c r="AH762" s="143"/>
      <c r="AI762" s="143"/>
      <c r="AJ762" s="144"/>
    </row>
    <row r="763" spans="11:36">
      <c r="K763" s="85"/>
      <c r="L763" s="54" t="str">
        <f t="shared" si="67"/>
        <v/>
      </c>
      <c r="M763" s="38" t="str">
        <f t="shared" si="70"/>
        <v>0100</v>
      </c>
      <c r="N763" s="69">
        <f t="shared" si="69"/>
        <v>256</v>
      </c>
      <c r="O763" s="95"/>
      <c r="P763" s="96"/>
      <c r="Q763" s="97"/>
      <c r="R763" s="149"/>
      <c r="S763" s="153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2"/>
      <c r="AD763" s="143"/>
      <c r="AE763" s="143"/>
      <c r="AF763" s="143"/>
      <c r="AG763" s="143"/>
      <c r="AH763" s="143"/>
      <c r="AI763" s="143"/>
      <c r="AJ763" s="144"/>
    </row>
    <row r="764" spans="11:36">
      <c r="K764" s="85"/>
      <c r="L764" s="54" t="str">
        <f t="shared" si="67"/>
        <v/>
      </c>
      <c r="M764" s="38" t="str">
        <f t="shared" si="70"/>
        <v>0100</v>
      </c>
      <c r="N764" s="69">
        <f t="shared" si="69"/>
        <v>256</v>
      </c>
      <c r="O764" s="95"/>
      <c r="P764" s="96"/>
      <c r="Q764" s="97"/>
      <c r="R764" s="149"/>
      <c r="S764" s="153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2"/>
      <c r="AD764" s="143"/>
      <c r="AE764" s="143"/>
      <c r="AF764" s="143"/>
      <c r="AG764" s="143"/>
      <c r="AH764" s="143"/>
      <c r="AI764" s="143"/>
      <c r="AJ764" s="144"/>
    </row>
    <row r="765" spans="11:36">
      <c r="K765" s="85"/>
      <c r="L765" s="54" t="str">
        <f t="shared" si="67"/>
        <v/>
      </c>
      <c r="M765" s="38" t="str">
        <f t="shared" si="70"/>
        <v>0100</v>
      </c>
      <c r="N765" s="69">
        <f t="shared" si="69"/>
        <v>256</v>
      </c>
      <c r="O765" s="95"/>
      <c r="P765" s="96"/>
      <c r="Q765" s="97"/>
      <c r="R765" s="149"/>
      <c r="S765" s="153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2"/>
      <c r="AD765" s="143"/>
      <c r="AE765" s="143"/>
      <c r="AF765" s="143"/>
      <c r="AG765" s="143"/>
      <c r="AH765" s="143"/>
      <c r="AI765" s="143"/>
      <c r="AJ765" s="144"/>
    </row>
    <row r="766" spans="11:36">
      <c r="K766" s="85"/>
      <c r="L766" s="54" t="str">
        <f t="shared" si="67"/>
        <v/>
      </c>
      <c r="M766" s="38" t="str">
        <f t="shared" si="70"/>
        <v>0100</v>
      </c>
      <c r="N766" s="69">
        <f t="shared" si="69"/>
        <v>256</v>
      </c>
      <c r="O766" s="95"/>
      <c r="P766" s="96"/>
      <c r="Q766" s="97"/>
      <c r="R766" s="149"/>
      <c r="S766" s="153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2"/>
      <c r="AD766" s="143"/>
      <c r="AE766" s="143"/>
      <c r="AF766" s="143"/>
      <c r="AG766" s="143"/>
      <c r="AH766" s="143"/>
      <c r="AI766" s="143"/>
      <c r="AJ766" s="144"/>
    </row>
    <row r="767" spans="11:36">
      <c r="K767" s="85"/>
      <c r="L767" s="54" t="str">
        <f t="shared" si="67"/>
        <v/>
      </c>
      <c r="M767" s="38" t="str">
        <f t="shared" si="70"/>
        <v>0100</v>
      </c>
      <c r="N767" s="69">
        <f t="shared" si="69"/>
        <v>256</v>
      </c>
      <c r="O767" s="95"/>
      <c r="P767" s="96"/>
      <c r="Q767" s="97"/>
      <c r="R767" s="149"/>
      <c r="S767" s="153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2"/>
      <c r="AD767" s="143"/>
      <c r="AE767" s="143"/>
      <c r="AF767" s="143"/>
      <c r="AG767" s="143"/>
      <c r="AH767" s="143"/>
      <c r="AI767" s="143"/>
      <c r="AJ767" s="144"/>
    </row>
    <row r="768" spans="11:36">
      <c r="K768" s="85"/>
      <c r="L768" s="54" t="str">
        <f t="shared" si="67"/>
        <v/>
      </c>
      <c r="M768" s="38" t="str">
        <f t="shared" si="70"/>
        <v>0100</v>
      </c>
      <c r="N768" s="69">
        <f t="shared" si="69"/>
        <v>256</v>
      </c>
      <c r="O768" s="95"/>
      <c r="P768" s="96"/>
      <c r="Q768" s="97"/>
      <c r="R768" s="149"/>
      <c r="S768" s="153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2"/>
      <c r="AD768" s="143"/>
      <c r="AE768" s="143"/>
      <c r="AF768" s="143"/>
      <c r="AG768" s="143"/>
      <c r="AH768" s="143"/>
      <c r="AI768" s="143"/>
      <c r="AJ768" s="144"/>
    </row>
    <row r="769" spans="11:36">
      <c r="K769" s="85"/>
      <c r="L769" s="54" t="str">
        <f t="shared" si="67"/>
        <v/>
      </c>
      <c r="M769" s="38" t="str">
        <f t="shared" si="70"/>
        <v>0100</v>
      </c>
      <c r="N769" s="69">
        <f t="shared" si="69"/>
        <v>256</v>
      </c>
      <c r="O769" s="95"/>
      <c r="P769" s="96"/>
      <c r="Q769" s="97"/>
      <c r="R769" s="149"/>
      <c r="S769" s="153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2"/>
      <c r="AD769" s="143"/>
      <c r="AE769" s="143"/>
      <c r="AF769" s="143"/>
      <c r="AG769" s="143"/>
      <c r="AH769" s="143"/>
      <c r="AI769" s="143"/>
      <c r="AJ769" s="144"/>
    </row>
    <row r="770" spans="11:36">
      <c r="K770" s="85"/>
      <c r="L770" s="54" t="str">
        <f t="shared" si="67"/>
        <v/>
      </c>
      <c r="M770" s="38" t="str">
        <f t="shared" si="70"/>
        <v>0100</v>
      </c>
      <c r="N770" s="69">
        <f t="shared" si="69"/>
        <v>256</v>
      </c>
      <c r="O770" s="95"/>
      <c r="P770" s="96"/>
      <c r="Q770" s="97"/>
      <c r="R770" s="149"/>
      <c r="S770" s="153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2"/>
      <c r="AD770" s="143"/>
      <c r="AE770" s="143"/>
      <c r="AF770" s="143"/>
      <c r="AG770" s="143"/>
      <c r="AH770" s="143"/>
      <c r="AI770" s="143"/>
      <c r="AJ770" s="144"/>
    </row>
    <row r="771" spans="11:36">
      <c r="K771" s="85"/>
      <c r="L771" s="54" t="str">
        <f t="shared" si="67"/>
        <v/>
      </c>
      <c r="M771" s="38" t="str">
        <f t="shared" si="70"/>
        <v>0100</v>
      </c>
      <c r="N771" s="69">
        <f t="shared" si="69"/>
        <v>256</v>
      </c>
      <c r="O771" s="95"/>
      <c r="P771" s="96"/>
      <c r="Q771" s="97"/>
      <c r="R771" s="149"/>
      <c r="S771" s="153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2"/>
      <c r="AD771" s="143"/>
      <c r="AE771" s="143"/>
      <c r="AF771" s="143"/>
      <c r="AG771" s="143"/>
      <c r="AH771" s="143"/>
      <c r="AI771" s="143"/>
      <c r="AJ771" s="144"/>
    </row>
    <row r="772" spans="11:36">
      <c r="K772" s="85"/>
      <c r="L772" s="54" t="str">
        <f t="shared" si="67"/>
        <v/>
      </c>
      <c r="M772" s="38" t="str">
        <f t="shared" si="70"/>
        <v>0100</v>
      </c>
      <c r="N772" s="69">
        <f t="shared" si="69"/>
        <v>256</v>
      </c>
      <c r="O772" s="95"/>
      <c r="P772" s="96"/>
      <c r="Q772" s="97"/>
      <c r="R772" s="149"/>
      <c r="S772" s="153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2"/>
      <c r="AD772" s="143"/>
      <c r="AE772" s="143"/>
      <c r="AF772" s="143"/>
      <c r="AG772" s="143"/>
      <c r="AH772" s="143"/>
      <c r="AI772" s="143"/>
      <c r="AJ772" s="144"/>
    </row>
    <row r="773" spans="11:36">
      <c r="K773" s="85"/>
      <c r="L773" s="54" t="str">
        <f t="shared" si="67"/>
        <v/>
      </c>
      <c r="M773" s="38" t="str">
        <f t="shared" si="70"/>
        <v>0100</v>
      </c>
      <c r="N773" s="69">
        <f t="shared" si="69"/>
        <v>256</v>
      </c>
      <c r="O773" s="95"/>
      <c r="P773" s="96"/>
      <c r="Q773" s="97"/>
      <c r="R773" s="149"/>
      <c r="S773" s="153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2"/>
      <c r="AD773" s="143"/>
      <c r="AE773" s="143"/>
      <c r="AF773" s="143"/>
      <c r="AG773" s="143"/>
      <c r="AH773" s="143"/>
      <c r="AI773" s="143"/>
      <c r="AJ773" s="144"/>
    </row>
    <row r="774" spans="11:36">
      <c r="K774" s="85"/>
      <c r="L774" s="54" t="str">
        <f t="shared" si="67"/>
        <v/>
      </c>
      <c r="M774" s="38" t="str">
        <f t="shared" si="70"/>
        <v>0100</v>
      </c>
      <c r="N774" s="69">
        <f t="shared" si="69"/>
        <v>256</v>
      </c>
      <c r="O774" s="95"/>
      <c r="P774" s="96"/>
      <c r="Q774" s="97"/>
      <c r="R774" s="149"/>
      <c r="S774" s="153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2"/>
      <c r="AD774" s="143"/>
      <c r="AE774" s="143"/>
      <c r="AF774" s="143"/>
      <c r="AG774" s="143"/>
      <c r="AH774" s="143"/>
      <c r="AI774" s="143"/>
      <c r="AJ774" s="144"/>
    </row>
    <row r="775" spans="11:36">
      <c r="K775" s="85"/>
      <c r="L775" s="54" t="str">
        <f t="shared" si="67"/>
        <v/>
      </c>
      <c r="M775" s="38" t="str">
        <f t="shared" si="70"/>
        <v>0100</v>
      </c>
      <c r="N775" s="69">
        <f t="shared" si="69"/>
        <v>256</v>
      </c>
      <c r="O775" s="95"/>
      <c r="P775" s="96"/>
      <c r="Q775" s="97"/>
      <c r="R775" s="149"/>
      <c r="S775" s="153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2"/>
      <c r="AD775" s="143"/>
      <c r="AE775" s="143"/>
      <c r="AF775" s="143"/>
      <c r="AG775" s="143"/>
      <c r="AH775" s="143"/>
      <c r="AI775" s="143"/>
      <c r="AJ775" s="144"/>
    </row>
    <row r="776" spans="11:36">
      <c r="K776" s="85"/>
      <c r="L776" s="54" t="str">
        <f t="shared" si="67"/>
        <v/>
      </c>
      <c r="M776" s="38" t="str">
        <f t="shared" si="70"/>
        <v>0100</v>
      </c>
      <c r="N776" s="69">
        <f t="shared" si="69"/>
        <v>256</v>
      </c>
      <c r="O776" s="95"/>
      <c r="P776" s="96"/>
      <c r="Q776" s="97"/>
      <c r="R776" s="149"/>
      <c r="S776" s="153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2"/>
      <c r="AD776" s="143"/>
      <c r="AE776" s="143"/>
      <c r="AF776" s="143"/>
      <c r="AG776" s="143"/>
      <c r="AH776" s="143"/>
      <c r="AI776" s="143"/>
      <c r="AJ776" s="144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0100</v>
      </c>
      <c r="N777" s="69">
        <f t="shared" si="69"/>
        <v>256</v>
      </c>
      <c r="O777" s="95"/>
      <c r="P777" s="96"/>
      <c r="Q777" s="97"/>
      <c r="R777" s="149"/>
      <c r="S777" s="153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2"/>
      <c r="AD777" s="143"/>
      <c r="AE777" s="143"/>
      <c r="AF777" s="143"/>
      <c r="AG777" s="143"/>
      <c r="AH777" s="143"/>
      <c r="AI777" s="143"/>
      <c r="AJ777" s="144"/>
    </row>
    <row r="778" spans="11:36">
      <c r="K778" s="85"/>
      <c r="L778" s="54" t="str">
        <f t="shared" si="71"/>
        <v/>
      </c>
      <c r="M778" s="38" t="str">
        <f t="shared" si="70"/>
        <v>0100</v>
      </c>
      <c r="N778" s="69">
        <f t="shared" ref="N778:N841" si="73">N777+S777</f>
        <v>256</v>
      </c>
      <c r="O778" s="95"/>
      <c r="P778" s="96"/>
      <c r="Q778" s="97"/>
      <c r="R778" s="149"/>
      <c r="S778" s="153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2"/>
      <c r="AD778" s="143"/>
      <c r="AE778" s="143"/>
      <c r="AF778" s="143"/>
      <c r="AG778" s="143"/>
      <c r="AH778" s="143"/>
      <c r="AI778" s="143"/>
      <c r="AJ778" s="144"/>
    </row>
    <row r="779" spans="11:36">
      <c r="K779" s="85"/>
      <c r="L779" s="54" t="str">
        <f t="shared" si="71"/>
        <v/>
      </c>
      <c r="M779" s="38" t="str">
        <f t="shared" si="70"/>
        <v>0100</v>
      </c>
      <c r="N779" s="69">
        <f t="shared" si="73"/>
        <v>256</v>
      </c>
      <c r="O779" s="95"/>
      <c r="P779" s="96"/>
      <c r="Q779" s="97"/>
      <c r="R779" s="149"/>
      <c r="S779" s="153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2"/>
      <c r="AD779" s="143"/>
      <c r="AE779" s="143"/>
      <c r="AF779" s="143"/>
      <c r="AG779" s="143"/>
      <c r="AH779" s="143"/>
      <c r="AI779" s="143"/>
      <c r="AJ779" s="144"/>
    </row>
    <row r="780" spans="11:36">
      <c r="K780" s="85"/>
      <c r="L780" s="54" t="str">
        <f t="shared" si="71"/>
        <v/>
      </c>
      <c r="M780" s="38" t="str">
        <f t="shared" si="70"/>
        <v>0100</v>
      </c>
      <c r="N780" s="69">
        <f t="shared" si="73"/>
        <v>256</v>
      </c>
      <c r="O780" s="95"/>
      <c r="P780" s="96"/>
      <c r="Q780" s="97"/>
      <c r="R780" s="149"/>
      <c r="S780" s="153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2"/>
      <c r="AD780" s="143"/>
      <c r="AE780" s="143"/>
      <c r="AF780" s="143"/>
      <c r="AG780" s="143"/>
      <c r="AH780" s="143"/>
      <c r="AI780" s="143"/>
      <c r="AJ780" s="144"/>
    </row>
    <row r="781" spans="11:36">
      <c r="K781" s="85"/>
      <c r="L781" s="54" t="str">
        <f t="shared" si="71"/>
        <v/>
      </c>
      <c r="M781" s="38" t="str">
        <f t="shared" si="70"/>
        <v>0100</v>
      </c>
      <c r="N781" s="69">
        <f t="shared" si="73"/>
        <v>256</v>
      </c>
      <c r="O781" s="95"/>
      <c r="P781" s="96"/>
      <c r="Q781" s="97"/>
      <c r="R781" s="149"/>
      <c r="S781" s="153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2"/>
      <c r="AD781" s="143"/>
      <c r="AE781" s="143"/>
      <c r="AF781" s="143"/>
      <c r="AG781" s="143"/>
      <c r="AH781" s="143"/>
      <c r="AI781" s="143"/>
      <c r="AJ781" s="144"/>
    </row>
    <row r="782" spans="11:36">
      <c r="K782" s="85"/>
      <c r="L782" s="54" t="str">
        <f t="shared" si="71"/>
        <v/>
      </c>
      <c r="M782" s="38" t="str">
        <f t="shared" si="70"/>
        <v>0100</v>
      </c>
      <c r="N782" s="69">
        <f t="shared" si="73"/>
        <v>256</v>
      </c>
      <c r="O782" s="95"/>
      <c r="P782" s="96"/>
      <c r="Q782" s="97"/>
      <c r="R782" s="149"/>
      <c r="S782" s="153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2"/>
      <c r="AD782" s="143"/>
      <c r="AE782" s="143"/>
      <c r="AF782" s="143"/>
      <c r="AG782" s="143"/>
      <c r="AH782" s="143"/>
      <c r="AI782" s="143"/>
      <c r="AJ782" s="144"/>
    </row>
    <row r="783" spans="11:36">
      <c r="K783" s="85"/>
      <c r="L783" s="54" t="str">
        <f t="shared" si="71"/>
        <v/>
      </c>
      <c r="M783" s="38" t="str">
        <f t="shared" si="70"/>
        <v>0100</v>
      </c>
      <c r="N783" s="69">
        <f t="shared" si="73"/>
        <v>256</v>
      </c>
      <c r="O783" s="95"/>
      <c r="P783" s="96"/>
      <c r="Q783" s="97"/>
      <c r="R783" s="149"/>
      <c r="S783" s="153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2"/>
      <c r="AD783" s="143"/>
      <c r="AE783" s="143"/>
      <c r="AF783" s="143"/>
      <c r="AG783" s="143"/>
      <c r="AH783" s="143"/>
      <c r="AI783" s="143"/>
      <c r="AJ783" s="144"/>
    </row>
    <row r="784" spans="11:36">
      <c r="K784" s="85"/>
      <c r="L784" s="54" t="str">
        <f t="shared" si="71"/>
        <v/>
      </c>
      <c r="M784" s="38" t="str">
        <f t="shared" si="70"/>
        <v>0100</v>
      </c>
      <c r="N784" s="69">
        <f t="shared" si="73"/>
        <v>256</v>
      </c>
      <c r="O784" s="95"/>
      <c r="P784" s="96"/>
      <c r="Q784" s="97"/>
      <c r="R784" s="149"/>
      <c r="S784" s="153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2"/>
      <c r="AD784" s="143"/>
      <c r="AE784" s="143"/>
      <c r="AF784" s="143"/>
      <c r="AG784" s="143"/>
      <c r="AH784" s="143"/>
      <c r="AI784" s="143"/>
      <c r="AJ784" s="144"/>
    </row>
    <row r="785" spans="11:36">
      <c r="K785" s="85"/>
      <c r="L785" s="54" t="str">
        <f t="shared" si="71"/>
        <v/>
      </c>
      <c r="M785" s="38" t="str">
        <f t="shared" si="70"/>
        <v>0100</v>
      </c>
      <c r="N785" s="69">
        <f t="shared" si="73"/>
        <v>256</v>
      </c>
      <c r="O785" s="95"/>
      <c r="P785" s="96"/>
      <c r="Q785" s="97"/>
      <c r="R785" s="149"/>
      <c r="S785" s="153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2"/>
      <c r="AD785" s="143"/>
      <c r="AE785" s="143"/>
      <c r="AF785" s="143"/>
      <c r="AG785" s="143"/>
      <c r="AH785" s="143"/>
      <c r="AI785" s="143"/>
      <c r="AJ785" s="144"/>
    </row>
    <row r="786" spans="11:36">
      <c r="K786" s="85"/>
      <c r="L786" s="54" t="str">
        <f t="shared" si="71"/>
        <v/>
      </c>
      <c r="M786" s="38" t="str">
        <f t="shared" si="70"/>
        <v>0100</v>
      </c>
      <c r="N786" s="69">
        <f t="shared" si="73"/>
        <v>256</v>
      </c>
      <c r="O786" s="95"/>
      <c r="P786" s="96"/>
      <c r="Q786" s="97"/>
      <c r="R786" s="149"/>
      <c r="S786" s="153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2"/>
      <c r="AD786" s="143"/>
      <c r="AE786" s="143"/>
      <c r="AF786" s="143"/>
      <c r="AG786" s="143"/>
      <c r="AH786" s="143"/>
      <c r="AI786" s="143"/>
      <c r="AJ786" s="144"/>
    </row>
    <row r="787" spans="11:36">
      <c r="K787" s="85"/>
      <c r="L787" s="54" t="str">
        <f t="shared" si="71"/>
        <v/>
      </c>
      <c r="M787" s="38" t="str">
        <f t="shared" si="70"/>
        <v>0100</v>
      </c>
      <c r="N787" s="69">
        <f t="shared" si="73"/>
        <v>256</v>
      </c>
      <c r="O787" s="95"/>
      <c r="P787" s="96"/>
      <c r="Q787" s="97"/>
      <c r="R787" s="149"/>
      <c r="S787" s="153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2"/>
      <c r="AD787" s="143"/>
      <c r="AE787" s="143"/>
      <c r="AF787" s="143"/>
      <c r="AG787" s="143"/>
      <c r="AH787" s="143"/>
      <c r="AI787" s="143"/>
      <c r="AJ787" s="144"/>
    </row>
    <row r="788" spans="11:36">
      <c r="K788" s="85"/>
      <c r="L788" s="54" t="str">
        <f t="shared" si="71"/>
        <v/>
      </c>
      <c r="M788" s="38" t="str">
        <f t="shared" si="70"/>
        <v>0100</v>
      </c>
      <c r="N788" s="69">
        <f t="shared" si="73"/>
        <v>256</v>
      </c>
      <c r="O788" s="95"/>
      <c r="P788" s="96"/>
      <c r="Q788" s="97"/>
      <c r="R788" s="149"/>
      <c r="S788" s="153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2"/>
      <c r="AD788" s="143"/>
      <c r="AE788" s="143"/>
      <c r="AF788" s="143"/>
      <c r="AG788" s="143"/>
      <c r="AH788" s="143"/>
      <c r="AI788" s="143"/>
      <c r="AJ788" s="144"/>
    </row>
    <row r="789" spans="11:36">
      <c r="K789" s="85"/>
      <c r="L789" s="54" t="str">
        <f t="shared" si="71"/>
        <v/>
      </c>
      <c r="M789" s="38" t="str">
        <f t="shared" si="70"/>
        <v>0100</v>
      </c>
      <c r="N789" s="69">
        <f t="shared" si="73"/>
        <v>256</v>
      </c>
      <c r="O789" s="95"/>
      <c r="P789" s="96"/>
      <c r="Q789" s="97"/>
      <c r="R789" s="149"/>
      <c r="S789" s="153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2"/>
      <c r="AD789" s="143"/>
      <c r="AE789" s="143"/>
      <c r="AF789" s="143"/>
      <c r="AG789" s="143"/>
      <c r="AH789" s="143"/>
      <c r="AI789" s="143"/>
      <c r="AJ789" s="144"/>
    </row>
    <row r="790" spans="11:36">
      <c r="K790" s="85"/>
      <c r="L790" s="54" t="str">
        <f t="shared" si="71"/>
        <v/>
      </c>
      <c r="M790" s="38" t="str">
        <f t="shared" si="70"/>
        <v>0100</v>
      </c>
      <c r="N790" s="69">
        <f t="shared" si="73"/>
        <v>256</v>
      </c>
      <c r="O790" s="95"/>
      <c r="P790" s="96"/>
      <c r="Q790" s="97"/>
      <c r="R790" s="149"/>
      <c r="S790" s="153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2"/>
      <c r="AD790" s="143"/>
      <c r="AE790" s="143"/>
      <c r="AF790" s="143"/>
      <c r="AG790" s="143"/>
      <c r="AH790" s="143"/>
      <c r="AI790" s="143"/>
      <c r="AJ790" s="144"/>
    </row>
    <row r="791" spans="11:36">
      <c r="K791" s="85"/>
      <c r="L791" s="54" t="str">
        <f t="shared" si="71"/>
        <v/>
      </c>
      <c r="M791" s="38" t="str">
        <f t="shared" si="70"/>
        <v>0100</v>
      </c>
      <c r="N791" s="69">
        <f t="shared" si="73"/>
        <v>256</v>
      </c>
      <c r="O791" s="95"/>
      <c r="P791" s="96"/>
      <c r="Q791" s="97"/>
      <c r="R791" s="149"/>
      <c r="S791" s="153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2"/>
      <c r="AD791" s="143"/>
      <c r="AE791" s="143"/>
      <c r="AF791" s="143"/>
      <c r="AG791" s="143"/>
      <c r="AH791" s="143"/>
      <c r="AI791" s="143"/>
      <c r="AJ791" s="144"/>
    </row>
    <row r="792" spans="11:36">
      <c r="K792" s="85"/>
      <c r="L792" s="54" t="str">
        <f t="shared" si="71"/>
        <v/>
      </c>
      <c r="M792" s="38" t="str">
        <f t="shared" si="70"/>
        <v>0100</v>
      </c>
      <c r="N792" s="69">
        <f t="shared" si="73"/>
        <v>256</v>
      </c>
      <c r="O792" s="95"/>
      <c r="P792" s="96"/>
      <c r="Q792" s="97"/>
      <c r="R792" s="149"/>
      <c r="S792" s="153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2"/>
      <c r="AD792" s="143"/>
      <c r="AE792" s="143"/>
      <c r="AF792" s="143"/>
      <c r="AG792" s="143"/>
      <c r="AH792" s="143"/>
      <c r="AI792" s="143"/>
      <c r="AJ792" s="144"/>
    </row>
    <row r="793" spans="11:36">
      <c r="K793" s="85"/>
      <c r="L793" s="54" t="str">
        <f t="shared" si="71"/>
        <v/>
      </c>
      <c r="M793" s="38" t="str">
        <f t="shared" si="70"/>
        <v>0100</v>
      </c>
      <c r="N793" s="69">
        <f t="shared" si="73"/>
        <v>256</v>
      </c>
      <c r="O793" s="95"/>
      <c r="P793" s="96"/>
      <c r="Q793" s="97"/>
      <c r="R793" s="149"/>
      <c r="S793" s="153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2"/>
      <c r="AD793" s="143"/>
      <c r="AE793" s="143"/>
      <c r="AF793" s="143"/>
      <c r="AG793" s="143"/>
      <c r="AH793" s="143"/>
      <c r="AI793" s="143"/>
      <c r="AJ793" s="144"/>
    </row>
    <row r="794" spans="11:36">
      <c r="K794" s="85"/>
      <c r="L794" s="54" t="str">
        <f t="shared" si="71"/>
        <v/>
      </c>
      <c r="M794" s="38" t="str">
        <f t="shared" si="70"/>
        <v>0100</v>
      </c>
      <c r="N794" s="69">
        <f t="shared" si="73"/>
        <v>256</v>
      </c>
      <c r="O794" s="95"/>
      <c r="P794" s="96"/>
      <c r="Q794" s="97"/>
      <c r="R794" s="149"/>
      <c r="S794" s="153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2"/>
      <c r="AD794" s="143"/>
      <c r="AE794" s="143"/>
      <c r="AF794" s="143"/>
      <c r="AG794" s="143"/>
      <c r="AH794" s="143"/>
      <c r="AI794" s="143"/>
      <c r="AJ794" s="144"/>
    </row>
    <row r="795" spans="11:36">
      <c r="K795" s="85"/>
      <c r="L795" s="54" t="str">
        <f t="shared" si="71"/>
        <v/>
      </c>
      <c r="M795" s="38" t="str">
        <f t="shared" si="70"/>
        <v>0100</v>
      </c>
      <c r="N795" s="69">
        <f t="shared" si="73"/>
        <v>256</v>
      </c>
      <c r="O795" s="95"/>
      <c r="P795" s="96"/>
      <c r="Q795" s="97"/>
      <c r="R795" s="149"/>
      <c r="S795" s="153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2"/>
      <c r="AD795" s="143"/>
      <c r="AE795" s="143"/>
      <c r="AF795" s="143"/>
      <c r="AG795" s="143"/>
      <c r="AH795" s="143"/>
      <c r="AI795" s="143"/>
      <c r="AJ795" s="144"/>
    </row>
    <row r="796" spans="11:36">
      <c r="K796" s="85"/>
      <c r="L796" s="54" t="str">
        <f t="shared" si="71"/>
        <v/>
      </c>
      <c r="M796" s="38" t="str">
        <f t="shared" si="70"/>
        <v>0100</v>
      </c>
      <c r="N796" s="69">
        <f t="shared" si="73"/>
        <v>256</v>
      </c>
      <c r="O796" s="95"/>
      <c r="P796" s="96"/>
      <c r="Q796" s="97"/>
      <c r="R796" s="149"/>
      <c r="S796" s="153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2"/>
      <c r="AD796" s="143"/>
      <c r="AE796" s="143"/>
      <c r="AF796" s="143"/>
      <c r="AG796" s="143"/>
      <c r="AH796" s="143"/>
      <c r="AI796" s="143"/>
      <c r="AJ796" s="144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0100</v>
      </c>
      <c r="N797" s="69">
        <f t="shared" si="73"/>
        <v>256</v>
      </c>
      <c r="O797" s="95"/>
      <c r="P797" s="96"/>
      <c r="Q797" s="97"/>
      <c r="R797" s="149"/>
      <c r="S797" s="153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2"/>
      <c r="AD797" s="143"/>
      <c r="AE797" s="143"/>
      <c r="AF797" s="143"/>
      <c r="AG797" s="143"/>
      <c r="AH797" s="143"/>
      <c r="AI797" s="143"/>
      <c r="AJ797" s="144"/>
    </row>
    <row r="798" spans="11:36">
      <c r="K798" s="85"/>
      <c r="L798" s="54" t="str">
        <f t="shared" si="71"/>
        <v/>
      </c>
      <c r="M798" s="38" t="str">
        <f t="shared" si="74"/>
        <v>0100</v>
      </c>
      <c r="N798" s="69">
        <f t="shared" si="73"/>
        <v>256</v>
      </c>
      <c r="O798" s="95"/>
      <c r="P798" s="96"/>
      <c r="Q798" s="97"/>
      <c r="R798" s="149"/>
      <c r="S798" s="153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2"/>
      <c r="AD798" s="143"/>
      <c r="AE798" s="143"/>
      <c r="AF798" s="143"/>
      <c r="AG798" s="143"/>
      <c r="AH798" s="143"/>
      <c r="AI798" s="143"/>
      <c r="AJ798" s="144"/>
    </row>
    <row r="799" spans="11:36">
      <c r="K799" s="85"/>
      <c r="L799" s="54" t="str">
        <f t="shared" si="71"/>
        <v/>
      </c>
      <c r="M799" s="38" t="str">
        <f t="shared" si="74"/>
        <v>0100</v>
      </c>
      <c r="N799" s="69">
        <f t="shared" si="73"/>
        <v>256</v>
      </c>
      <c r="O799" s="95"/>
      <c r="P799" s="96"/>
      <c r="Q799" s="97"/>
      <c r="R799" s="149"/>
      <c r="S799" s="153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2"/>
      <c r="AD799" s="143"/>
      <c r="AE799" s="143"/>
      <c r="AF799" s="143"/>
      <c r="AG799" s="143"/>
      <c r="AH799" s="143"/>
      <c r="AI799" s="143"/>
      <c r="AJ799" s="144"/>
    </row>
    <row r="800" spans="11:36">
      <c r="K800" s="85"/>
      <c r="L800" s="54" t="str">
        <f t="shared" si="71"/>
        <v/>
      </c>
      <c r="M800" s="38" t="str">
        <f t="shared" si="74"/>
        <v>0100</v>
      </c>
      <c r="N800" s="69">
        <f t="shared" si="73"/>
        <v>256</v>
      </c>
      <c r="O800" s="95"/>
      <c r="P800" s="96"/>
      <c r="Q800" s="97"/>
      <c r="R800" s="149"/>
      <c r="S800" s="153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2"/>
      <c r="AD800" s="143"/>
      <c r="AE800" s="143"/>
      <c r="AF800" s="143"/>
      <c r="AG800" s="143"/>
      <c r="AH800" s="143"/>
      <c r="AI800" s="143"/>
      <c r="AJ800" s="144"/>
    </row>
    <row r="801" spans="11:36">
      <c r="K801" s="85"/>
      <c r="L801" s="54" t="str">
        <f t="shared" si="71"/>
        <v/>
      </c>
      <c r="M801" s="38" t="str">
        <f t="shared" si="74"/>
        <v>0100</v>
      </c>
      <c r="N801" s="69">
        <f t="shared" si="73"/>
        <v>256</v>
      </c>
      <c r="O801" s="95"/>
      <c r="P801" s="96"/>
      <c r="Q801" s="97"/>
      <c r="R801" s="149"/>
      <c r="S801" s="153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2"/>
      <c r="AD801" s="143"/>
      <c r="AE801" s="143"/>
      <c r="AF801" s="143"/>
      <c r="AG801" s="143"/>
      <c r="AH801" s="143"/>
      <c r="AI801" s="143"/>
      <c r="AJ801" s="144"/>
    </row>
    <row r="802" spans="11:36">
      <c r="K802" s="85"/>
      <c r="L802" s="54" t="str">
        <f t="shared" si="71"/>
        <v/>
      </c>
      <c r="M802" s="38" t="str">
        <f t="shared" si="74"/>
        <v>0100</v>
      </c>
      <c r="N802" s="69">
        <f t="shared" si="73"/>
        <v>256</v>
      </c>
      <c r="O802" s="95"/>
      <c r="P802" s="96"/>
      <c r="Q802" s="97"/>
      <c r="R802" s="149"/>
      <c r="S802" s="153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2"/>
      <c r="AD802" s="143"/>
      <c r="AE802" s="143"/>
      <c r="AF802" s="143"/>
      <c r="AG802" s="143"/>
      <c r="AH802" s="143"/>
      <c r="AI802" s="143"/>
      <c r="AJ802" s="144"/>
    </row>
    <row r="803" spans="11:36">
      <c r="K803" s="85"/>
      <c r="L803" s="54" t="str">
        <f t="shared" si="71"/>
        <v/>
      </c>
      <c r="M803" s="38" t="str">
        <f t="shared" si="74"/>
        <v>0100</v>
      </c>
      <c r="N803" s="69">
        <f t="shared" si="73"/>
        <v>256</v>
      </c>
      <c r="O803" s="95"/>
      <c r="P803" s="96"/>
      <c r="Q803" s="97"/>
      <c r="R803" s="149"/>
      <c r="S803" s="153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2"/>
      <c r="AD803" s="143"/>
      <c r="AE803" s="143"/>
      <c r="AF803" s="143"/>
      <c r="AG803" s="143"/>
      <c r="AH803" s="143"/>
      <c r="AI803" s="143"/>
      <c r="AJ803" s="144"/>
    </row>
    <row r="804" spans="11:36">
      <c r="K804" s="85"/>
      <c r="L804" s="54" t="str">
        <f t="shared" si="71"/>
        <v/>
      </c>
      <c r="M804" s="38" t="str">
        <f t="shared" si="74"/>
        <v>0100</v>
      </c>
      <c r="N804" s="69">
        <f t="shared" si="73"/>
        <v>256</v>
      </c>
      <c r="O804" s="95"/>
      <c r="P804" s="96"/>
      <c r="Q804" s="97"/>
      <c r="R804" s="149"/>
      <c r="S804" s="153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2"/>
      <c r="AD804" s="143"/>
      <c r="AE804" s="143"/>
      <c r="AF804" s="143"/>
      <c r="AG804" s="143"/>
      <c r="AH804" s="143"/>
      <c r="AI804" s="143"/>
      <c r="AJ804" s="144"/>
    </row>
    <row r="805" spans="11:36">
      <c r="K805" s="85"/>
      <c r="L805" s="54" t="str">
        <f t="shared" si="71"/>
        <v/>
      </c>
      <c r="M805" s="38" t="str">
        <f t="shared" si="74"/>
        <v>0100</v>
      </c>
      <c r="N805" s="69">
        <f t="shared" si="73"/>
        <v>256</v>
      </c>
      <c r="O805" s="95"/>
      <c r="P805" s="96"/>
      <c r="Q805" s="97"/>
      <c r="R805" s="149"/>
      <c r="S805" s="153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2"/>
      <c r="AD805" s="143"/>
      <c r="AE805" s="143"/>
      <c r="AF805" s="143"/>
      <c r="AG805" s="143"/>
      <c r="AH805" s="143"/>
      <c r="AI805" s="143"/>
      <c r="AJ805" s="144"/>
    </row>
    <row r="806" spans="11:36">
      <c r="K806" s="85"/>
      <c r="L806" s="54" t="str">
        <f t="shared" si="71"/>
        <v/>
      </c>
      <c r="M806" s="38" t="str">
        <f t="shared" si="74"/>
        <v>0100</v>
      </c>
      <c r="N806" s="69">
        <f t="shared" si="73"/>
        <v>256</v>
      </c>
      <c r="O806" s="95"/>
      <c r="P806" s="96"/>
      <c r="Q806" s="97"/>
      <c r="R806" s="149"/>
      <c r="S806" s="153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2"/>
      <c r="AD806" s="143"/>
      <c r="AE806" s="143"/>
      <c r="AF806" s="143"/>
      <c r="AG806" s="143"/>
      <c r="AH806" s="143"/>
      <c r="AI806" s="143"/>
      <c r="AJ806" s="144"/>
    </row>
    <row r="807" spans="11:36">
      <c r="K807" s="85"/>
      <c r="L807" s="54" t="str">
        <f t="shared" si="71"/>
        <v/>
      </c>
      <c r="M807" s="38" t="str">
        <f t="shared" si="74"/>
        <v>0100</v>
      </c>
      <c r="N807" s="69">
        <f t="shared" si="73"/>
        <v>256</v>
      </c>
      <c r="O807" s="95"/>
      <c r="P807" s="96"/>
      <c r="Q807" s="97"/>
      <c r="R807" s="149"/>
      <c r="S807" s="153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2"/>
      <c r="AD807" s="143"/>
      <c r="AE807" s="143"/>
      <c r="AF807" s="143"/>
      <c r="AG807" s="143"/>
      <c r="AH807" s="143"/>
      <c r="AI807" s="143"/>
      <c r="AJ807" s="144"/>
    </row>
    <row r="808" spans="11:36">
      <c r="K808" s="85"/>
      <c r="L808" s="54" t="str">
        <f t="shared" si="71"/>
        <v/>
      </c>
      <c r="M808" s="38" t="str">
        <f t="shared" si="74"/>
        <v>0100</v>
      </c>
      <c r="N808" s="69">
        <f t="shared" si="73"/>
        <v>256</v>
      </c>
      <c r="O808" s="95"/>
      <c r="P808" s="96"/>
      <c r="Q808" s="97"/>
      <c r="R808" s="149"/>
      <c r="S808" s="153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2"/>
      <c r="AD808" s="143"/>
      <c r="AE808" s="143"/>
      <c r="AF808" s="143"/>
      <c r="AG808" s="143"/>
      <c r="AH808" s="143"/>
      <c r="AI808" s="143"/>
      <c r="AJ808" s="144"/>
    </row>
    <row r="809" spans="11:36">
      <c r="K809" s="85"/>
      <c r="L809" s="54" t="str">
        <f t="shared" si="71"/>
        <v/>
      </c>
      <c r="M809" s="38" t="str">
        <f t="shared" si="74"/>
        <v>0100</v>
      </c>
      <c r="N809" s="69">
        <f t="shared" si="73"/>
        <v>256</v>
      </c>
      <c r="O809" s="95"/>
      <c r="P809" s="96"/>
      <c r="Q809" s="97"/>
      <c r="R809" s="149"/>
      <c r="S809" s="153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2"/>
      <c r="AD809" s="143"/>
      <c r="AE809" s="143"/>
      <c r="AF809" s="143"/>
      <c r="AG809" s="143"/>
      <c r="AH809" s="143"/>
      <c r="AI809" s="143"/>
      <c r="AJ809" s="144"/>
    </row>
    <row r="810" spans="11:36">
      <c r="K810" s="85"/>
      <c r="L810" s="54" t="str">
        <f t="shared" si="71"/>
        <v/>
      </c>
      <c r="M810" s="38" t="str">
        <f t="shared" si="74"/>
        <v>0100</v>
      </c>
      <c r="N810" s="69">
        <f t="shared" si="73"/>
        <v>256</v>
      </c>
      <c r="O810" s="95"/>
      <c r="P810" s="96"/>
      <c r="Q810" s="97"/>
      <c r="R810" s="149"/>
      <c r="S810" s="153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2"/>
      <c r="AD810" s="143"/>
      <c r="AE810" s="143"/>
      <c r="AF810" s="143"/>
      <c r="AG810" s="143"/>
      <c r="AH810" s="143"/>
      <c r="AI810" s="143"/>
      <c r="AJ810" s="144"/>
    </row>
    <row r="811" spans="11:36">
      <c r="K811" s="85"/>
      <c r="L811" s="54" t="str">
        <f t="shared" si="71"/>
        <v/>
      </c>
      <c r="M811" s="38" t="str">
        <f t="shared" si="74"/>
        <v>0100</v>
      </c>
      <c r="N811" s="69">
        <f t="shared" si="73"/>
        <v>256</v>
      </c>
      <c r="O811" s="95"/>
      <c r="P811" s="96"/>
      <c r="Q811" s="97"/>
      <c r="R811" s="149"/>
      <c r="S811" s="153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2"/>
      <c r="AD811" s="143"/>
      <c r="AE811" s="143"/>
      <c r="AF811" s="143"/>
      <c r="AG811" s="143"/>
      <c r="AH811" s="143"/>
      <c r="AI811" s="143"/>
      <c r="AJ811" s="144"/>
    </row>
    <row r="812" spans="11:36">
      <c r="K812" s="85"/>
      <c r="L812" s="54" t="str">
        <f t="shared" si="71"/>
        <v/>
      </c>
      <c r="M812" s="38" t="str">
        <f t="shared" si="74"/>
        <v>0100</v>
      </c>
      <c r="N812" s="69">
        <f t="shared" si="73"/>
        <v>256</v>
      </c>
      <c r="O812" s="95"/>
      <c r="P812" s="96"/>
      <c r="Q812" s="97"/>
      <c r="R812" s="149"/>
      <c r="S812" s="153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2"/>
      <c r="AD812" s="143"/>
      <c r="AE812" s="143"/>
      <c r="AF812" s="143"/>
      <c r="AG812" s="143"/>
      <c r="AH812" s="143"/>
      <c r="AI812" s="143"/>
      <c r="AJ812" s="144"/>
    </row>
    <row r="813" spans="11:36">
      <c r="K813" s="85"/>
      <c r="L813" s="54" t="str">
        <f t="shared" si="71"/>
        <v/>
      </c>
      <c r="M813" s="38" t="str">
        <f t="shared" si="74"/>
        <v>0100</v>
      </c>
      <c r="N813" s="69">
        <f t="shared" si="73"/>
        <v>256</v>
      </c>
      <c r="O813" s="95"/>
      <c r="P813" s="96"/>
      <c r="Q813" s="97"/>
      <c r="R813" s="149"/>
      <c r="S813" s="153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2"/>
      <c r="AD813" s="143"/>
      <c r="AE813" s="143"/>
      <c r="AF813" s="143"/>
      <c r="AG813" s="143"/>
      <c r="AH813" s="143"/>
      <c r="AI813" s="143"/>
      <c r="AJ813" s="144"/>
    </row>
    <row r="814" spans="11:36">
      <c r="K814" s="85"/>
      <c r="L814" s="54" t="str">
        <f t="shared" si="71"/>
        <v/>
      </c>
      <c r="M814" s="38" t="str">
        <f t="shared" si="74"/>
        <v>0100</v>
      </c>
      <c r="N814" s="69">
        <f t="shared" si="73"/>
        <v>256</v>
      </c>
      <c r="O814" s="95"/>
      <c r="P814" s="96"/>
      <c r="Q814" s="97"/>
      <c r="R814" s="149"/>
      <c r="S814" s="153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2"/>
      <c r="AD814" s="143"/>
      <c r="AE814" s="143"/>
      <c r="AF814" s="143"/>
      <c r="AG814" s="143"/>
      <c r="AH814" s="143"/>
      <c r="AI814" s="143"/>
      <c r="AJ814" s="144"/>
    </row>
    <row r="815" spans="11:36">
      <c r="K815" s="85"/>
      <c r="L815" s="54" t="str">
        <f t="shared" si="71"/>
        <v/>
      </c>
      <c r="M815" s="38" t="str">
        <f t="shared" si="74"/>
        <v>0100</v>
      </c>
      <c r="N815" s="69">
        <f t="shared" si="73"/>
        <v>256</v>
      </c>
      <c r="O815" s="95"/>
      <c r="P815" s="96"/>
      <c r="Q815" s="97"/>
      <c r="R815" s="149"/>
      <c r="S815" s="153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2"/>
      <c r="AD815" s="143"/>
      <c r="AE815" s="143"/>
      <c r="AF815" s="143"/>
      <c r="AG815" s="143"/>
      <c r="AH815" s="143"/>
      <c r="AI815" s="143"/>
      <c r="AJ815" s="144"/>
    </row>
    <row r="816" spans="11:36">
      <c r="K816" s="85"/>
      <c r="L816" s="54" t="str">
        <f t="shared" si="71"/>
        <v/>
      </c>
      <c r="M816" s="38" t="str">
        <f t="shared" si="74"/>
        <v>0100</v>
      </c>
      <c r="N816" s="69">
        <f t="shared" si="73"/>
        <v>256</v>
      </c>
      <c r="O816" s="95"/>
      <c r="P816" s="96"/>
      <c r="Q816" s="97"/>
      <c r="R816" s="149"/>
      <c r="S816" s="153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2"/>
      <c r="AD816" s="143"/>
      <c r="AE816" s="143"/>
      <c r="AF816" s="143"/>
      <c r="AG816" s="143"/>
      <c r="AH816" s="143"/>
      <c r="AI816" s="143"/>
      <c r="AJ816" s="144"/>
    </row>
    <row r="817" spans="11:36">
      <c r="K817" s="85"/>
      <c r="L817" s="54" t="str">
        <f t="shared" si="71"/>
        <v/>
      </c>
      <c r="M817" s="38" t="str">
        <f t="shared" si="74"/>
        <v>0100</v>
      </c>
      <c r="N817" s="69">
        <f t="shared" si="73"/>
        <v>256</v>
      </c>
      <c r="O817" s="95"/>
      <c r="P817" s="96"/>
      <c r="Q817" s="97"/>
      <c r="R817" s="149"/>
      <c r="S817" s="153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2"/>
      <c r="AD817" s="143"/>
      <c r="AE817" s="143"/>
      <c r="AF817" s="143"/>
      <c r="AG817" s="143"/>
      <c r="AH817" s="143"/>
      <c r="AI817" s="143"/>
      <c r="AJ817" s="144"/>
    </row>
    <row r="818" spans="11:36">
      <c r="K818" s="85"/>
      <c r="L818" s="54" t="str">
        <f t="shared" si="71"/>
        <v/>
      </c>
      <c r="M818" s="38" t="str">
        <f t="shared" si="74"/>
        <v>0100</v>
      </c>
      <c r="N818" s="69">
        <f t="shared" si="73"/>
        <v>256</v>
      </c>
      <c r="O818" s="95"/>
      <c r="P818" s="96"/>
      <c r="Q818" s="97"/>
      <c r="R818" s="149"/>
      <c r="S818" s="153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2"/>
      <c r="AD818" s="143"/>
      <c r="AE818" s="143"/>
      <c r="AF818" s="143"/>
      <c r="AG818" s="143"/>
      <c r="AH818" s="143"/>
      <c r="AI818" s="143"/>
      <c r="AJ818" s="144"/>
    </row>
    <row r="819" spans="11:36">
      <c r="K819" s="85"/>
      <c r="L819" s="54" t="str">
        <f t="shared" si="71"/>
        <v/>
      </c>
      <c r="M819" s="38" t="str">
        <f t="shared" si="74"/>
        <v>0100</v>
      </c>
      <c r="N819" s="69">
        <f t="shared" si="73"/>
        <v>256</v>
      </c>
      <c r="O819" s="95"/>
      <c r="P819" s="96"/>
      <c r="Q819" s="97"/>
      <c r="R819" s="149"/>
      <c r="S819" s="153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2"/>
      <c r="AD819" s="143"/>
      <c r="AE819" s="143"/>
      <c r="AF819" s="143"/>
      <c r="AG819" s="143"/>
      <c r="AH819" s="143"/>
      <c r="AI819" s="143"/>
      <c r="AJ819" s="144"/>
    </row>
    <row r="820" spans="11:36">
      <c r="K820" s="85"/>
      <c r="L820" s="54" t="str">
        <f t="shared" si="71"/>
        <v/>
      </c>
      <c r="M820" s="38" t="str">
        <f t="shared" si="74"/>
        <v>0100</v>
      </c>
      <c r="N820" s="69">
        <f t="shared" si="73"/>
        <v>256</v>
      </c>
      <c r="O820" s="95"/>
      <c r="P820" s="96"/>
      <c r="Q820" s="97"/>
      <c r="R820" s="149"/>
      <c r="S820" s="153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2"/>
      <c r="AD820" s="143"/>
      <c r="AE820" s="143"/>
      <c r="AF820" s="143"/>
      <c r="AG820" s="143"/>
      <c r="AH820" s="143"/>
      <c r="AI820" s="143"/>
      <c r="AJ820" s="144"/>
    </row>
    <row r="821" spans="11:36">
      <c r="K821" s="85"/>
      <c r="L821" s="54" t="str">
        <f t="shared" si="71"/>
        <v/>
      </c>
      <c r="M821" s="38" t="str">
        <f t="shared" si="74"/>
        <v>0100</v>
      </c>
      <c r="N821" s="69">
        <f t="shared" si="73"/>
        <v>256</v>
      </c>
      <c r="O821" s="95"/>
      <c r="P821" s="96"/>
      <c r="Q821" s="97"/>
      <c r="R821" s="149"/>
      <c r="S821" s="153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2"/>
      <c r="AD821" s="143"/>
      <c r="AE821" s="143"/>
      <c r="AF821" s="143"/>
      <c r="AG821" s="143"/>
      <c r="AH821" s="143"/>
      <c r="AI821" s="143"/>
      <c r="AJ821" s="144"/>
    </row>
    <row r="822" spans="11:36">
      <c r="K822" s="85"/>
      <c r="L822" s="54" t="str">
        <f t="shared" si="71"/>
        <v/>
      </c>
      <c r="M822" s="38" t="str">
        <f t="shared" si="74"/>
        <v>0100</v>
      </c>
      <c r="N822" s="69">
        <f t="shared" si="73"/>
        <v>256</v>
      </c>
      <c r="O822" s="95"/>
      <c r="P822" s="96"/>
      <c r="Q822" s="97"/>
      <c r="R822" s="149"/>
      <c r="S822" s="153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2"/>
      <c r="AD822" s="143"/>
      <c r="AE822" s="143"/>
      <c r="AF822" s="143"/>
      <c r="AG822" s="143"/>
      <c r="AH822" s="143"/>
      <c r="AI822" s="143"/>
      <c r="AJ822" s="144"/>
    </row>
    <row r="823" spans="11:36">
      <c r="K823" s="85"/>
      <c r="L823" s="54" t="str">
        <f t="shared" si="71"/>
        <v/>
      </c>
      <c r="M823" s="38" t="str">
        <f t="shared" si="74"/>
        <v>0100</v>
      </c>
      <c r="N823" s="69">
        <f t="shared" si="73"/>
        <v>256</v>
      </c>
      <c r="O823" s="95"/>
      <c r="P823" s="96"/>
      <c r="Q823" s="97"/>
      <c r="R823" s="149"/>
      <c r="S823" s="153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2"/>
      <c r="AD823" s="143"/>
      <c r="AE823" s="143"/>
      <c r="AF823" s="143"/>
      <c r="AG823" s="143"/>
      <c r="AH823" s="143"/>
      <c r="AI823" s="143"/>
      <c r="AJ823" s="144"/>
    </row>
    <row r="824" spans="11:36">
      <c r="K824" s="85"/>
      <c r="L824" s="54" t="str">
        <f t="shared" si="71"/>
        <v/>
      </c>
      <c r="M824" s="38" t="str">
        <f t="shared" si="74"/>
        <v>0100</v>
      </c>
      <c r="N824" s="69">
        <f t="shared" si="73"/>
        <v>256</v>
      </c>
      <c r="O824" s="95"/>
      <c r="P824" s="96"/>
      <c r="Q824" s="97"/>
      <c r="R824" s="149"/>
      <c r="S824" s="153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2"/>
      <c r="AD824" s="143"/>
      <c r="AE824" s="143"/>
      <c r="AF824" s="143"/>
      <c r="AG824" s="143"/>
      <c r="AH824" s="143"/>
      <c r="AI824" s="143"/>
      <c r="AJ824" s="144"/>
    </row>
    <row r="825" spans="11:36">
      <c r="K825" s="85"/>
      <c r="L825" s="54" t="str">
        <f t="shared" si="71"/>
        <v/>
      </c>
      <c r="M825" s="38" t="str">
        <f t="shared" si="74"/>
        <v>0100</v>
      </c>
      <c r="N825" s="69">
        <f t="shared" si="73"/>
        <v>256</v>
      </c>
      <c r="O825" s="95"/>
      <c r="P825" s="96"/>
      <c r="Q825" s="97"/>
      <c r="R825" s="149"/>
      <c r="S825" s="153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2"/>
      <c r="AD825" s="143"/>
      <c r="AE825" s="143"/>
      <c r="AF825" s="143"/>
      <c r="AG825" s="143"/>
      <c r="AH825" s="143"/>
      <c r="AI825" s="143"/>
      <c r="AJ825" s="144"/>
    </row>
    <row r="826" spans="11:36">
      <c r="K826" s="85"/>
      <c r="L826" s="54" t="str">
        <f t="shared" si="71"/>
        <v/>
      </c>
      <c r="M826" s="38" t="str">
        <f t="shared" si="74"/>
        <v>0100</v>
      </c>
      <c r="N826" s="69">
        <f t="shared" si="73"/>
        <v>256</v>
      </c>
      <c r="O826" s="95"/>
      <c r="P826" s="96"/>
      <c r="Q826" s="97"/>
      <c r="R826" s="149"/>
      <c r="S826" s="153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2"/>
      <c r="AD826" s="143"/>
      <c r="AE826" s="143"/>
      <c r="AF826" s="143"/>
      <c r="AG826" s="143"/>
      <c r="AH826" s="143"/>
      <c r="AI826" s="143"/>
      <c r="AJ826" s="144"/>
    </row>
    <row r="827" spans="11:36">
      <c r="K827" s="85"/>
      <c r="L827" s="54" t="str">
        <f t="shared" si="71"/>
        <v/>
      </c>
      <c r="M827" s="38" t="str">
        <f t="shared" si="74"/>
        <v>0100</v>
      </c>
      <c r="N827" s="69">
        <f t="shared" si="73"/>
        <v>256</v>
      </c>
      <c r="O827" s="95"/>
      <c r="P827" s="96"/>
      <c r="Q827" s="97"/>
      <c r="R827" s="149"/>
      <c r="S827" s="153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2"/>
      <c r="AD827" s="143"/>
      <c r="AE827" s="143"/>
      <c r="AF827" s="143"/>
      <c r="AG827" s="143"/>
      <c r="AH827" s="143"/>
      <c r="AI827" s="143"/>
      <c r="AJ827" s="144"/>
    </row>
    <row r="828" spans="11:36">
      <c r="K828" s="85"/>
      <c r="L828" s="54" t="str">
        <f t="shared" si="71"/>
        <v/>
      </c>
      <c r="M828" s="38" t="str">
        <f t="shared" si="74"/>
        <v>0100</v>
      </c>
      <c r="N828" s="69">
        <f t="shared" si="73"/>
        <v>256</v>
      </c>
      <c r="O828" s="95"/>
      <c r="P828" s="96"/>
      <c r="Q828" s="97"/>
      <c r="R828" s="149"/>
      <c r="S828" s="153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2"/>
      <c r="AD828" s="143"/>
      <c r="AE828" s="143"/>
      <c r="AF828" s="143"/>
      <c r="AG828" s="143"/>
      <c r="AH828" s="143"/>
      <c r="AI828" s="143"/>
      <c r="AJ828" s="144"/>
    </row>
    <row r="829" spans="11:36">
      <c r="K829" s="85"/>
      <c r="L829" s="54" t="str">
        <f t="shared" si="71"/>
        <v/>
      </c>
      <c r="M829" s="38" t="str">
        <f t="shared" si="74"/>
        <v>0100</v>
      </c>
      <c r="N829" s="69">
        <f t="shared" si="73"/>
        <v>256</v>
      </c>
      <c r="O829" s="95"/>
      <c r="P829" s="96"/>
      <c r="Q829" s="97"/>
      <c r="R829" s="149"/>
      <c r="S829" s="153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2"/>
      <c r="AD829" s="143"/>
      <c r="AE829" s="143"/>
      <c r="AF829" s="143"/>
      <c r="AG829" s="143"/>
      <c r="AH829" s="143"/>
      <c r="AI829" s="143"/>
      <c r="AJ829" s="144"/>
    </row>
    <row r="830" spans="11:36">
      <c r="K830" s="85"/>
      <c r="L830" s="54" t="str">
        <f t="shared" si="71"/>
        <v/>
      </c>
      <c r="M830" s="38" t="str">
        <f t="shared" si="74"/>
        <v>0100</v>
      </c>
      <c r="N830" s="69">
        <f t="shared" si="73"/>
        <v>256</v>
      </c>
      <c r="O830" s="95"/>
      <c r="P830" s="96"/>
      <c r="Q830" s="97"/>
      <c r="R830" s="149"/>
      <c r="S830" s="153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2"/>
      <c r="AD830" s="143"/>
      <c r="AE830" s="143"/>
      <c r="AF830" s="143"/>
      <c r="AG830" s="143"/>
      <c r="AH830" s="143"/>
      <c r="AI830" s="143"/>
      <c r="AJ830" s="144"/>
    </row>
    <row r="831" spans="11:36">
      <c r="K831" s="85"/>
      <c r="L831" s="54" t="str">
        <f t="shared" si="71"/>
        <v/>
      </c>
      <c r="M831" s="38" t="str">
        <f t="shared" si="74"/>
        <v>0100</v>
      </c>
      <c r="N831" s="69">
        <f t="shared" si="73"/>
        <v>256</v>
      </c>
      <c r="O831" s="95"/>
      <c r="P831" s="96"/>
      <c r="Q831" s="97"/>
      <c r="R831" s="149"/>
      <c r="S831" s="153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2"/>
      <c r="AD831" s="143"/>
      <c r="AE831" s="143"/>
      <c r="AF831" s="143"/>
      <c r="AG831" s="143"/>
      <c r="AH831" s="143"/>
      <c r="AI831" s="143"/>
      <c r="AJ831" s="144"/>
    </row>
    <row r="832" spans="11:36">
      <c r="K832" s="85"/>
      <c r="L832" s="54" t="str">
        <f t="shared" si="71"/>
        <v/>
      </c>
      <c r="M832" s="38" t="str">
        <f t="shared" si="74"/>
        <v>0100</v>
      </c>
      <c r="N832" s="69">
        <f t="shared" si="73"/>
        <v>256</v>
      </c>
      <c r="O832" s="95"/>
      <c r="P832" s="96"/>
      <c r="Q832" s="97"/>
      <c r="R832" s="149"/>
      <c r="S832" s="153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2"/>
      <c r="AD832" s="143"/>
      <c r="AE832" s="143"/>
      <c r="AF832" s="143"/>
      <c r="AG832" s="143"/>
      <c r="AH832" s="143"/>
      <c r="AI832" s="143"/>
      <c r="AJ832" s="144"/>
    </row>
    <row r="833" spans="11:36">
      <c r="K833" s="85"/>
      <c r="L833" s="54" t="str">
        <f t="shared" si="71"/>
        <v/>
      </c>
      <c r="M833" s="38" t="str">
        <f t="shared" si="74"/>
        <v>0100</v>
      </c>
      <c r="N833" s="69">
        <f t="shared" si="73"/>
        <v>256</v>
      </c>
      <c r="O833" s="95"/>
      <c r="P833" s="96"/>
      <c r="Q833" s="97"/>
      <c r="R833" s="149"/>
      <c r="S833" s="153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2"/>
      <c r="AD833" s="143"/>
      <c r="AE833" s="143"/>
      <c r="AF833" s="143"/>
      <c r="AG833" s="143"/>
      <c r="AH833" s="143"/>
      <c r="AI833" s="143"/>
      <c r="AJ833" s="144"/>
    </row>
    <row r="834" spans="11:36">
      <c r="K834" s="85"/>
      <c r="L834" s="54" t="str">
        <f t="shared" si="71"/>
        <v/>
      </c>
      <c r="M834" s="38" t="str">
        <f t="shared" si="74"/>
        <v>0100</v>
      </c>
      <c r="N834" s="69">
        <f t="shared" si="73"/>
        <v>256</v>
      </c>
      <c r="O834" s="95"/>
      <c r="P834" s="96"/>
      <c r="Q834" s="97"/>
      <c r="R834" s="149"/>
      <c r="S834" s="153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2"/>
      <c r="AD834" s="143"/>
      <c r="AE834" s="143"/>
      <c r="AF834" s="143"/>
      <c r="AG834" s="143"/>
      <c r="AH834" s="143"/>
      <c r="AI834" s="143"/>
      <c r="AJ834" s="144"/>
    </row>
    <row r="835" spans="11:36">
      <c r="K835" s="85"/>
      <c r="L835" s="54" t="str">
        <f t="shared" si="71"/>
        <v/>
      </c>
      <c r="M835" s="38" t="str">
        <f t="shared" si="74"/>
        <v>0100</v>
      </c>
      <c r="N835" s="69">
        <f t="shared" si="73"/>
        <v>256</v>
      </c>
      <c r="O835" s="95"/>
      <c r="P835" s="96"/>
      <c r="Q835" s="97"/>
      <c r="R835" s="149"/>
      <c r="S835" s="153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2"/>
      <c r="AD835" s="143"/>
      <c r="AE835" s="143"/>
      <c r="AF835" s="143"/>
      <c r="AG835" s="143"/>
      <c r="AH835" s="143"/>
      <c r="AI835" s="143"/>
      <c r="AJ835" s="144"/>
    </row>
    <row r="836" spans="11:36">
      <c r="K836" s="85"/>
      <c r="L836" s="54" t="str">
        <f t="shared" si="71"/>
        <v/>
      </c>
      <c r="M836" s="38" t="str">
        <f t="shared" si="74"/>
        <v>0100</v>
      </c>
      <c r="N836" s="69">
        <f t="shared" si="73"/>
        <v>256</v>
      </c>
      <c r="O836" s="95"/>
      <c r="P836" s="96"/>
      <c r="Q836" s="97"/>
      <c r="R836" s="149"/>
      <c r="S836" s="153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2"/>
      <c r="AD836" s="143"/>
      <c r="AE836" s="143"/>
      <c r="AF836" s="143"/>
      <c r="AG836" s="143"/>
      <c r="AH836" s="143"/>
      <c r="AI836" s="143"/>
      <c r="AJ836" s="144"/>
    </row>
    <row r="837" spans="11:36">
      <c r="K837" s="85"/>
      <c r="L837" s="54" t="str">
        <f t="shared" si="71"/>
        <v/>
      </c>
      <c r="M837" s="38" t="str">
        <f t="shared" si="74"/>
        <v>0100</v>
      </c>
      <c r="N837" s="69">
        <f t="shared" si="73"/>
        <v>256</v>
      </c>
      <c r="O837" s="95"/>
      <c r="P837" s="96"/>
      <c r="Q837" s="97"/>
      <c r="R837" s="149"/>
      <c r="S837" s="153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2"/>
      <c r="AD837" s="143"/>
      <c r="AE837" s="143"/>
      <c r="AF837" s="143"/>
      <c r="AG837" s="143"/>
      <c r="AH837" s="143"/>
      <c r="AI837" s="143"/>
      <c r="AJ837" s="144"/>
    </row>
    <row r="838" spans="11:36">
      <c r="K838" s="85"/>
      <c r="L838" s="54" t="str">
        <f t="shared" si="71"/>
        <v/>
      </c>
      <c r="M838" s="38" t="str">
        <f t="shared" si="74"/>
        <v>0100</v>
      </c>
      <c r="N838" s="69">
        <f t="shared" si="73"/>
        <v>256</v>
      </c>
      <c r="O838" s="95"/>
      <c r="P838" s="96"/>
      <c r="Q838" s="97"/>
      <c r="R838" s="149"/>
      <c r="S838" s="153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2"/>
      <c r="AD838" s="143"/>
      <c r="AE838" s="143"/>
      <c r="AF838" s="143"/>
      <c r="AG838" s="143"/>
      <c r="AH838" s="143"/>
      <c r="AI838" s="143"/>
      <c r="AJ838" s="144"/>
    </row>
    <row r="839" spans="11:36">
      <c r="K839" s="85"/>
      <c r="L839" s="54" t="str">
        <f t="shared" si="71"/>
        <v/>
      </c>
      <c r="M839" s="38" t="str">
        <f t="shared" si="74"/>
        <v>0100</v>
      </c>
      <c r="N839" s="69">
        <f t="shared" si="73"/>
        <v>256</v>
      </c>
      <c r="O839" s="95"/>
      <c r="P839" s="96"/>
      <c r="Q839" s="97"/>
      <c r="R839" s="149"/>
      <c r="S839" s="153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2"/>
      <c r="AD839" s="143"/>
      <c r="AE839" s="143"/>
      <c r="AF839" s="143"/>
      <c r="AG839" s="143"/>
      <c r="AH839" s="143"/>
      <c r="AI839" s="143"/>
      <c r="AJ839" s="144"/>
    </row>
    <row r="840" spans="11:36">
      <c r="K840" s="85"/>
      <c r="L840" s="54" t="str">
        <f t="shared" si="71"/>
        <v/>
      </c>
      <c r="M840" s="38" t="str">
        <f t="shared" si="74"/>
        <v>0100</v>
      </c>
      <c r="N840" s="69">
        <f t="shared" si="73"/>
        <v>256</v>
      </c>
      <c r="O840" s="95"/>
      <c r="P840" s="96"/>
      <c r="Q840" s="97"/>
      <c r="R840" s="149"/>
      <c r="S840" s="153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2"/>
      <c r="AD840" s="143"/>
      <c r="AE840" s="143"/>
      <c r="AF840" s="143"/>
      <c r="AG840" s="143"/>
      <c r="AH840" s="143"/>
      <c r="AI840" s="143"/>
      <c r="AJ840" s="144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0100</v>
      </c>
      <c r="N841" s="69">
        <f t="shared" si="73"/>
        <v>256</v>
      </c>
      <c r="O841" s="95"/>
      <c r="P841" s="96"/>
      <c r="Q841" s="97"/>
      <c r="R841" s="149"/>
      <c r="S841" s="153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2"/>
      <c r="AD841" s="143"/>
      <c r="AE841" s="143"/>
      <c r="AF841" s="143"/>
      <c r="AG841" s="143"/>
      <c r="AH841" s="143"/>
      <c r="AI841" s="143"/>
      <c r="AJ841" s="144"/>
    </row>
    <row r="842" spans="11:36">
      <c r="K842" s="85"/>
      <c r="L842" s="54" t="str">
        <f t="shared" si="75"/>
        <v/>
      </c>
      <c r="M842" s="38" t="str">
        <f t="shared" si="74"/>
        <v>0100</v>
      </c>
      <c r="N842" s="69">
        <f t="shared" ref="N842:N905" si="77">N841+S841</f>
        <v>256</v>
      </c>
      <c r="O842" s="95"/>
      <c r="P842" s="96"/>
      <c r="Q842" s="97"/>
      <c r="R842" s="149"/>
      <c r="S842" s="153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2"/>
      <c r="AD842" s="143"/>
      <c r="AE842" s="143"/>
      <c r="AF842" s="143"/>
      <c r="AG842" s="143"/>
      <c r="AH842" s="143"/>
      <c r="AI842" s="143"/>
      <c r="AJ842" s="144"/>
    </row>
    <row r="843" spans="11:36">
      <c r="K843" s="85"/>
      <c r="L843" s="54" t="str">
        <f t="shared" si="75"/>
        <v/>
      </c>
      <c r="M843" s="38" t="str">
        <f t="shared" si="74"/>
        <v>0100</v>
      </c>
      <c r="N843" s="69">
        <f t="shared" si="77"/>
        <v>256</v>
      </c>
      <c r="O843" s="95"/>
      <c r="P843" s="96"/>
      <c r="Q843" s="97"/>
      <c r="R843" s="149"/>
      <c r="S843" s="153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2"/>
      <c r="AD843" s="143"/>
      <c r="AE843" s="143"/>
      <c r="AF843" s="143"/>
      <c r="AG843" s="143"/>
      <c r="AH843" s="143"/>
      <c r="AI843" s="143"/>
      <c r="AJ843" s="144"/>
    </row>
    <row r="844" spans="11:36">
      <c r="K844" s="85"/>
      <c r="L844" s="54" t="str">
        <f t="shared" si="75"/>
        <v/>
      </c>
      <c r="M844" s="38" t="str">
        <f t="shared" si="74"/>
        <v>0100</v>
      </c>
      <c r="N844" s="69">
        <f t="shared" si="77"/>
        <v>256</v>
      </c>
      <c r="O844" s="95"/>
      <c r="P844" s="96"/>
      <c r="Q844" s="97"/>
      <c r="R844" s="149"/>
      <c r="S844" s="153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2"/>
      <c r="AD844" s="143"/>
      <c r="AE844" s="143"/>
      <c r="AF844" s="143"/>
      <c r="AG844" s="143"/>
      <c r="AH844" s="143"/>
      <c r="AI844" s="143"/>
      <c r="AJ844" s="144"/>
    </row>
    <row r="845" spans="11:36">
      <c r="K845" s="85"/>
      <c r="L845" s="54" t="str">
        <f t="shared" si="75"/>
        <v/>
      </c>
      <c r="M845" s="38" t="str">
        <f t="shared" si="74"/>
        <v>0100</v>
      </c>
      <c r="N845" s="69">
        <f t="shared" si="77"/>
        <v>256</v>
      </c>
      <c r="O845" s="95"/>
      <c r="P845" s="96"/>
      <c r="Q845" s="97"/>
      <c r="R845" s="149"/>
      <c r="S845" s="153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2"/>
      <c r="AD845" s="143"/>
      <c r="AE845" s="143"/>
      <c r="AF845" s="143"/>
      <c r="AG845" s="143"/>
      <c r="AH845" s="143"/>
      <c r="AI845" s="143"/>
      <c r="AJ845" s="144"/>
    </row>
    <row r="846" spans="11:36">
      <c r="K846" s="85"/>
      <c r="L846" s="54" t="str">
        <f t="shared" si="75"/>
        <v/>
      </c>
      <c r="M846" s="38" t="str">
        <f t="shared" si="74"/>
        <v>0100</v>
      </c>
      <c r="N846" s="69">
        <f t="shared" si="77"/>
        <v>256</v>
      </c>
      <c r="O846" s="95"/>
      <c r="P846" s="96"/>
      <c r="Q846" s="97"/>
      <c r="R846" s="149"/>
      <c r="S846" s="153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2"/>
      <c r="AD846" s="143"/>
      <c r="AE846" s="143"/>
      <c r="AF846" s="143"/>
      <c r="AG846" s="143"/>
      <c r="AH846" s="143"/>
      <c r="AI846" s="143"/>
      <c r="AJ846" s="144"/>
    </row>
    <row r="847" spans="11:36">
      <c r="K847" s="85"/>
      <c r="L847" s="54" t="str">
        <f t="shared" si="75"/>
        <v/>
      </c>
      <c r="M847" s="38" t="str">
        <f t="shared" si="74"/>
        <v>0100</v>
      </c>
      <c r="N847" s="69">
        <f t="shared" si="77"/>
        <v>256</v>
      </c>
      <c r="O847" s="95"/>
      <c r="P847" s="96"/>
      <c r="Q847" s="97"/>
      <c r="R847" s="149"/>
      <c r="S847" s="153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2"/>
      <c r="AD847" s="143"/>
      <c r="AE847" s="143"/>
      <c r="AF847" s="143"/>
      <c r="AG847" s="143"/>
      <c r="AH847" s="143"/>
      <c r="AI847" s="143"/>
      <c r="AJ847" s="144"/>
    </row>
    <row r="848" spans="11:36">
      <c r="K848" s="85"/>
      <c r="L848" s="54" t="str">
        <f t="shared" si="75"/>
        <v/>
      </c>
      <c r="M848" s="38" t="str">
        <f t="shared" si="74"/>
        <v>0100</v>
      </c>
      <c r="N848" s="69">
        <f t="shared" si="77"/>
        <v>256</v>
      </c>
      <c r="O848" s="95"/>
      <c r="P848" s="96"/>
      <c r="Q848" s="97"/>
      <c r="R848" s="149"/>
      <c r="S848" s="153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2"/>
      <c r="AD848" s="143"/>
      <c r="AE848" s="143"/>
      <c r="AF848" s="143"/>
      <c r="AG848" s="143"/>
      <c r="AH848" s="143"/>
      <c r="AI848" s="143"/>
      <c r="AJ848" s="144"/>
    </row>
    <row r="849" spans="11:36">
      <c r="K849" s="85"/>
      <c r="L849" s="54" t="str">
        <f t="shared" si="75"/>
        <v/>
      </c>
      <c r="M849" s="38" t="str">
        <f t="shared" si="74"/>
        <v>0100</v>
      </c>
      <c r="N849" s="69">
        <f t="shared" si="77"/>
        <v>256</v>
      </c>
      <c r="O849" s="95"/>
      <c r="P849" s="96"/>
      <c r="Q849" s="97"/>
      <c r="R849" s="149"/>
      <c r="S849" s="153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2"/>
      <c r="AD849" s="143"/>
      <c r="AE849" s="143"/>
      <c r="AF849" s="143"/>
      <c r="AG849" s="143"/>
      <c r="AH849" s="143"/>
      <c r="AI849" s="143"/>
      <c r="AJ849" s="144"/>
    </row>
    <row r="850" spans="11:36">
      <c r="K850" s="85"/>
      <c r="L850" s="54" t="str">
        <f t="shared" si="75"/>
        <v/>
      </c>
      <c r="M850" s="38" t="str">
        <f t="shared" si="74"/>
        <v>0100</v>
      </c>
      <c r="N850" s="69">
        <f t="shared" si="77"/>
        <v>256</v>
      </c>
      <c r="O850" s="95"/>
      <c r="P850" s="96"/>
      <c r="Q850" s="97"/>
      <c r="R850" s="149"/>
      <c r="S850" s="153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2"/>
      <c r="AD850" s="143"/>
      <c r="AE850" s="143"/>
      <c r="AF850" s="143"/>
      <c r="AG850" s="143"/>
      <c r="AH850" s="143"/>
      <c r="AI850" s="143"/>
      <c r="AJ850" s="144"/>
    </row>
    <row r="851" spans="11:36">
      <c r="K851" s="85"/>
      <c r="L851" s="54" t="str">
        <f t="shared" si="75"/>
        <v/>
      </c>
      <c r="M851" s="38" t="str">
        <f t="shared" si="74"/>
        <v>0100</v>
      </c>
      <c r="N851" s="69">
        <f t="shared" si="77"/>
        <v>256</v>
      </c>
      <c r="O851" s="95"/>
      <c r="P851" s="96"/>
      <c r="Q851" s="97"/>
      <c r="R851" s="149"/>
      <c r="S851" s="153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2"/>
      <c r="AD851" s="143"/>
      <c r="AE851" s="143"/>
      <c r="AF851" s="143"/>
      <c r="AG851" s="143"/>
      <c r="AH851" s="143"/>
      <c r="AI851" s="143"/>
      <c r="AJ851" s="144"/>
    </row>
    <row r="852" spans="11:36">
      <c r="K852" s="85"/>
      <c r="L852" s="54" t="str">
        <f t="shared" si="75"/>
        <v/>
      </c>
      <c r="M852" s="38" t="str">
        <f t="shared" si="74"/>
        <v>0100</v>
      </c>
      <c r="N852" s="69">
        <f t="shared" si="77"/>
        <v>256</v>
      </c>
      <c r="O852" s="95"/>
      <c r="P852" s="96"/>
      <c r="Q852" s="97"/>
      <c r="R852" s="149"/>
      <c r="S852" s="153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2"/>
      <c r="AD852" s="143"/>
      <c r="AE852" s="143"/>
      <c r="AF852" s="143"/>
      <c r="AG852" s="143"/>
      <c r="AH852" s="143"/>
      <c r="AI852" s="143"/>
      <c r="AJ852" s="144"/>
    </row>
    <row r="853" spans="11:36">
      <c r="K853" s="85"/>
      <c r="L853" s="54" t="str">
        <f t="shared" si="75"/>
        <v/>
      </c>
      <c r="M853" s="38" t="str">
        <f t="shared" si="74"/>
        <v>0100</v>
      </c>
      <c r="N853" s="69">
        <f t="shared" si="77"/>
        <v>256</v>
      </c>
      <c r="O853" s="95"/>
      <c r="P853" s="96"/>
      <c r="Q853" s="97"/>
      <c r="R853" s="149"/>
      <c r="S853" s="153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2"/>
      <c r="AD853" s="143"/>
      <c r="AE853" s="143"/>
      <c r="AF853" s="143"/>
      <c r="AG853" s="143"/>
      <c r="AH853" s="143"/>
      <c r="AI853" s="143"/>
      <c r="AJ853" s="144"/>
    </row>
    <row r="854" spans="11:36">
      <c r="K854" s="85"/>
      <c r="L854" s="54" t="str">
        <f t="shared" si="75"/>
        <v/>
      </c>
      <c r="M854" s="38" t="str">
        <f t="shared" si="74"/>
        <v>0100</v>
      </c>
      <c r="N854" s="69">
        <f t="shared" si="77"/>
        <v>256</v>
      </c>
      <c r="O854" s="95"/>
      <c r="P854" s="96"/>
      <c r="Q854" s="97"/>
      <c r="R854" s="149"/>
      <c r="S854" s="153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2"/>
      <c r="AD854" s="143"/>
      <c r="AE854" s="143"/>
      <c r="AF854" s="143"/>
      <c r="AG854" s="143"/>
      <c r="AH854" s="143"/>
      <c r="AI854" s="143"/>
      <c r="AJ854" s="144"/>
    </row>
    <row r="855" spans="11:36">
      <c r="K855" s="85"/>
      <c r="L855" s="54" t="str">
        <f t="shared" si="75"/>
        <v/>
      </c>
      <c r="M855" s="38" t="str">
        <f t="shared" si="74"/>
        <v>0100</v>
      </c>
      <c r="N855" s="69">
        <f t="shared" si="77"/>
        <v>256</v>
      </c>
      <c r="O855" s="95"/>
      <c r="P855" s="96"/>
      <c r="Q855" s="97"/>
      <c r="R855" s="149"/>
      <c r="S855" s="153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2"/>
      <c r="AD855" s="143"/>
      <c r="AE855" s="143"/>
      <c r="AF855" s="143"/>
      <c r="AG855" s="143"/>
      <c r="AH855" s="143"/>
      <c r="AI855" s="143"/>
      <c r="AJ855" s="144"/>
    </row>
    <row r="856" spans="11:36">
      <c r="K856" s="85"/>
      <c r="L856" s="54" t="str">
        <f t="shared" si="75"/>
        <v/>
      </c>
      <c r="M856" s="38" t="str">
        <f t="shared" si="74"/>
        <v>0100</v>
      </c>
      <c r="N856" s="69">
        <f t="shared" si="77"/>
        <v>256</v>
      </c>
      <c r="O856" s="95"/>
      <c r="P856" s="96"/>
      <c r="Q856" s="97"/>
      <c r="R856" s="149"/>
      <c r="S856" s="153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2"/>
      <c r="AD856" s="143"/>
      <c r="AE856" s="143"/>
      <c r="AF856" s="143"/>
      <c r="AG856" s="143"/>
      <c r="AH856" s="143"/>
      <c r="AI856" s="143"/>
      <c r="AJ856" s="144"/>
    </row>
    <row r="857" spans="11:36">
      <c r="K857" s="85"/>
      <c r="L857" s="54" t="str">
        <f t="shared" si="75"/>
        <v/>
      </c>
      <c r="M857" s="38" t="str">
        <f t="shared" si="74"/>
        <v>0100</v>
      </c>
      <c r="N857" s="69">
        <f t="shared" si="77"/>
        <v>256</v>
      </c>
      <c r="O857" s="95"/>
      <c r="P857" s="96"/>
      <c r="Q857" s="97"/>
      <c r="R857" s="149"/>
      <c r="S857" s="153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2"/>
      <c r="AD857" s="143"/>
      <c r="AE857" s="143"/>
      <c r="AF857" s="143"/>
      <c r="AG857" s="143"/>
      <c r="AH857" s="143"/>
      <c r="AI857" s="143"/>
      <c r="AJ857" s="144"/>
    </row>
    <row r="858" spans="11:36">
      <c r="K858" s="85"/>
      <c r="L858" s="54" t="str">
        <f t="shared" si="75"/>
        <v/>
      </c>
      <c r="M858" s="38" t="str">
        <f t="shared" si="74"/>
        <v>0100</v>
      </c>
      <c r="N858" s="69">
        <f t="shared" si="77"/>
        <v>256</v>
      </c>
      <c r="O858" s="95"/>
      <c r="P858" s="96"/>
      <c r="Q858" s="97"/>
      <c r="R858" s="149"/>
      <c r="S858" s="153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2"/>
      <c r="AD858" s="143"/>
      <c r="AE858" s="143"/>
      <c r="AF858" s="143"/>
      <c r="AG858" s="143"/>
      <c r="AH858" s="143"/>
      <c r="AI858" s="143"/>
      <c r="AJ858" s="144"/>
    </row>
    <row r="859" spans="11:36">
      <c r="K859" s="85"/>
      <c r="L859" s="54" t="str">
        <f t="shared" si="75"/>
        <v/>
      </c>
      <c r="M859" s="38" t="str">
        <f t="shared" si="74"/>
        <v>0100</v>
      </c>
      <c r="N859" s="69">
        <f t="shared" si="77"/>
        <v>256</v>
      </c>
      <c r="O859" s="95"/>
      <c r="P859" s="96"/>
      <c r="Q859" s="97"/>
      <c r="R859" s="149"/>
      <c r="S859" s="153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2"/>
      <c r="AD859" s="143"/>
      <c r="AE859" s="143"/>
      <c r="AF859" s="143"/>
      <c r="AG859" s="143"/>
      <c r="AH859" s="143"/>
      <c r="AI859" s="143"/>
      <c r="AJ859" s="144"/>
    </row>
    <row r="860" spans="11:36">
      <c r="K860" s="85"/>
      <c r="L860" s="54" t="str">
        <f t="shared" si="75"/>
        <v/>
      </c>
      <c r="M860" s="38" t="str">
        <f t="shared" si="74"/>
        <v>0100</v>
      </c>
      <c r="N860" s="69">
        <f t="shared" si="77"/>
        <v>256</v>
      </c>
      <c r="O860" s="95"/>
      <c r="P860" s="96"/>
      <c r="Q860" s="97"/>
      <c r="R860" s="149"/>
      <c r="S860" s="153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2"/>
      <c r="AD860" s="143"/>
      <c r="AE860" s="143"/>
      <c r="AF860" s="143"/>
      <c r="AG860" s="143"/>
      <c r="AH860" s="143"/>
      <c r="AI860" s="143"/>
      <c r="AJ860" s="144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0100</v>
      </c>
      <c r="N861" s="69">
        <f t="shared" si="77"/>
        <v>256</v>
      </c>
      <c r="O861" s="95"/>
      <c r="P861" s="96"/>
      <c r="Q861" s="97"/>
      <c r="R861" s="149"/>
      <c r="S861" s="153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2"/>
      <c r="AD861" s="143"/>
      <c r="AE861" s="143"/>
      <c r="AF861" s="143"/>
      <c r="AG861" s="143"/>
      <c r="AH861" s="143"/>
      <c r="AI861" s="143"/>
      <c r="AJ861" s="144"/>
    </row>
    <row r="862" spans="11:36">
      <c r="K862" s="85"/>
      <c r="L862" s="54" t="str">
        <f t="shared" si="75"/>
        <v/>
      </c>
      <c r="M862" s="38" t="str">
        <f t="shared" si="78"/>
        <v>0100</v>
      </c>
      <c r="N862" s="69">
        <f t="shared" si="77"/>
        <v>256</v>
      </c>
      <c r="O862" s="95"/>
      <c r="P862" s="96"/>
      <c r="Q862" s="97"/>
      <c r="R862" s="149"/>
      <c r="S862" s="153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2"/>
      <c r="AD862" s="143"/>
      <c r="AE862" s="143"/>
      <c r="AF862" s="143"/>
      <c r="AG862" s="143"/>
      <c r="AH862" s="143"/>
      <c r="AI862" s="143"/>
      <c r="AJ862" s="144"/>
    </row>
    <row r="863" spans="11:36">
      <c r="K863" s="85"/>
      <c r="L863" s="54" t="str">
        <f t="shared" si="75"/>
        <v/>
      </c>
      <c r="M863" s="38" t="str">
        <f t="shared" si="78"/>
        <v>0100</v>
      </c>
      <c r="N863" s="69">
        <f t="shared" si="77"/>
        <v>256</v>
      </c>
      <c r="O863" s="95"/>
      <c r="P863" s="96"/>
      <c r="Q863" s="97"/>
      <c r="R863" s="149"/>
      <c r="S863" s="153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2"/>
      <c r="AD863" s="143"/>
      <c r="AE863" s="143"/>
      <c r="AF863" s="143"/>
      <c r="AG863" s="143"/>
      <c r="AH863" s="143"/>
      <c r="AI863" s="143"/>
      <c r="AJ863" s="144"/>
    </row>
    <row r="864" spans="11:36">
      <c r="K864" s="85"/>
      <c r="L864" s="54" t="str">
        <f t="shared" si="75"/>
        <v/>
      </c>
      <c r="M864" s="38" t="str">
        <f t="shared" si="78"/>
        <v>0100</v>
      </c>
      <c r="N864" s="69">
        <f t="shared" si="77"/>
        <v>256</v>
      </c>
      <c r="O864" s="95"/>
      <c r="P864" s="96"/>
      <c r="Q864" s="97"/>
      <c r="R864" s="149"/>
      <c r="S864" s="153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2"/>
      <c r="AD864" s="143"/>
      <c r="AE864" s="143"/>
      <c r="AF864" s="143"/>
      <c r="AG864" s="143"/>
      <c r="AH864" s="143"/>
      <c r="AI864" s="143"/>
      <c r="AJ864" s="144"/>
    </row>
    <row r="865" spans="11:36">
      <c r="K865" s="85"/>
      <c r="L865" s="54" t="str">
        <f t="shared" si="75"/>
        <v/>
      </c>
      <c r="M865" s="38" t="str">
        <f t="shared" si="78"/>
        <v>0100</v>
      </c>
      <c r="N865" s="69">
        <f t="shared" si="77"/>
        <v>256</v>
      </c>
      <c r="O865" s="95"/>
      <c r="P865" s="96"/>
      <c r="Q865" s="97"/>
      <c r="R865" s="149"/>
      <c r="S865" s="153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2"/>
      <c r="AD865" s="143"/>
      <c r="AE865" s="143"/>
      <c r="AF865" s="143"/>
      <c r="AG865" s="143"/>
      <c r="AH865" s="143"/>
      <c r="AI865" s="143"/>
      <c r="AJ865" s="144"/>
    </row>
    <row r="866" spans="11:36">
      <c r="K866" s="85"/>
      <c r="L866" s="54" t="str">
        <f t="shared" si="75"/>
        <v/>
      </c>
      <c r="M866" s="38" t="str">
        <f t="shared" si="78"/>
        <v>0100</v>
      </c>
      <c r="N866" s="69">
        <f t="shared" si="77"/>
        <v>256</v>
      </c>
      <c r="O866" s="95"/>
      <c r="P866" s="96"/>
      <c r="Q866" s="97"/>
      <c r="R866" s="149"/>
      <c r="S866" s="153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2"/>
      <c r="AD866" s="143"/>
      <c r="AE866" s="143"/>
      <c r="AF866" s="143"/>
      <c r="AG866" s="143"/>
      <c r="AH866" s="143"/>
      <c r="AI866" s="143"/>
      <c r="AJ866" s="144"/>
    </row>
    <row r="867" spans="11:36">
      <c r="K867" s="85"/>
      <c r="L867" s="54" t="str">
        <f t="shared" si="75"/>
        <v/>
      </c>
      <c r="M867" s="38" t="str">
        <f t="shared" si="78"/>
        <v>0100</v>
      </c>
      <c r="N867" s="69">
        <f t="shared" si="77"/>
        <v>256</v>
      </c>
      <c r="O867" s="95"/>
      <c r="P867" s="96"/>
      <c r="Q867" s="97"/>
      <c r="R867" s="149"/>
      <c r="S867" s="153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2"/>
      <c r="AD867" s="143"/>
      <c r="AE867" s="143"/>
      <c r="AF867" s="143"/>
      <c r="AG867" s="143"/>
      <c r="AH867" s="143"/>
      <c r="AI867" s="143"/>
      <c r="AJ867" s="144"/>
    </row>
    <row r="868" spans="11:36">
      <c r="K868" s="85"/>
      <c r="L868" s="54" t="str">
        <f t="shared" si="75"/>
        <v/>
      </c>
      <c r="M868" s="38" t="str">
        <f t="shared" si="78"/>
        <v>0100</v>
      </c>
      <c r="N868" s="69">
        <f t="shared" si="77"/>
        <v>256</v>
      </c>
      <c r="O868" s="95"/>
      <c r="P868" s="96"/>
      <c r="Q868" s="97"/>
      <c r="R868" s="149"/>
      <c r="S868" s="153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2"/>
      <c r="AD868" s="143"/>
      <c r="AE868" s="143"/>
      <c r="AF868" s="143"/>
      <c r="AG868" s="143"/>
      <c r="AH868" s="143"/>
      <c r="AI868" s="143"/>
      <c r="AJ868" s="144"/>
    </row>
    <row r="869" spans="11:36">
      <c r="K869" s="85"/>
      <c r="L869" s="54" t="str">
        <f t="shared" si="75"/>
        <v/>
      </c>
      <c r="M869" s="38" t="str">
        <f t="shared" si="78"/>
        <v>0100</v>
      </c>
      <c r="N869" s="69">
        <f t="shared" si="77"/>
        <v>256</v>
      </c>
      <c r="O869" s="95"/>
      <c r="P869" s="96"/>
      <c r="Q869" s="97"/>
      <c r="R869" s="149"/>
      <c r="S869" s="153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2"/>
      <c r="AD869" s="143"/>
      <c r="AE869" s="143"/>
      <c r="AF869" s="143"/>
      <c r="AG869" s="143"/>
      <c r="AH869" s="143"/>
      <c r="AI869" s="143"/>
      <c r="AJ869" s="144"/>
    </row>
    <row r="870" spans="11:36">
      <c r="K870" s="85"/>
      <c r="L870" s="54" t="str">
        <f t="shared" si="75"/>
        <v/>
      </c>
      <c r="M870" s="38" t="str">
        <f t="shared" si="78"/>
        <v>0100</v>
      </c>
      <c r="N870" s="69">
        <f t="shared" si="77"/>
        <v>256</v>
      </c>
      <c r="O870" s="95"/>
      <c r="P870" s="96"/>
      <c r="Q870" s="97"/>
      <c r="R870" s="149"/>
      <c r="S870" s="153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2"/>
      <c r="AD870" s="143"/>
      <c r="AE870" s="143"/>
      <c r="AF870" s="143"/>
      <c r="AG870" s="143"/>
      <c r="AH870" s="143"/>
      <c r="AI870" s="143"/>
      <c r="AJ870" s="144"/>
    </row>
    <row r="871" spans="11:36">
      <c r="K871" s="85"/>
      <c r="L871" s="54" t="str">
        <f t="shared" si="75"/>
        <v/>
      </c>
      <c r="M871" s="38" t="str">
        <f t="shared" si="78"/>
        <v>0100</v>
      </c>
      <c r="N871" s="69">
        <f t="shared" si="77"/>
        <v>256</v>
      </c>
      <c r="O871" s="95"/>
      <c r="P871" s="96"/>
      <c r="Q871" s="97"/>
      <c r="R871" s="149"/>
      <c r="S871" s="153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2"/>
      <c r="AD871" s="143"/>
      <c r="AE871" s="143"/>
      <c r="AF871" s="143"/>
      <c r="AG871" s="143"/>
      <c r="AH871" s="143"/>
      <c r="AI871" s="143"/>
      <c r="AJ871" s="144"/>
    </row>
    <row r="872" spans="11:36">
      <c r="K872" s="85"/>
      <c r="L872" s="54" t="str">
        <f t="shared" si="75"/>
        <v/>
      </c>
      <c r="M872" s="38" t="str">
        <f t="shared" si="78"/>
        <v>0100</v>
      </c>
      <c r="N872" s="69">
        <f t="shared" si="77"/>
        <v>256</v>
      </c>
      <c r="O872" s="95"/>
      <c r="P872" s="96"/>
      <c r="Q872" s="97"/>
      <c r="R872" s="149"/>
      <c r="S872" s="153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2"/>
      <c r="AD872" s="143"/>
      <c r="AE872" s="143"/>
      <c r="AF872" s="143"/>
      <c r="AG872" s="143"/>
      <c r="AH872" s="143"/>
      <c r="AI872" s="143"/>
      <c r="AJ872" s="144"/>
    </row>
    <row r="873" spans="11:36">
      <c r="K873" s="85"/>
      <c r="L873" s="54" t="str">
        <f t="shared" si="75"/>
        <v/>
      </c>
      <c r="M873" s="38" t="str">
        <f t="shared" si="78"/>
        <v>0100</v>
      </c>
      <c r="N873" s="69">
        <f t="shared" si="77"/>
        <v>256</v>
      </c>
      <c r="O873" s="95"/>
      <c r="P873" s="96"/>
      <c r="Q873" s="97"/>
      <c r="R873" s="149"/>
      <c r="S873" s="153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2"/>
      <c r="AD873" s="143"/>
      <c r="AE873" s="143"/>
      <c r="AF873" s="143"/>
      <c r="AG873" s="143"/>
      <c r="AH873" s="143"/>
      <c r="AI873" s="143"/>
      <c r="AJ873" s="144"/>
    </row>
    <row r="874" spans="11:36">
      <c r="K874" s="85"/>
      <c r="L874" s="54" t="str">
        <f t="shared" si="75"/>
        <v/>
      </c>
      <c r="M874" s="38" t="str">
        <f t="shared" si="78"/>
        <v>0100</v>
      </c>
      <c r="N874" s="69">
        <f t="shared" si="77"/>
        <v>256</v>
      </c>
      <c r="O874" s="95"/>
      <c r="P874" s="96"/>
      <c r="Q874" s="97"/>
      <c r="R874" s="149"/>
      <c r="S874" s="153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2"/>
      <c r="AD874" s="143"/>
      <c r="AE874" s="143"/>
      <c r="AF874" s="143"/>
      <c r="AG874" s="143"/>
      <c r="AH874" s="143"/>
      <c r="AI874" s="143"/>
      <c r="AJ874" s="144"/>
    </row>
    <row r="875" spans="11:36">
      <c r="K875" s="85"/>
      <c r="L875" s="54" t="str">
        <f t="shared" si="75"/>
        <v/>
      </c>
      <c r="M875" s="38" t="str">
        <f t="shared" si="78"/>
        <v>0100</v>
      </c>
      <c r="N875" s="69">
        <f t="shared" si="77"/>
        <v>256</v>
      </c>
      <c r="O875" s="95"/>
      <c r="P875" s="96"/>
      <c r="Q875" s="97"/>
      <c r="R875" s="149"/>
      <c r="S875" s="153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2"/>
      <c r="AD875" s="143"/>
      <c r="AE875" s="143"/>
      <c r="AF875" s="143"/>
      <c r="AG875" s="143"/>
      <c r="AH875" s="143"/>
      <c r="AI875" s="143"/>
      <c r="AJ875" s="144"/>
    </row>
    <row r="876" spans="11:36">
      <c r="K876" s="85"/>
      <c r="L876" s="54" t="str">
        <f t="shared" si="75"/>
        <v/>
      </c>
      <c r="M876" s="38" t="str">
        <f t="shared" si="78"/>
        <v>0100</v>
      </c>
      <c r="N876" s="69">
        <f t="shared" si="77"/>
        <v>256</v>
      </c>
      <c r="O876" s="95"/>
      <c r="P876" s="96"/>
      <c r="Q876" s="97"/>
      <c r="R876" s="149"/>
      <c r="S876" s="153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2"/>
      <c r="AD876" s="143"/>
      <c r="AE876" s="143"/>
      <c r="AF876" s="143"/>
      <c r="AG876" s="143"/>
      <c r="AH876" s="143"/>
      <c r="AI876" s="143"/>
      <c r="AJ876" s="144"/>
    </row>
    <row r="877" spans="11:36">
      <c r="K877" s="85"/>
      <c r="L877" s="54" t="str">
        <f t="shared" si="75"/>
        <v/>
      </c>
      <c r="M877" s="38" t="str">
        <f t="shared" si="78"/>
        <v>0100</v>
      </c>
      <c r="N877" s="69">
        <f t="shared" si="77"/>
        <v>256</v>
      </c>
      <c r="O877" s="95"/>
      <c r="P877" s="96"/>
      <c r="Q877" s="97"/>
      <c r="R877" s="149"/>
      <c r="S877" s="153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2"/>
      <c r="AD877" s="143"/>
      <c r="AE877" s="143"/>
      <c r="AF877" s="143"/>
      <c r="AG877" s="143"/>
      <c r="AH877" s="143"/>
      <c r="AI877" s="143"/>
      <c r="AJ877" s="144"/>
    </row>
    <row r="878" spans="11:36">
      <c r="K878" s="85"/>
      <c r="L878" s="54" t="str">
        <f t="shared" si="75"/>
        <v/>
      </c>
      <c r="M878" s="38" t="str">
        <f t="shared" si="78"/>
        <v>0100</v>
      </c>
      <c r="N878" s="69">
        <f t="shared" si="77"/>
        <v>256</v>
      </c>
      <c r="O878" s="95"/>
      <c r="P878" s="96"/>
      <c r="Q878" s="97"/>
      <c r="R878" s="149"/>
      <c r="S878" s="153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2"/>
      <c r="AD878" s="143"/>
      <c r="AE878" s="143"/>
      <c r="AF878" s="143"/>
      <c r="AG878" s="143"/>
      <c r="AH878" s="143"/>
      <c r="AI878" s="143"/>
      <c r="AJ878" s="144"/>
    </row>
    <row r="879" spans="11:36">
      <c r="K879" s="85"/>
      <c r="L879" s="54" t="str">
        <f t="shared" si="75"/>
        <v/>
      </c>
      <c r="M879" s="38" t="str">
        <f t="shared" si="78"/>
        <v>0100</v>
      </c>
      <c r="N879" s="69">
        <f t="shared" si="77"/>
        <v>256</v>
      </c>
      <c r="O879" s="95"/>
      <c r="P879" s="96"/>
      <c r="Q879" s="97"/>
      <c r="R879" s="149"/>
      <c r="S879" s="153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2"/>
      <c r="AD879" s="143"/>
      <c r="AE879" s="143"/>
      <c r="AF879" s="143"/>
      <c r="AG879" s="143"/>
      <c r="AH879" s="143"/>
      <c r="AI879" s="143"/>
      <c r="AJ879" s="144"/>
    </row>
    <row r="880" spans="11:36">
      <c r="K880" s="85"/>
      <c r="L880" s="54" t="str">
        <f t="shared" si="75"/>
        <v/>
      </c>
      <c r="M880" s="38" t="str">
        <f t="shared" si="78"/>
        <v>0100</v>
      </c>
      <c r="N880" s="69">
        <f t="shared" si="77"/>
        <v>256</v>
      </c>
      <c r="O880" s="95"/>
      <c r="P880" s="96"/>
      <c r="Q880" s="97"/>
      <c r="R880" s="149"/>
      <c r="S880" s="153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2"/>
      <c r="AD880" s="143"/>
      <c r="AE880" s="143"/>
      <c r="AF880" s="143"/>
      <c r="AG880" s="143"/>
      <c r="AH880" s="143"/>
      <c r="AI880" s="143"/>
      <c r="AJ880" s="144"/>
    </row>
    <row r="881" spans="11:36">
      <c r="K881" s="85"/>
      <c r="L881" s="54" t="str">
        <f t="shared" si="75"/>
        <v/>
      </c>
      <c r="M881" s="38" t="str">
        <f t="shared" si="78"/>
        <v>0100</v>
      </c>
      <c r="N881" s="69">
        <f t="shared" si="77"/>
        <v>256</v>
      </c>
      <c r="O881" s="95"/>
      <c r="P881" s="96"/>
      <c r="Q881" s="97"/>
      <c r="R881" s="149"/>
      <c r="S881" s="153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2"/>
      <c r="AD881" s="143"/>
      <c r="AE881" s="143"/>
      <c r="AF881" s="143"/>
      <c r="AG881" s="143"/>
      <c r="AH881" s="143"/>
      <c r="AI881" s="143"/>
      <c r="AJ881" s="144"/>
    </row>
    <row r="882" spans="11:36">
      <c r="K882" s="85"/>
      <c r="L882" s="54" t="str">
        <f t="shared" si="75"/>
        <v/>
      </c>
      <c r="M882" s="38" t="str">
        <f t="shared" si="78"/>
        <v>0100</v>
      </c>
      <c r="N882" s="69">
        <f t="shared" si="77"/>
        <v>256</v>
      </c>
      <c r="O882" s="95"/>
      <c r="P882" s="96"/>
      <c r="Q882" s="97"/>
      <c r="R882" s="149"/>
      <c r="S882" s="153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2"/>
      <c r="AD882" s="143"/>
      <c r="AE882" s="143"/>
      <c r="AF882" s="143"/>
      <c r="AG882" s="143"/>
      <c r="AH882" s="143"/>
      <c r="AI882" s="143"/>
      <c r="AJ882" s="144"/>
    </row>
    <row r="883" spans="11:36">
      <c r="K883" s="85"/>
      <c r="L883" s="54" t="str">
        <f t="shared" si="75"/>
        <v/>
      </c>
      <c r="M883" s="38" t="str">
        <f t="shared" si="78"/>
        <v>0100</v>
      </c>
      <c r="N883" s="69">
        <f t="shared" si="77"/>
        <v>256</v>
      </c>
      <c r="O883" s="95"/>
      <c r="P883" s="96"/>
      <c r="Q883" s="97"/>
      <c r="R883" s="149"/>
      <c r="S883" s="153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2"/>
      <c r="AD883" s="143"/>
      <c r="AE883" s="143"/>
      <c r="AF883" s="143"/>
      <c r="AG883" s="143"/>
      <c r="AH883" s="143"/>
      <c r="AI883" s="143"/>
      <c r="AJ883" s="144"/>
    </row>
    <row r="884" spans="11:36">
      <c r="K884" s="85"/>
      <c r="L884" s="54" t="str">
        <f t="shared" si="75"/>
        <v/>
      </c>
      <c r="M884" s="38" t="str">
        <f t="shared" si="78"/>
        <v>0100</v>
      </c>
      <c r="N884" s="69">
        <f t="shared" si="77"/>
        <v>256</v>
      </c>
      <c r="O884" s="95"/>
      <c r="P884" s="96"/>
      <c r="Q884" s="97"/>
      <c r="R884" s="149"/>
      <c r="S884" s="153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2"/>
      <c r="AD884" s="143"/>
      <c r="AE884" s="143"/>
      <c r="AF884" s="143"/>
      <c r="AG884" s="143"/>
      <c r="AH884" s="143"/>
      <c r="AI884" s="143"/>
      <c r="AJ884" s="144"/>
    </row>
    <row r="885" spans="11:36">
      <c r="K885" s="85"/>
      <c r="L885" s="54" t="str">
        <f t="shared" si="75"/>
        <v/>
      </c>
      <c r="M885" s="38" t="str">
        <f t="shared" si="78"/>
        <v>0100</v>
      </c>
      <c r="N885" s="69">
        <f t="shared" si="77"/>
        <v>256</v>
      </c>
      <c r="O885" s="95"/>
      <c r="P885" s="96"/>
      <c r="Q885" s="97"/>
      <c r="R885" s="149"/>
      <c r="S885" s="153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2"/>
      <c r="AD885" s="143"/>
      <c r="AE885" s="143"/>
      <c r="AF885" s="143"/>
      <c r="AG885" s="143"/>
      <c r="AH885" s="143"/>
      <c r="AI885" s="143"/>
      <c r="AJ885" s="144"/>
    </row>
    <row r="886" spans="11:36">
      <c r="K886" s="85"/>
      <c r="L886" s="54" t="str">
        <f t="shared" si="75"/>
        <v/>
      </c>
      <c r="M886" s="38" t="str">
        <f t="shared" si="78"/>
        <v>0100</v>
      </c>
      <c r="N886" s="69">
        <f t="shared" si="77"/>
        <v>256</v>
      </c>
      <c r="O886" s="95"/>
      <c r="P886" s="96"/>
      <c r="Q886" s="97"/>
      <c r="R886" s="149"/>
      <c r="S886" s="153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2"/>
      <c r="AD886" s="143"/>
      <c r="AE886" s="143"/>
      <c r="AF886" s="143"/>
      <c r="AG886" s="143"/>
      <c r="AH886" s="143"/>
      <c r="AI886" s="143"/>
      <c r="AJ886" s="144"/>
    </row>
    <row r="887" spans="11:36">
      <c r="K887" s="85"/>
      <c r="L887" s="54" t="str">
        <f t="shared" si="75"/>
        <v/>
      </c>
      <c r="M887" s="38" t="str">
        <f t="shared" si="78"/>
        <v>0100</v>
      </c>
      <c r="N887" s="69">
        <f t="shared" si="77"/>
        <v>256</v>
      </c>
      <c r="O887" s="95"/>
      <c r="P887" s="96"/>
      <c r="Q887" s="97"/>
      <c r="R887" s="149"/>
      <c r="S887" s="153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2"/>
      <c r="AD887" s="143"/>
      <c r="AE887" s="143"/>
      <c r="AF887" s="143"/>
      <c r="AG887" s="143"/>
      <c r="AH887" s="143"/>
      <c r="AI887" s="143"/>
      <c r="AJ887" s="144"/>
    </row>
    <row r="888" spans="11:36">
      <c r="K888" s="85"/>
      <c r="L888" s="54" t="str">
        <f t="shared" si="75"/>
        <v/>
      </c>
      <c r="M888" s="38" t="str">
        <f t="shared" si="78"/>
        <v>0100</v>
      </c>
      <c r="N888" s="69">
        <f t="shared" si="77"/>
        <v>256</v>
      </c>
      <c r="O888" s="95"/>
      <c r="P888" s="96"/>
      <c r="Q888" s="97"/>
      <c r="R888" s="149"/>
      <c r="S888" s="153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2"/>
      <c r="AD888" s="143"/>
      <c r="AE888" s="143"/>
      <c r="AF888" s="143"/>
      <c r="AG888" s="143"/>
      <c r="AH888" s="143"/>
      <c r="AI888" s="143"/>
      <c r="AJ888" s="144"/>
    </row>
    <row r="889" spans="11:36">
      <c r="K889" s="85"/>
      <c r="L889" s="54" t="str">
        <f t="shared" si="75"/>
        <v/>
      </c>
      <c r="M889" s="38" t="str">
        <f t="shared" si="78"/>
        <v>0100</v>
      </c>
      <c r="N889" s="69">
        <f t="shared" si="77"/>
        <v>256</v>
      </c>
      <c r="O889" s="95"/>
      <c r="P889" s="96"/>
      <c r="Q889" s="97"/>
      <c r="R889" s="149"/>
      <c r="S889" s="153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2"/>
      <c r="AD889" s="143"/>
      <c r="AE889" s="143"/>
      <c r="AF889" s="143"/>
      <c r="AG889" s="143"/>
      <c r="AH889" s="143"/>
      <c r="AI889" s="143"/>
      <c r="AJ889" s="144"/>
    </row>
    <row r="890" spans="11:36">
      <c r="K890" s="85"/>
      <c r="L890" s="54" t="str">
        <f t="shared" si="75"/>
        <v/>
      </c>
      <c r="M890" s="38" t="str">
        <f t="shared" si="78"/>
        <v>0100</v>
      </c>
      <c r="N890" s="69">
        <f t="shared" si="77"/>
        <v>256</v>
      </c>
      <c r="O890" s="95"/>
      <c r="P890" s="96"/>
      <c r="Q890" s="97"/>
      <c r="R890" s="149"/>
      <c r="S890" s="153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2"/>
      <c r="AD890" s="143"/>
      <c r="AE890" s="143"/>
      <c r="AF890" s="143"/>
      <c r="AG890" s="143"/>
      <c r="AH890" s="143"/>
      <c r="AI890" s="143"/>
      <c r="AJ890" s="144"/>
    </row>
    <row r="891" spans="11:36">
      <c r="K891" s="85"/>
      <c r="L891" s="54" t="str">
        <f t="shared" si="75"/>
        <v/>
      </c>
      <c r="M891" s="38" t="str">
        <f t="shared" si="78"/>
        <v>0100</v>
      </c>
      <c r="N891" s="69">
        <f t="shared" si="77"/>
        <v>256</v>
      </c>
      <c r="O891" s="95"/>
      <c r="P891" s="96"/>
      <c r="Q891" s="97"/>
      <c r="R891" s="149"/>
      <c r="S891" s="153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2"/>
      <c r="AD891" s="143"/>
      <c r="AE891" s="143"/>
      <c r="AF891" s="143"/>
      <c r="AG891" s="143"/>
      <c r="AH891" s="143"/>
      <c r="AI891" s="143"/>
      <c r="AJ891" s="144"/>
    </row>
    <row r="892" spans="11:36">
      <c r="K892" s="85"/>
      <c r="L892" s="54" t="str">
        <f t="shared" si="75"/>
        <v/>
      </c>
      <c r="M892" s="38" t="str">
        <f t="shared" si="78"/>
        <v>0100</v>
      </c>
      <c r="N892" s="69">
        <f t="shared" si="77"/>
        <v>256</v>
      </c>
      <c r="O892" s="95"/>
      <c r="P892" s="96"/>
      <c r="Q892" s="97"/>
      <c r="R892" s="149"/>
      <c r="S892" s="153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2"/>
      <c r="AD892" s="143"/>
      <c r="AE892" s="143"/>
      <c r="AF892" s="143"/>
      <c r="AG892" s="143"/>
      <c r="AH892" s="143"/>
      <c r="AI892" s="143"/>
      <c r="AJ892" s="144"/>
    </row>
    <row r="893" spans="11:36">
      <c r="K893" s="85"/>
      <c r="L893" s="54" t="str">
        <f t="shared" si="75"/>
        <v/>
      </c>
      <c r="M893" s="38" t="str">
        <f t="shared" si="78"/>
        <v>0100</v>
      </c>
      <c r="N893" s="69">
        <f t="shared" si="77"/>
        <v>256</v>
      </c>
      <c r="O893" s="95"/>
      <c r="P893" s="96"/>
      <c r="Q893" s="97"/>
      <c r="R893" s="149"/>
      <c r="S893" s="153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2"/>
      <c r="AD893" s="143"/>
      <c r="AE893" s="143"/>
      <c r="AF893" s="143"/>
      <c r="AG893" s="143"/>
      <c r="AH893" s="143"/>
      <c r="AI893" s="143"/>
      <c r="AJ893" s="144"/>
    </row>
    <row r="894" spans="11:36">
      <c r="K894" s="85"/>
      <c r="L894" s="54" t="str">
        <f t="shared" si="75"/>
        <v/>
      </c>
      <c r="M894" s="38" t="str">
        <f t="shared" si="78"/>
        <v>0100</v>
      </c>
      <c r="N894" s="69">
        <f t="shared" si="77"/>
        <v>256</v>
      </c>
      <c r="O894" s="95"/>
      <c r="P894" s="96"/>
      <c r="Q894" s="97"/>
      <c r="R894" s="149"/>
      <c r="S894" s="153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2"/>
      <c r="AD894" s="143"/>
      <c r="AE894" s="143"/>
      <c r="AF894" s="143"/>
      <c r="AG894" s="143"/>
      <c r="AH894" s="143"/>
      <c r="AI894" s="143"/>
      <c r="AJ894" s="144"/>
    </row>
    <row r="895" spans="11:36">
      <c r="K895" s="85"/>
      <c r="L895" s="54" t="str">
        <f t="shared" si="75"/>
        <v/>
      </c>
      <c r="M895" s="38" t="str">
        <f t="shared" si="78"/>
        <v>0100</v>
      </c>
      <c r="N895" s="69">
        <f t="shared" si="77"/>
        <v>256</v>
      </c>
      <c r="O895" s="95"/>
      <c r="P895" s="96"/>
      <c r="Q895" s="97"/>
      <c r="R895" s="149"/>
      <c r="S895" s="153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2"/>
      <c r="AD895" s="143"/>
      <c r="AE895" s="143"/>
      <c r="AF895" s="143"/>
      <c r="AG895" s="143"/>
      <c r="AH895" s="143"/>
      <c r="AI895" s="143"/>
      <c r="AJ895" s="144"/>
    </row>
    <row r="896" spans="11:36">
      <c r="K896" s="85"/>
      <c r="L896" s="54" t="str">
        <f t="shared" si="75"/>
        <v/>
      </c>
      <c r="M896" s="38" t="str">
        <f t="shared" si="78"/>
        <v>0100</v>
      </c>
      <c r="N896" s="69">
        <f t="shared" si="77"/>
        <v>256</v>
      </c>
      <c r="O896" s="95"/>
      <c r="P896" s="96"/>
      <c r="Q896" s="97"/>
      <c r="R896" s="149"/>
      <c r="S896" s="153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2"/>
      <c r="AD896" s="143"/>
      <c r="AE896" s="143"/>
      <c r="AF896" s="143"/>
      <c r="AG896" s="143"/>
      <c r="AH896" s="143"/>
      <c r="AI896" s="143"/>
      <c r="AJ896" s="144"/>
    </row>
    <row r="897" spans="11:36">
      <c r="K897" s="85"/>
      <c r="L897" s="54" t="str">
        <f t="shared" si="75"/>
        <v/>
      </c>
      <c r="M897" s="38" t="str">
        <f t="shared" si="78"/>
        <v>0100</v>
      </c>
      <c r="N897" s="69">
        <f t="shared" si="77"/>
        <v>256</v>
      </c>
      <c r="O897" s="95"/>
      <c r="P897" s="96"/>
      <c r="Q897" s="97"/>
      <c r="R897" s="149"/>
      <c r="S897" s="153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2"/>
      <c r="AD897" s="143"/>
      <c r="AE897" s="143"/>
      <c r="AF897" s="143"/>
      <c r="AG897" s="143"/>
      <c r="AH897" s="143"/>
      <c r="AI897" s="143"/>
      <c r="AJ897" s="144"/>
    </row>
    <row r="898" spans="11:36">
      <c r="K898" s="85"/>
      <c r="L898" s="54" t="str">
        <f t="shared" si="75"/>
        <v/>
      </c>
      <c r="M898" s="38" t="str">
        <f t="shared" si="78"/>
        <v>0100</v>
      </c>
      <c r="N898" s="69">
        <f t="shared" si="77"/>
        <v>256</v>
      </c>
      <c r="O898" s="95"/>
      <c r="P898" s="96"/>
      <c r="Q898" s="97"/>
      <c r="R898" s="149"/>
      <c r="S898" s="153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2"/>
      <c r="AD898" s="143"/>
      <c r="AE898" s="143"/>
      <c r="AF898" s="143"/>
      <c r="AG898" s="143"/>
      <c r="AH898" s="143"/>
      <c r="AI898" s="143"/>
      <c r="AJ898" s="144"/>
    </row>
    <row r="899" spans="11:36">
      <c r="K899" s="85"/>
      <c r="L899" s="54" t="str">
        <f t="shared" si="75"/>
        <v/>
      </c>
      <c r="M899" s="38" t="str">
        <f t="shared" si="78"/>
        <v>0100</v>
      </c>
      <c r="N899" s="69">
        <f t="shared" si="77"/>
        <v>256</v>
      </c>
      <c r="O899" s="95"/>
      <c r="P899" s="96"/>
      <c r="Q899" s="97"/>
      <c r="R899" s="149"/>
      <c r="S899" s="153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2"/>
      <c r="AD899" s="143"/>
      <c r="AE899" s="143"/>
      <c r="AF899" s="143"/>
      <c r="AG899" s="143"/>
      <c r="AH899" s="143"/>
      <c r="AI899" s="143"/>
      <c r="AJ899" s="144"/>
    </row>
    <row r="900" spans="11:36">
      <c r="K900" s="85"/>
      <c r="L900" s="54" t="str">
        <f t="shared" si="75"/>
        <v/>
      </c>
      <c r="M900" s="38" t="str">
        <f t="shared" si="78"/>
        <v>0100</v>
      </c>
      <c r="N900" s="69">
        <f t="shared" si="77"/>
        <v>256</v>
      </c>
      <c r="O900" s="95"/>
      <c r="P900" s="96"/>
      <c r="Q900" s="97"/>
      <c r="R900" s="149"/>
      <c r="S900" s="153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2"/>
      <c r="AD900" s="143"/>
      <c r="AE900" s="143"/>
      <c r="AF900" s="143"/>
      <c r="AG900" s="143"/>
      <c r="AH900" s="143"/>
      <c r="AI900" s="143"/>
      <c r="AJ900" s="144"/>
    </row>
    <row r="901" spans="11:36">
      <c r="K901" s="85"/>
      <c r="L901" s="54" t="str">
        <f t="shared" si="75"/>
        <v/>
      </c>
      <c r="M901" s="38" t="str">
        <f t="shared" si="78"/>
        <v>0100</v>
      </c>
      <c r="N901" s="69">
        <f t="shared" si="77"/>
        <v>256</v>
      </c>
      <c r="O901" s="95"/>
      <c r="P901" s="96"/>
      <c r="Q901" s="97"/>
      <c r="R901" s="149"/>
      <c r="S901" s="153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2"/>
      <c r="AD901" s="143"/>
      <c r="AE901" s="143"/>
      <c r="AF901" s="143"/>
      <c r="AG901" s="143"/>
      <c r="AH901" s="143"/>
      <c r="AI901" s="143"/>
      <c r="AJ901" s="144"/>
    </row>
    <row r="902" spans="11:36">
      <c r="K902" s="85"/>
      <c r="L902" s="54" t="str">
        <f t="shared" si="75"/>
        <v/>
      </c>
      <c r="M902" s="38" t="str">
        <f t="shared" si="78"/>
        <v>0100</v>
      </c>
      <c r="N902" s="69">
        <f t="shared" si="77"/>
        <v>256</v>
      </c>
      <c r="O902" s="95"/>
      <c r="P902" s="96"/>
      <c r="Q902" s="97"/>
      <c r="R902" s="149"/>
      <c r="S902" s="153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2"/>
      <c r="AD902" s="143"/>
      <c r="AE902" s="143"/>
      <c r="AF902" s="143"/>
      <c r="AG902" s="143"/>
      <c r="AH902" s="143"/>
      <c r="AI902" s="143"/>
      <c r="AJ902" s="144"/>
    </row>
    <row r="903" spans="11:36">
      <c r="K903" s="85"/>
      <c r="L903" s="54" t="str">
        <f t="shared" si="75"/>
        <v/>
      </c>
      <c r="M903" s="38" t="str">
        <f t="shared" si="78"/>
        <v>0100</v>
      </c>
      <c r="N903" s="69">
        <f t="shared" si="77"/>
        <v>256</v>
      </c>
      <c r="O903" s="95"/>
      <c r="P903" s="96"/>
      <c r="Q903" s="97"/>
      <c r="R903" s="149"/>
      <c r="S903" s="153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2"/>
      <c r="AD903" s="143"/>
      <c r="AE903" s="143"/>
      <c r="AF903" s="143"/>
      <c r="AG903" s="143"/>
      <c r="AH903" s="143"/>
      <c r="AI903" s="143"/>
      <c r="AJ903" s="144"/>
    </row>
    <row r="904" spans="11:36">
      <c r="K904" s="85"/>
      <c r="L904" s="54" t="str">
        <f t="shared" si="75"/>
        <v/>
      </c>
      <c r="M904" s="38" t="str">
        <f t="shared" si="78"/>
        <v>0100</v>
      </c>
      <c r="N904" s="69">
        <f t="shared" si="77"/>
        <v>256</v>
      </c>
      <c r="O904" s="95"/>
      <c r="P904" s="96"/>
      <c r="Q904" s="97"/>
      <c r="R904" s="149"/>
      <c r="S904" s="153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2"/>
      <c r="AD904" s="143"/>
      <c r="AE904" s="143"/>
      <c r="AF904" s="143"/>
      <c r="AG904" s="143"/>
      <c r="AH904" s="143"/>
      <c r="AI904" s="143"/>
      <c r="AJ904" s="144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0100</v>
      </c>
      <c r="N905" s="69">
        <f t="shared" si="77"/>
        <v>256</v>
      </c>
      <c r="O905" s="95"/>
      <c r="P905" s="96"/>
      <c r="Q905" s="97"/>
      <c r="R905" s="149"/>
      <c r="S905" s="153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2"/>
      <c r="AD905" s="143"/>
      <c r="AE905" s="143"/>
      <c r="AF905" s="143"/>
      <c r="AG905" s="143"/>
      <c r="AH905" s="143"/>
      <c r="AI905" s="143"/>
      <c r="AJ905" s="144"/>
    </row>
    <row r="906" spans="11:36">
      <c r="K906" s="85"/>
      <c r="L906" s="54" t="str">
        <f t="shared" si="79"/>
        <v/>
      </c>
      <c r="M906" s="38" t="str">
        <f t="shared" si="78"/>
        <v>0100</v>
      </c>
      <c r="N906" s="69">
        <f t="shared" ref="N906:N969" si="81">N905+S905</f>
        <v>256</v>
      </c>
      <c r="O906" s="95"/>
      <c r="P906" s="96"/>
      <c r="Q906" s="97"/>
      <c r="R906" s="149"/>
      <c r="S906" s="153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2"/>
      <c r="AD906" s="143"/>
      <c r="AE906" s="143"/>
      <c r="AF906" s="143"/>
      <c r="AG906" s="143"/>
      <c r="AH906" s="143"/>
      <c r="AI906" s="143"/>
      <c r="AJ906" s="144"/>
    </row>
    <row r="907" spans="11:36">
      <c r="K907" s="85"/>
      <c r="L907" s="54" t="str">
        <f t="shared" si="79"/>
        <v/>
      </c>
      <c r="M907" s="38" t="str">
        <f t="shared" si="78"/>
        <v>0100</v>
      </c>
      <c r="N907" s="69">
        <f t="shared" si="81"/>
        <v>256</v>
      </c>
      <c r="O907" s="95"/>
      <c r="P907" s="96"/>
      <c r="Q907" s="97"/>
      <c r="R907" s="149"/>
      <c r="S907" s="153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2"/>
      <c r="AD907" s="143"/>
      <c r="AE907" s="143"/>
      <c r="AF907" s="143"/>
      <c r="AG907" s="143"/>
      <c r="AH907" s="143"/>
      <c r="AI907" s="143"/>
      <c r="AJ907" s="144"/>
    </row>
    <row r="908" spans="11:36">
      <c r="K908" s="85"/>
      <c r="L908" s="54" t="str">
        <f t="shared" si="79"/>
        <v/>
      </c>
      <c r="M908" s="38" t="str">
        <f t="shared" si="78"/>
        <v>0100</v>
      </c>
      <c r="N908" s="69">
        <f t="shared" si="81"/>
        <v>256</v>
      </c>
      <c r="O908" s="95"/>
      <c r="P908" s="96"/>
      <c r="Q908" s="97"/>
      <c r="R908" s="149"/>
      <c r="S908" s="153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2"/>
      <c r="AD908" s="143"/>
      <c r="AE908" s="143"/>
      <c r="AF908" s="143"/>
      <c r="AG908" s="143"/>
      <c r="AH908" s="143"/>
      <c r="AI908" s="143"/>
      <c r="AJ908" s="144"/>
    </row>
    <row r="909" spans="11:36">
      <c r="K909" s="85"/>
      <c r="L909" s="54" t="str">
        <f t="shared" si="79"/>
        <v/>
      </c>
      <c r="M909" s="38" t="str">
        <f t="shared" si="78"/>
        <v>0100</v>
      </c>
      <c r="N909" s="69">
        <f t="shared" si="81"/>
        <v>256</v>
      </c>
      <c r="O909" s="95"/>
      <c r="P909" s="96"/>
      <c r="Q909" s="97"/>
      <c r="R909" s="149"/>
      <c r="S909" s="153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2"/>
      <c r="AD909" s="143"/>
      <c r="AE909" s="143"/>
      <c r="AF909" s="143"/>
      <c r="AG909" s="143"/>
      <c r="AH909" s="143"/>
      <c r="AI909" s="143"/>
      <c r="AJ909" s="144"/>
    </row>
    <row r="910" spans="11:36">
      <c r="K910" s="85"/>
      <c r="L910" s="54" t="str">
        <f t="shared" si="79"/>
        <v/>
      </c>
      <c r="M910" s="38" t="str">
        <f t="shared" si="78"/>
        <v>0100</v>
      </c>
      <c r="N910" s="69">
        <f t="shared" si="81"/>
        <v>256</v>
      </c>
      <c r="O910" s="95"/>
      <c r="P910" s="96"/>
      <c r="Q910" s="97"/>
      <c r="R910" s="149"/>
      <c r="S910" s="153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2"/>
      <c r="AD910" s="143"/>
      <c r="AE910" s="143"/>
      <c r="AF910" s="143"/>
      <c r="AG910" s="143"/>
      <c r="AH910" s="143"/>
      <c r="AI910" s="143"/>
      <c r="AJ910" s="144"/>
    </row>
    <row r="911" spans="11:36">
      <c r="K911" s="85"/>
      <c r="L911" s="54" t="str">
        <f t="shared" si="79"/>
        <v/>
      </c>
      <c r="M911" s="38" t="str">
        <f t="shared" si="78"/>
        <v>0100</v>
      </c>
      <c r="N911" s="69">
        <f t="shared" si="81"/>
        <v>256</v>
      </c>
      <c r="O911" s="95"/>
      <c r="P911" s="96"/>
      <c r="Q911" s="97"/>
      <c r="R911" s="149"/>
      <c r="S911" s="153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2"/>
      <c r="AD911" s="143"/>
      <c r="AE911" s="143"/>
      <c r="AF911" s="143"/>
      <c r="AG911" s="143"/>
      <c r="AH911" s="143"/>
      <c r="AI911" s="143"/>
      <c r="AJ911" s="144"/>
    </row>
    <row r="912" spans="11:36">
      <c r="K912" s="85"/>
      <c r="L912" s="54" t="str">
        <f t="shared" si="79"/>
        <v/>
      </c>
      <c r="M912" s="38" t="str">
        <f t="shared" si="78"/>
        <v>0100</v>
      </c>
      <c r="N912" s="69">
        <f t="shared" si="81"/>
        <v>256</v>
      </c>
      <c r="O912" s="95"/>
      <c r="P912" s="96"/>
      <c r="Q912" s="97"/>
      <c r="R912" s="149"/>
      <c r="S912" s="153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2"/>
      <c r="AD912" s="143"/>
      <c r="AE912" s="143"/>
      <c r="AF912" s="143"/>
      <c r="AG912" s="143"/>
      <c r="AH912" s="143"/>
      <c r="AI912" s="143"/>
      <c r="AJ912" s="144"/>
    </row>
    <row r="913" spans="11:36">
      <c r="K913" s="85"/>
      <c r="L913" s="54" t="str">
        <f t="shared" si="79"/>
        <v/>
      </c>
      <c r="M913" s="38" t="str">
        <f t="shared" si="78"/>
        <v>0100</v>
      </c>
      <c r="N913" s="69">
        <f t="shared" si="81"/>
        <v>256</v>
      </c>
      <c r="O913" s="95"/>
      <c r="P913" s="96"/>
      <c r="Q913" s="97"/>
      <c r="R913" s="149"/>
      <c r="S913" s="153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2"/>
      <c r="AD913" s="143"/>
      <c r="AE913" s="143"/>
      <c r="AF913" s="143"/>
      <c r="AG913" s="143"/>
      <c r="AH913" s="143"/>
      <c r="AI913" s="143"/>
      <c r="AJ913" s="144"/>
    </row>
    <row r="914" spans="11:36">
      <c r="K914" s="85"/>
      <c r="L914" s="54" t="str">
        <f t="shared" si="79"/>
        <v/>
      </c>
      <c r="M914" s="38" t="str">
        <f t="shared" si="78"/>
        <v>0100</v>
      </c>
      <c r="N914" s="69">
        <f t="shared" si="81"/>
        <v>256</v>
      </c>
      <c r="O914" s="95"/>
      <c r="P914" s="96"/>
      <c r="Q914" s="97"/>
      <c r="R914" s="149"/>
      <c r="S914" s="153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2"/>
      <c r="AD914" s="143"/>
      <c r="AE914" s="143"/>
      <c r="AF914" s="143"/>
      <c r="AG914" s="143"/>
      <c r="AH914" s="143"/>
      <c r="AI914" s="143"/>
      <c r="AJ914" s="144"/>
    </row>
    <row r="915" spans="11:36">
      <c r="K915" s="85"/>
      <c r="L915" s="54" t="str">
        <f t="shared" si="79"/>
        <v/>
      </c>
      <c r="M915" s="38" t="str">
        <f t="shared" si="78"/>
        <v>0100</v>
      </c>
      <c r="N915" s="69">
        <f t="shared" si="81"/>
        <v>256</v>
      </c>
      <c r="O915" s="95"/>
      <c r="P915" s="96"/>
      <c r="Q915" s="97"/>
      <c r="R915" s="149"/>
      <c r="S915" s="153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2"/>
      <c r="AD915" s="143"/>
      <c r="AE915" s="143"/>
      <c r="AF915" s="143"/>
      <c r="AG915" s="143"/>
      <c r="AH915" s="143"/>
      <c r="AI915" s="143"/>
      <c r="AJ915" s="144"/>
    </row>
    <row r="916" spans="11:36">
      <c r="K916" s="85"/>
      <c r="L916" s="54" t="str">
        <f t="shared" si="79"/>
        <v/>
      </c>
      <c r="M916" s="38" t="str">
        <f t="shared" si="78"/>
        <v>0100</v>
      </c>
      <c r="N916" s="69">
        <f t="shared" si="81"/>
        <v>256</v>
      </c>
      <c r="O916" s="95"/>
      <c r="P916" s="96"/>
      <c r="Q916" s="97"/>
      <c r="R916" s="149"/>
      <c r="S916" s="153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2"/>
      <c r="AD916" s="143"/>
      <c r="AE916" s="143"/>
      <c r="AF916" s="143"/>
      <c r="AG916" s="143"/>
      <c r="AH916" s="143"/>
      <c r="AI916" s="143"/>
      <c r="AJ916" s="144"/>
    </row>
    <row r="917" spans="11:36">
      <c r="K917" s="85"/>
      <c r="L917" s="54" t="str">
        <f t="shared" si="79"/>
        <v/>
      </c>
      <c r="M917" s="38" t="str">
        <f t="shared" si="78"/>
        <v>0100</v>
      </c>
      <c r="N917" s="69">
        <f t="shared" si="81"/>
        <v>256</v>
      </c>
      <c r="O917" s="95"/>
      <c r="P917" s="96"/>
      <c r="Q917" s="97"/>
      <c r="R917" s="149"/>
      <c r="S917" s="153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2"/>
      <c r="AD917" s="143"/>
      <c r="AE917" s="143"/>
      <c r="AF917" s="143"/>
      <c r="AG917" s="143"/>
      <c r="AH917" s="143"/>
      <c r="AI917" s="143"/>
      <c r="AJ917" s="144"/>
    </row>
    <row r="918" spans="11:36">
      <c r="K918" s="85"/>
      <c r="L918" s="54" t="str">
        <f t="shared" si="79"/>
        <v/>
      </c>
      <c r="M918" s="38" t="str">
        <f t="shared" si="78"/>
        <v>0100</v>
      </c>
      <c r="N918" s="69">
        <f t="shared" si="81"/>
        <v>256</v>
      </c>
      <c r="O918" s="95"/>
      <c r="P918" s="96"/>
      <c r="Q918" s="97"/>
      <c r="R918" s="149"/>
      <c r="S918" s="153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2"/>
      <c r="AD918" s="143"/>
      <c r="AE918" s="143"/>
      <c r="AF918" s="143"/>
      <c r="AG918" s="143"/>
      <c r="AH918" s="143"/>
      <c r="AI918" s="143"/>
      <c r="AJ918" s="144"/>
    </row>
    <row r="919" spans="11:36">
      <c r="K919" s="85"/>
      <c r="L919" s="54" t="str">
        <f t="shared" si="79"/>
        <v/>
      </c>
      <c r="M919" s="38" t="str">
        <f t="shared" si="78"/>
        <v>0100</v>
      </c>
      <c r="N919" s="69">
        <f t="shared" si="81"/>
        <v>256</v>
      </c>
      <c r="O919" s="95"/>
      <c r="P919" s="96"/>
      <c r="Q919" s="97"/>
      <c r="R919" s="149"/>
      <c r="S919" s="153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2"/>
      <c r="AD919" s="143"/>
      <c r="AE919" s="143"/>
      <c r="AF919" s="143"/>
      <c r="AG919" s="143"/>
      <c r="AH919" s="143"/>
      <c r="AI919" s="143"/>
      <c r="AJ919" s="144"/>
    </row>
    <row r="920" spans="11:36">
      <c r="K920" s="85"/>
      <c r="L920" s="54" t="str">
        <f t="shared" si="79"/>
        <v/>
      </c>
      <c r="M920" s="38" t="str">
        <f t="shared" si="78"/>
        <v>0100</v>
      </c>
      <c r="N920" s="69">
        <f t="shared" si="81"/>
        <v>256</v>
      </c>
      <c r="O920" s="95"/>
      <c r="P920" s="96"/>
      <c r="Q920" s="97"/>
      <c r="R920" s="149"/>
      <c r="S920" s="153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2"/>
      <c r="AD920" s="143"/>
      <c r="AE920" s="143"/>
      <c r="AF920" s="143"/>
      <c r="AG920" s="143"/>
      <c r="AH920" s="143"/>
      <c r="AI920" s="143"/>
      <c r="AJ920" s="144"/>
    </row>
    <row r="921" spans="11:36">
      <c r="K921" s="85"/>
      <c r="L921" s="54" t="str">
        <f t="shared" si="79"/>
        <v/>
      </c>
      <c r="M921" s="38" t="str">
        <f t="shared" si="78"/>
        <v>0100</v>
      </c>
      <c r="N921" s="69">
        <f t="shared" si="81"/>
        <v>256</v>
      </c>
      <c r="O921" s="95"/>
      <c r="P921" s="96"/>
      <c r="Q921" s="97"/>
      <c r="R921" s="149"/>
      <c r="S921" s="153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2"/>
      <c r="AD921" s="143"/>
      <c r="AE921" s="143"/>
      <c r="AF921" s="143"/>
      <c r="AG921" s="143"/>
      <c r="AH921" s="143"/>
      <c r="AI921" s="143"/>
      <c r="AJ921" s="144"/>
    </row>
    <row r="922" spans="11:36">
      <c r="K922" s="85"/>
      <c r="L922" s="54" t="str">
        <f t="shared" si="79"/>
        <v/>
      </c>
      <c r="M922" s="38" t="str">
        <f t="shared" si="78"/>
        <v>0100</v>
      </c>
      <c r="N922" s="69">
        <f t="shared" si="81"/>
        <v>256</v>
      </c>
      <c r="O922" s="95"/>
      <c r="P922" s="96"/>
      <c r="Q922" s="97"/>
      <c r="R922" s="149"/>
      <c r="S922" s="153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2"/>
      <c r="AD922" s="143"/>
      <c r="AE922" s="143"/>
      <c r="AF922" s="143"/>
      <c r="AG922" s="143"/>
      <c r="AH922" s="143"/>
      <c r="AI922" s="143"/>
      <c r="AJ922" s="144"/>
    </row>
    <row r="923" spans="11:36">
      <c r="K923" s="85"/>
      <c r="L923" s="54" t="str">
        <f t="shared" si="79"/>
        <v/>
      </c>
      <c r="M923" s="38" t="str">
        <f t="shared" si="78"/>
        <v>0100</v>
      </c>
      <c r="N923" s="69">
        <f t="shared" si="81"/>
        <v>256</v>
      </c>
      <c r="O923" s="95"/>
      <c r="P923" s="96"/>
      <c r="Q923" s="97"/>
      <c r="R923" s="149"/>
      <c r="S923" s="153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2"/>
      <c r="AD923" s="143"/>
      <c r="AE923" s="143"/>
      <c r="AF923" s="143"/>
      <c r="AG923" s="143"/>
      <c r="AH923" s="143"/>
      <c r="AI923" s="143"/>
      <c r="AJ923" s="144"/>
    </row>
    <row r="924" spans="11:36">
      <c r="K924" s="85"/>
      <c r="L924" s="54" t="str">
        <f t="shared" si="79"/>
        <v/>
      </c>
      <c r="M924" s="38" t="str">
        <f t="shared" si="78"/>
        <v>0100</v>
      </c>
      <c r="N924" s="69">
        <f t="shared" si="81"/>
        <v>256</v>
      </c>
      <c r="O924" s="95"/>
      <c r="P924" s="96"/>
      <c r="Q924" s="97"/>
      <c r="R924" s="149"/>
      <c r="S924" s="153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2"/>
      <c r="AD924" s="143"/>
      <c r="AE924" s="143"/>
      <c r="AF924" s="143"/>
      <c r="AG924" s="143"/>
      <c r="AH924" s="143"/>
      <c r="AI924" s="143"/>
      <c r="AJ924" s="144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0100</v>
      </c>
      <c r="N925" s="69">
        <f t="shared" si="81"/>
        <v>256</v>
      </c>
      <c r="O925" s="95"/>
      <c r="P925" s="96"/>
      <c r="Q925" s="97"/>
      <c r="R925" s="149"/>
      <c r="S925" s="153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2"/>
      <c r="AD925" s="143"/>
      <c r="AE925" s="143"/>
      <c r="AF925" s="143"/>
      <c r="AG925" s="143"/>
      <c r="AH925" s="143"/>
      <c r="AI925" s="143"/>
      <c r="AJ925" s="144"/>
    </row>
    <row r="926" spans="11:36">
      <c r="K926" s="85"/>
      <c r="L926" s="54" t="str">
        <f t="shared" si="79"/>
        <v/>
      </c>
      <c r="M926" s="38" t="str">
        <f t="shared" si="82"/>
        <v>0100</v>
      </c>
      <c r="N926" s="69">
        <f t="shared" si="81"/>
        <v>256</v>
      </c>
      <c r="O926" s="95"/>
      <c r="P926" s="96"/>
      <c r="Q926" s="97"/>
      <c r="R926" s="149"/>
      <c r="S926" s="153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2"/>
      <c r="AD926" s="143"/>
      <c r="AE926" s="143"/>
      <c r="AF926" s="143"/>
      <c r="AG926" s="143"/>
      <c r="AH926" s="143"/>
      <c r="AI926" s="143"/>
      <c r="AJ926" s="144"/>
    </row>
    <row r="927" spans="11:36">
      <c r="K927" s="85"/>
      <c r="L927" s="54" t="str">
        <f t="shared" si="79"/>
        <v/>
      </c>
      <c r="M927" s="38" t="str">
        <f t="shared" si="82"/>
        <v>0100</v>
      </c>
      <c r="N927" s="69">
        <f t="shared" si="81"/>
        <v>256</v>
      </c>
      <c r="O927" s="95"/>
      <c r="P927" s="96"/>
      <c r="Q927" s="97"/>
      <c r="R927" s="149"/>
      <c r="S927" s="153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2"/>
      <c r="AD927" s="143"/>
      <c r="AE927" s="143"/>
      <c r="AF927" s="143"/>
      <c r="AG927" s="143"/>
      <c r="AH927" s="143"/>
      <c r="AI927" s="143"/>
      <c r="AJ927" s="144"/>
    </row>
    <row r="928" spans="11:36">
      <c r="K928" s="85"/>
      <c r="L928" s="54" t="str">
        <f t="shared" si="79"/>
        <v/>
      </c>
      <c r="M928" s="38" t="str">
        <f t="shared" si="82"/>
        <v>0100</v>
      </c>
      <c r="N928" s="69">
        <f t="shared" si="81"/>
        <v>256</v>
      </c>
      <c r="O928" s="95"/>
      <c r="P928" s="96"/>
      <c r="Q928" s="97"/>
      <c r="R928" s="149"/>
      <c r="S928" s="153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2"/>
      <c r="AD928" s="143"/>
      <c r="AE928" s="143"/>
      <c r="AF928" s="143"/>
      <c r="AG928" s="143"/>
      <c r="AH928" s="143"/>
      <c r="AI928" s="143"/>
      <c r="AJ928" s="144"/>
    </row>
    <row r="929" spans="11:36">
      <c r="K929" s="85"/>
      <c r="L929" s="54" t="str">
        <f t="shared" si="79"/>
        <v/>
      </c>
      <c r="M929" s="38" t="str">
        <f t="shared" si="82"/>
        <v>0100</v>
      </c>
      <c r="N929" s="69">
        <f t="shared" si="81"/>
        <v>256</v>
      </c>
      <c r="O929" s="95"/>
      <c r="P929" s="96"/>
      <c r="Q929" s="97"/>
      <c r="R929" s="149"/>
      <c r="S929" s="153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2"/>
      <c r="AD929" s="143"/>
      <c r="AE929" s="143"/>
      <c r="AF929" s="143"/>
      <c r="AG929" s="143"/>
      <c r="AH929" s="143"/>
      <c r="AI929" s="143"/>
      <c r="AJ929" s="144"/>
    </row>
    <row r="930" spans="11:36">
      <c r="K930" s="85"/>
      <c r="L930" s="54" t="str">
        <f t="shared" si="79"/>
        <v/>
      </c>
      <c r="M930" s="38" t="str">
        <f t="shared" si="82"/>
        <v>0100</v>
      </c>
      <c r="N930" s="69">
        <f t="shared" si="81"/>
        <v>256</v>
      </c>
      <c r="O930" s="95"/>
      <c r="P930" s="96"/>
      <c r="Q930" s="97"/>
      <c r="R930" s="149"/>
      <c r="S930" s="153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2"/>
      <c r="AD930" s="143"/>
      <c r="AE930" s="143"/>
      <c r="AF930" s="143"/>
      <c r="AG930" s="143"/>
      <c r="AH930" s="143"/>
      <c r="AI930" s="143"/>
      <c r="AJ930" s="144"/>
    </row>
    <row r="931" spans="11:36">
      <c r="K931" s="85"/>
      <c r="L931" s="54" t="str">
        <f t="shared" si="79"/>
        <v/>
      </c>
      <c r="M931" s="38" t="str">
        <f t="shared" si="82"/>
        <v>0100</v>
      </c>
      <c r="N931" s="69">
        <f t="shared" si="81"/>
        <v>256</v>
      </c>
      <c r="O931" s="95"/>
      <c r="P931" s="96"/>
      <c r="Q931" s="97"/>
      <c r="R931" s="149"/>
      <c r="S931" s="153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2"/>
      <c r="AD931" s="143"/>
      <c r="AE931" s="143"/>
      <c r="AF931" s="143"/>
      <c r="AG931" s="143"/>
      <c r="AH931" s="143"/>
      <c r="AI931" s="143"/>
      <c r="AJ931" s="144"/>
    </row>
    <row r="932" spans="11:36">
      <c r="K932" s="85"/>
      <c r="L932" s="54" t="str">
        <f t="shared" si="79"/>
        <v/>
      </c>
      <c r="M932" s="38" t="str">
        <f t="shared" si="82"/>
        <v>0100</v>
      </c>
      <c r="N932" s="69">
        <f t="shared" si="81"/>
        <v>256</v>
      </c>
      <c r="O932" s="95"/>
      <c r="P932" s="96"/>
      <c r="Q932" s="97"/>
      <c r="R932" s="149"/>
      <c r="S932" s="153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2"/>
      <c r="AD932" s="143"/>
      <c r="AE932" s="143"/>
      <c r="AF932" s="143"/>
      <c r="AG932" s="143"/>
      <c r="AH932" s="143"/>
      <c r="AI932" s="143"/>
      <c r="AJ932" s="144"/>
    </row>
    <row r="933" spans="11:36">
      <c r="K933" s="85"/>
      <c r="L933" s="54" t="str">
        <f t="shared" si="79"/>
        <v/>
      </c>
      <c r="M933" s="38" t="str">
        <f t="shared" si="82"/>
        <v>0100</v>
      </c>
      <c r="N933" s="69">
        <f t="shared" si="81"/>
        <v>256</v>
      </c>
      <c r="O933" s="95"/>
      <c r="P933" s="96"/>
      <c r="Q933" s="97"/>
      <c r="R933" s="149"/>
      <c r="S933" s="153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2"/>
      <c r="AD933" s="143"/>
      <c r="AE933" s="143"/>
      <c r="AF933" s="143"/>
      <c r="AG933" s="143"/>
      <c r="AH933" s="143"/>
      <c r="AI933" s="143"/>
      <c r="AJ933" s="144"/>
    </row>
    <row r="934" spans="11:36">
      <c r="K934" s="85"/>
      <c r="L934" s="54" t="str">
        <f t="shared" si="79"/>
        <v/>
      </c>
      <c r="M934" s="38" t="str">
        <f t="shared" si="82"/>
        <v>0100</v>
      </c>
      <c r="N934" s="69">
        <f t="shared" si="81"/>
        <v>256</v>
      </c>
      <c r="O934" s="95"/>
      <c r="P934" s="96"/>
      <c r="Q934" s="97"/>
      <c r="R934" s="149"/>
      <c r="S934" s="153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2"/>
      <c r="AD934" s="143"/>
      <c r="AE934" s="143"/>
      <c r="AF934" s="143"/>
      <c r="AG934" s="143"/>
      <c r="AH934" s="143"/>
      <c r="AI934" s="143"/>
      <c r="AJ934" s="144"/>
    </row>
    <row r="935" spans="11:36">
      <c r="K935" s="85"/>
      <c r="L935" s="54" t="str">
        <f t="shared" si="79"/>
        <v/>
      </c>
      <c r="M935" s="38" t="str">
        <f t="shared" si="82"/>
        <v>0100</v>
      </c>
      <c r="N935" s="69">
        <f t="shared" si="81"/>
        <v>256</v>
      </c>
      <c r="O935" s="95"/>
      <c r="P935" s="96"/>
      <c r="Q935" s="97"/>
      <c r="R935" s="149"/>
      <c r="S935" s="153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2"/>
      <c r="AD935" s="143"/>
      <c r="AE935" s="143"/>
      <c r="AF935" s="143"/>
      <c r="AG935" s="143"/>
      <c r="AH935" s="143"/>
      <c r="AI935" s="143"/>
      <c r="AJ935" s="144"/>
    </row>
    <row r="936" spans="11:36">
      <c r="K936" s="85"/>
      <c r="L936" s="54" t="str">
        <f t="shared" si="79"/>
        <v/>
      </c>
      <c r="M936" s="38" t="str">
        <f t="shared" si="82"/>
        <v>0100</v>
      </c>
      <c r="N936" s="69">
        <f t="shared" si="81"/>
        <v>256</v>
      </c>
      <c r="O936" s="95"/>
      <c r="P936" s="96"/>
      <c r="Q936" s="97"/>
      <c r="R936" s="149"/>
      <c r="S936" s="153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2"/>
      <c r="AD936" s="143"/>
      <c r="AE936" s="143"/>
      <c r="AF936" s="143"/>
      <c r="AG936" s="143"/>
      <c r="AH936" s="143"/>
      <c r="AI936" s="143"/>
      <c r="AJ936" s="144"/>
    </row>
    <row r="937" spans="11:36">
      <c r="K937" s="85"/>
      <c r="L937" s="54" t="str">
        <f t="shared" si="79"/>
        <v/>
      </c>
      <c r="M937" s="38" t="str">
        <f t="shared" si="82"/>
        <v>0100</v>
      </c>
      <c r="N937" s="69">
        <f t="shared" si="81"/>
        <v>256</v>
      </c>
      <c r="O937" s="95"/>
      <c r="P937" s="96"/>
      <c r="Q937" s="97"/>
      <c r="R937" s="149"/>
      <c r="S937" s="153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2"/>
      <c r="AD937" s="143"/>
      <c r="AE937" s="143"/>
      <c r="AF937" s="143"/>
      <c r="AG937" s="143"/>
      <c r="AH937" s="143"/>
      <c r="AI937" s="143"/>
      <c r="AJ937" s="144"/>
    </row>
    <row r="938" spans="11:36">
      <c r="K938" s="85"/>
      <c r="L938" s="54" t="str">
        <f t="shared" si="79"/>
        <v/>
      </c>
      <c r="M938" s="38" t="str">
        <f t="shared" si="82"/>
        <v>0100</v>
      </c>
      <c r="N938" s="69">
        <f t="shared" si="81"/>
        <v>256</v>
      </c>
      <c r="O938" s="95"/>
      <c r="P938" s="96"/>
      <c r="Q938" s="97"/>
      <c r="R938" s="149"/>
      <c r="S938" s="153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2"/>
      <c r="AD938" s="143"/>
      <c r="AE938" s="143"/>
      <c r="AF938" s="143"/>
      <c r="AG938" s="143"/>
      <c r="AH938" s="143"/>
      <c r="AI938" s="143"/>
      <c r="AJ938" s="144"/>
    </row>
    <row r="939" spans="11:36">
      <c r="K939" s="85"/>
      <c r="L939" s="54" t="str">
        <f t="shared" si="79"/>
        <v/>
      </c>
      <c r="M939" s="38" t="str">
        <f t="shared" si="82"/>
        <v>0100</v>
      </c>
      <c r="N939" s="69">
        <f t="shared" si="81"/>
        <v>256</v>
      </c>
      <c r="O939" s="95"/>
      <c r="P939" s="96"/>
      <c r="Q939" s="97"/>
      <c r="R939" s="149"/>
      <c r="S939" s="153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2"/>
      <c r="AD939" s="143"/>
      <c r="AE939" s="143"/>
      <c r="AF939" s="143"/>
      <c r="AG939" s="143"/>
      <c r="AH939" s="143"/>
      <c r="AI939" s="143"/>
      <c r="AJ939" s="144"/>
    </row>
    <row r="940" spans="11:36">
      <c r="K940" s="85"/>
      <c r="L940" s="54" t="str">
        <f t="shared" si="79"/>
        <v/>
      </c>
      <c r="M940" s="38" t="str">
        <f t="shared" si="82"/>
        <v>0100</v>
      </c>
      <c r="N940" s="69">
        <f t="shared" si="81"/>
        <v>256</v>
      </c>
      <c r="O940" s="95"/>
      <c r="P940" s="96"/>
      <c r="Q940" s="97"/>
      <c r="R940" s="149"/>
      <c r="S940" s="153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2"/>
      <c r="AD940" s="143"/>
      <c r="AE940" s="143"/>
      <c r="AF940" s="143"/>
      <c r="AG940" s="143"/>
      <c r="AH940" s="143"/>
      <c r="AI940" s="143"/>
      <c r="AJ940" s="144"/>
    </row>
    <row r="941" spans="11:36">
      <c r="K941" s="85"/>
      <c r="L941" s="54" t="str">
        <f t="shared" si="79"/>
        <v/>
      </c>
      <c r="M941" s="38" t="str">
        <f t="shared" si="82"/>
        <v>0100</v>
      </c>
      <c r="N941" s="69">
        <f t="shared" si="81"/>
        <v>256</v>
      </c>
      <c r="O941" s="95"/>
      <c r="P941" s="96"/>
      <c r="Q941" s="97"/>
      <c r="R941" s="149"/>
      <c r="S941" s="153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2"/>
      <c r="AD941" s="143"/>
      <c r="AE941" s="143"/>
      <c r="AF941" s="143"/>
      <c r="AG941" s="143"/>
      <c r="AH941" s="143"/>
      <c r="AI941" s="143"/>
      <c r="AJ941" s="144"/>
    </row>
    <row r="942" spans="11:36">
      <c r="K942" s="85"/>
      <c r="L942" s="54" t="str">
        <f t="shared" si="79"/>
        <v/>
      </c>
      <c r="M942" s="38" t="str">
        <f t="shared" si="82"/>
        <v>0100</v>
      </c>
      <c r="N942" s="69">
        <f t="shared" si="81"/>
        <v>256</v>
      </c>
      <c r="O942" s="95"/>
      <c r="P942" s="96"/>
      <c r="Q942" s="97"/>
      <c r="R942" s="149"/>
      <c r="S942" s="153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2"/>
      <c r="AD942" s="143"/>
      <c r="AE942" s="143"/>
      <c r="AF942" s="143"/>
      <c r="AG942" s="143"/>
      <c r="AH942" s="143"/>
      <c r="AI942" s="143"/>
      <c r="AJ942" s="144"/>
    </row>
    <row r="943" spans="11:36">
      <c r="K943" s="85"/>
      <c r="L943" s="54" t="str">
        <f t="shared" si="79"/>
        <v/>
      </c>
      <c r="M943" s="38" t="str">
        <f t="shared" si="82"/>
        <v>0100</v>
      </c>
      <c r="N943" s="69">
        <f t="shared" si="81"/>
        <v>256</v>
      </c>
      <c r="O943" s="95"/>
      <c r="P943" s="96"/>
      <c r="Q943" s="97"/>
      <c r="R943" s="149"/>
      <c r="S943" s="153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2"/>
      <c r="AD943" s="143"/>
      <c r="AE943" s="143"/>
      <c r="AF943" s="143"/>
      <c r="AG943" s="143"/>
      <c r="AH943" s="143"/>
      <c r="AI943" s="143"/>
      <c r="AJ943" s="144"/>
    </row>
    <row r="944" spans="11:36">
      <c r="K944" s="85"/>
      <c r="L944" s="54" t="str">
        <f t="shared" si="79"/>
        <v/>
      </c>
      <c r="M944" s="38" t="str">
        <f t="shared" si="82"/>
        <v>0100</v>
      </c>
      <c r="N944" s="69">
        <f t="shared" si="81"/>
        <v>256</v>
      </c>
      <c r="O944" s="95"/>
      <c r="P944" s="96"/>
      <c r="Q944" s="97"/>
      <c r="R944" s="149"/>
      <c r="S944" s="153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2"/>
      <c r="AD944" s="143"/>
      <c r="AE944" s="143"/>
      <c r="AF944" s="143"/>
      <c r="AG944" s="143"/>
      <c r="AH944" s="143"/>
      <c r="AI944" s="143"/>
      <c r="AJ944" s="144"/>
    </row>
    <row r="945" spans="11:36">
      <c r="K945" s="85"/>
      <c r="L945" s="54" t="str">
        <f t="shared" si="79"/>
        <v/>
      </c>
      <c r="M945" s="38" t="str">
        <f t="shared" si="82"/>
        <v>0100</v>
      </c>
      <c r="N945" s="69">
        <f t="shared" si="81"/>
        <v>256</v>
      </c>
      <c r="O945" s="95"/>
      <c r="P945" s="96"/>
      <c r="Q945" s="97"/>
      <c r="R945" s="149"/>
      <c r="S945" s="153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2"/>
      <c r="AD945" s="143"/>
      <c r="AE945" s="143"/>
      <c r="AF945" s="143"/>
      <c r="AG945" s="143"/>
      <c r="AH945" s="143"/>
      <c r="AI945" s="143"/>
      <c r="AJ945" s="144"/>
    </row>
    <row r="946" spans="11:36">
      <c r="K946" s="85"/>
      <c r="L946" s="54" t="str">
        <f t="shared" si="79"/>
        <v/>
      </c>
      <c r="M946" s="38" t="str">
        <f t="shared" si="82"/>
        <v>0100</v>
      </c>
      <c r="N946" s="69">
        <f t="shared" si="81"/>
        <v>256</v>
      </c>
      <c r="O946" s="95"/>
      <c r="P946" s="96"/>
      <c r="Q946" s="97"/>
      <c r="R946" s="149"/>
      <c r="S946" s="153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2"/>
      <c r="AD946" s="143"/>
      <c r="AE946" s="143"/>
      <c r="AF946" s="143"/>
      <c r="AG946" s="143"/>
      <c r="AH946" s="143"/>
      <c r="AI946" s="143"/>
      <c r="AJ946" s="144"/>
    </row>
    <row r="947" spans="11:36">
      <c r="K947" s="85"/>
      <c r="L947" s="54" t="str">
        <f t="shared" si="79"/>
        <v/>
      </c>
      <c r="M947" s="38" t="str">
        <f t="shared" si="82"/>
        <v>0100</v>
      </c>
      <c r="N947" s="69">
        <f t="shared" si="81"/>
        <v>256</v>
      </c>
      <c r="O947" s="95"/>
      <c r="P947" s="96"/>
      <c r="Q947" s="97"/>
      <c r="R947" s="149"/>
      <c r="S947" s="153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2"/>
      <c r="AD947" s="143"/>
      <c r="AE947" s="143"/>
      <c r="AF947" s="143"/>
      <c r="AG947" s="143"/>
      <c r="AH947" s="143"/>
      <c r="AI947" s="143"/>
      <c r="AJ947" s="144"/>
    </row>
    <row r="948" spans="11:36">
      <c r="K948" s="85"/>
      <c r="L948" s="54" t="str">
        <f t="shared" si="79"/>
        <v/>
      </c>
      <c r="M948" s="38" t="str">
        <f t="shared" si="82"/>
        <v>0100</v>
      </c>
      <c r="N948" s="69">
        <f t="shared" si="81"/>
        <v>256</v>
      </c>
      <c r="O948" s="95"/>
      <c r="P948" s="96"/>
      <c r="Q948" s="97"/>
      <c r="R948" s="149"/>
      <c r="S948" s="153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2"/>
      <c r="AD948" s="143"/>
      <c r="AE948" s="143"/>
      <c r="AF948" s="143"/>
      <c r="AG948" s="143"/>
      <c r="AH948" s="143"/>
      <c r="AI948" s="143"/>
      <c r="AJ948" s="144"/>
    </row>
    <row r="949" spans="11:36">
      <c r="K949" s="85"/>
      <c r="L949" s="54" t="str">
        <f t="shared" si="79"/>
        <v/>
      </c>
      <c r="M949" s="38" t="str">
        <f t="shared" si="82"/>
        <v>0100</v>
      </c>
      <c r="N949" s="69">
        <f t="shared" si="81"/>
        <v>256</v>
      </c>
      <c r="O949" s="95"/>
      <c r="P949" s="96"/>
      <c r="Q949" s="97"/>
      <c r="R949" s="149"/>
      <c r="S949" s="153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2"/>
      <c r="AD949" s="143"/>
      <c r="AE949" s="143"/>
      <c r="AF949" s="143"/>
      <c r="AG949" s="143"/>
      <c r="AH949" s="143"/>
      <c r="AI949" s="143"/>
      <c r="AJ949" s="144"/>
    </row>
    <row r="950" spans="11:36">
      <c r="K950" s="85"/>
      <c r="L950" s="54" t="str">
        <f t="shared" si="79"/>
        <v/>
      </c>
      <c r="M950" s="38" t="str">
        <f t="shared" si="82"/>
        <v>0100</v>
      </c>
      <c r="N950" s="69">
        <f t="shared" si="81"/>
        <v>256</v>
      </c>
      <c r="O950" s="95"/>
      <c r="P950" s="96"/>
      <c r="Q950" s="97"/>
      <c r="R950" s="149"/>
      <c r="S950" s="153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2"/>
      <c r="AD950" s="143"/>
      <c r="AE950" s="143"/>
      <c r="AF950" s="143"/>
      <c r="AG950" s="143"/>
      <c r="AH950" s="143"/>
      <c r="AI950" s="143"/>
      <c r="AJ950" s="144"/>
    </row>
    <row r="951" spans="11:36">
      <c r="K951" s="85"/>
      <c r="L951" s="54" t="str">
        <f t="shared" si="79"/>
        <v/>
      </c>
      <c r="M951" s="38" t="str">
        <f t="shared" si="82"/>
        <v>0100</v>
      </c>
      <c r="N951" s="69">
        <f t="shared" si="81"/>
        <v>256</v>
      </c>
      <c r="O951" s="95"/>
      <c r="P951" s="96"/>
      <c r="Q951" s="97"/>
      <c r="R951" s="149"/>
      <c r="S951" s="153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2"/>
      <c r="AD951" s="143"/>
      <c r="AE951" s="143"/>
      <c r="AF951" s="143"/>
      <c r="AG951" s="143"/>
      <c r="AH951" s="143"/>
      <c r="AI951" s="143"/>
      <c r="AJ951" s="144"/>
    </row>
    <row r="952" spans="11:36">
      <c r="K952" s="85"/>
      <c r="L952" s="54" t="str">
        <f t="shared" si="79"/>
        <v/>
      </c>
      <c r="M952" s="38" t="str">
        <f t="shared" si="82"/>
        <v>0100</v>
      </c>
      <c r="N952" s="69">
        <f t="shared" si="81"/>
        <v>256</v>
      </c>
      <c r="O952" s="95"/>
      <c r="P952" s="96"/>
      <c r="Q952" s="97"/>
      <c r="R952" s="149"/>
      <c r="S952" s="153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2"/>
      <c r="AD952" s="143"/>
      <c r="AE952" s="143"/>
      <c r="AF952" s="143"/>
      <c r="AG952" s="143"/>
      <c r="AH952" s="143"/>
      <c r="AI952" s="143"/>
      <c r="AJ952" s="144"/>
    </row>
    <row r="953" spans="11:36">
      <c r="K953" s="85"/>
      <c r="L953" s="54" t="str">
        <f t="shared" si="79"/>
        <v/>
      </c>
      <c r="M953" s="38" t="str">
        <f t="shared" si="82"/>
        <v>0100</v>
      </c>
      <c r="N953" s="69">
        <f t="shared" si="81"/>
        <v>256</v>
      </c>
      <c r="O953" s="95"/>
      <c r="P953" s="96"/>
      <c r="Q953" s="97"/>
      <c r="R953" s="149"/>
      <c r="S953" s="153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2"/>
      <c r="AD953" s="143"/>
      <c r="AE953" s="143"/>
      <c r="AF953" s="143"/>
      <c r="AG953" s="143"/>
      <c r="AH953" s="143"/>
      <c r="AI953" s="143"/>
      <c r="AJ953" s="144"/>
    </row>
    <row r="954" spans="11:36">
      <c r="K954" s="85"/>
      <c r="L954" s="54" t="str">
        <f t="shared" si="79"/>
        <v/>
      </c>
      <c r="M954" s="38" t="str">
        <f t="shared" si="82"/>
        <v>0100</v>
      </c>
      <c r="N954" s="69">
        <f t="shared" si="81"/>
        <v>256</v>
      </c>
      <c r="O954" s="95"/>
      <c r="P954" s="96"/>
      <c r="Q954" s="97"/>
      <c r="R954" s="149"/>
      <c r="S954" s="153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2"/>
      <c r="AD954" s="143"/>
      <c r="AE954" s="143"/>
      <c r="AF954" s="143"/>
      <c r="AG954" s="143"/>
      <c r="AH954" s="143"/>
      <c r="AI954" s="143"/>
      <c r="AJ954" s="144"/>
    </row>
    <row r="955" spans="11:36">
      <c r="K955" s="85"/>
      <c r="L955" s="54" t="str">
        <f t="shared" si="79"/>
        <v/>
      </c>
      <c r="M955" s="38" t="str">
        <f t="shared" si="82"/>
        <v>0100</v>
      </c>
      <c r="N955" s="69">
        <f t="shared" si="81"/>
        <v>256</v>
      </c>
      <c r="O955" s="95"/>
      <c r="P955" s="96"/>
      <c r="Q955" s="97"/>
      <c r="R955" s="149"/>
      <c r="S955" s="153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2"/>
      <c r="AD955" s="143"/>
      <c r="AE955" s="143"/>
      <c r="AF955" s="143"/>
      <c r="AG955" s="143"/>
      <c r="AH955" s="143"/>
      <c r="AI955" s="143"/>
      <c r="AJ955" s="144"/>
    </row>
    <row r="956" spans="11:36">
      <c r="K956" s="85"/>
      <c r="L956" s="54" t="str">
        <f t="shared" si="79"/>
        <v/>
      </c>
      <c r="M956" s="38" t="str">
        <f t="shared" si="82"/>
        <v>0100</v>
      </c>
      <c r="N956" s="69">
        <f t="shared" si="81"/>
        <v>256</v>
      </c>
      <c r="O956" s="95"/>
      <c r="P956" s="96"/>
      <c r="Q956" s="97"/>
      <c r="R956" s="149"/>
      <c r="S956" s="153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2"/>
      <c r="AD956" s="143"/>
      <c r="AE956" s="143"/>
      <c r="AF956" s="143"/>
      <c r="AG956" s="143"/>
      <c r="AH956" s="143"/>
      <c r="AI956" s="143"/>
      <c r="AJ956" s="144"/>
    </row>
    <row r="957" spans="11:36">
      <c r="K957" s="85"/>
      <c r="L957" s="54" t="str">
        <f t="shared" si="79"/>
        <v/>
      </c>
      <c r="M957" s="38" t="str">
        <f t="shared" si="82"/>
        <v>0100</v>
      </c>
      <c r="N957" s="69">
        <f t="shared" si="81"/>
        <v>256</v>
      </c>
      <c r="O957" s="95"/>
      <c r="P957" s="96"/>
      <c r="Q957" s="97"/>
      <c r="R957" s="149"/>
      <c r="S957" s="153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2"/>
      <c r="AD957" s="143"/>
      <c r="AE957" s="143"/>
      <c r="AF957" s="143"/>
      <c r="AG957" s="143"/>
      <c r="AH957" s="143"/>
      <c r="AI957" s="143"/>
      <c r="AJ957" s="144"/>
    </row>
    <row r="958" spans="11:36">
      <c r="K958" s="85"/>
      <c r="L958" s="54" t="str">
        <f t="shared" si="79"/>
        <v/>
      </c>
      <c r="M958" s="38" t="str">
        <f t="shared" si="82"/>
        <v>0100</v>
      </c>
      <c r="N958" s="69">
        <f t="shared" si="81"/>
        <v>256</v>
      </c>
      <c r="O958" s="95"/>
      <c r="P958" s="96"/>
      <c r="Q958" s="97"/>
      <c r="R958" s="149"/>
      <c r="S958" s="153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2"/>
      <c r="AD958" s="143"/>
      <c r="AE958" s="143"/>
      <c r="AF958" s="143"/>
      <c r="AG958" s="143"/>
      <c r="AH958" s="143"/>
      <c r="AI958" s="143"/>
      <c r="AJ958" s="144"/>
    </row>
    <row r="959" spans="11:36">
      <c r="K959" s="85"/>
      <c r="L959" s="54" t="str">
        <f t="shared" si="79"/>
        <v/>
      </c>
      <c r="M959" s="38" t="str">
        <f t="shared" si="82"/>
        <v>0100</v>
      </c>
      <c r="N959" s="69">
        <f t="shared" si="81"/>
        <v>256</v>
      </c>
      <c r="O959" s="95"/>
      <c r="P959" s="96"/>
      <c r="Q959" s="97"/>
      <c r="R959" s="149"/>
      <c r="S959" s="153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2"/>
      <c r="AD959" s="143"/>
      <c r="AE959" s="143"/>
      <c r="AF959" s="143"/>
      <c r="AG959" s="143"/>
      <c r="AH959" s="143"/>
      <c r="AI959" s="143"/>
      <c r="AJ959" s="144"/>
    </row>
    <row r="960" spans="11:36">
      <c r="K960" s="85"/>
      <c r="L960" s="54" t="str">
        <f t="shared" si="79"/>
        <v/>
      </c>
      <c r="M960" s="38" t="str">
        <f t="shared" si="82"/>
        <v>0100</v>
      </c>
      <c r="N960" s="69">
        <f t="shared" si="81"/>
        <v>256</v>
      </c>
      <c r="O960" s="95"/>
      <c r="P960" s="96"/>
      <c r="Q960" s="97"/>
      <c r="R960" s="149"/>
      <c r="S960" s="153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2"/>
      <c r="AD960" s="143"/>
      <c r="AE960" s="143"/>
      <c r="AF960" s="143"/>
      <c r="AG960" s="143"/>
      <c r="AH960" s="143"/>
      <c r="AI960" s="143"/>
      <c r="AJ960" s="144"/>
    </row>
    <row r="961" spans="11:36">
      <c r="K961" s="85"/>
      <c r="L961" s="54" t="str">
        <f t="shared" si="79"/>
        <v/>
      </c>
      <c r="M961" s="38" t="str">
        <f t="shared" si="82"/>
        <v>0100</v>
      </c>
      <c r="N961" s="69">
        <f t="shared" si="81"/>
        <v>256</v>
      </c>
      <c r="O961" s="95"/>
      <c r="P961" s="96"/>
      <c r="Q961" s="97"/>
      <c r="R961" s="149"/>
      <c r="S961" s="153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2"/>
      <c r="AD961" s="143"/>
      <c r="AE961" s="143"/>
      <c r="AF961" s="143"/>
      <c r="AG961" s="143"/>
      <c r="AH961" s="143"/>
      <c r="AI961" s="143"/>
      <c r="AJ961" s="144"/>
    </row>
    <row r="962" spans="11:36">
      <c r="K962" s="85"/>
      <c r="L962" s="54" t="str">
        <f t="shared" si="79"/>
        <v/>
      </c>
      <c r="M962" s="38" t="str">
        <f t="shared" si="82"/>
        <v>0100</v>
      </c>
      <c r="N962" s="69">
        <f t="shared" si="81"/>
        <v>256</v>
      </c>
      <c r="O962" s="95"/>
      <c r="P962" s="96"/>
      <c r="Q962" s="97"/>
      <c r="R962" s="149"/>
      <c r="S962" s="153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2"/>
      <c r="AD962" s="143"/>
      <c r="AE962" s="143"/>
      <c r="AF962" s="143"/>
      <c r="AG962" s="143"/>
      <c r="AH962" s="143"/>
      <c r="AI962" s="143"/>
      <c r="AJ962" s="144"/>
    </row>
    <row r="963" spans="11:36">
      <c r="K963" s="85"/>
      <c r="L963" s="54" t="str">
        <f t="shared" si="79"/>
        <v/>
      </c>
      <c r="M963" s="38" t="str">
        <f t="shared" si="82"/>
        <v>0100</v>
      </c>
      <c r="N963" s="69">
        <f t="shared" si="81"/>
        <v>256</v>
      </c>
      <c r="O963" s="95"/>
      <c r="P963" s="96"/>
      <c r="Q963" s="97"/>
      <c r="R963" s="149"/>
      <c r="S963" s="153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2"/>
      <c r="AD963" s="143"/>
      <c r="AE963" s="143"/>
      <c r="AF963" s="143"/>
      <c r="AG963" s="143"/>
      <c r="AH963" s="143"/>
      <c r="AI963" s="143"/>
      <c r="AJ963" s="144"/>
    </row>
    <row r="964" spans="11:36">
      <c r="K964" s="85"/>
      <c r="L964" s="54" t="str">
        <f t="shared" si="79"/>
        <v/>
      </c>
      <c r="M964" s="38" t="str">
        <f t="shared" si="82"/>
        <v>0100</v>
      </c>
      <c r="N964" s="69">
        <f t="shared" si="81"/>
        <v>256</v>
      </c>
      <c r="O964" s="95"/>
      <c r="P964" s="96"/>
      <c r="Q964" s="97"/>
      <c r="R964" s="149"/>
      <c r="S964" s="153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2"/>
      <c r="AD964" s="143"/>
      <c r="AE964" s="143"/>
      <c r="AF964" s="143"/>
      <c r="AG964" s="143"/>
      <c r="AH964" s="143"/>
      <c r="AI964" s="143"/>
      <c r="AJ964" s="144"/>
    </row>
    <row r="965" spans="11:36">
      <c r="K965" s="85"/>
      <c r="L965" s="54" t="str">
        <f t="shared" si="79"/>
        <v/>
      </c>
      <c r="M965" s="38" t="str">
        <f t="shared" si="82"/>
        <v>0100</v>
      </c>
      <c r="N965" s="69">
        <f t="shared" si="81"/>
        <v>256</v>
      </c>
      <c r="O965" s="95"/>
      <c r="P965" s="96"/>
      <c r="Q965" s="97"/>
      <c r="R965" s="149"/>
      <c r="S965" s="153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2"/>
      <c r="AD965" s="143"/>
      <c r="AE965" s="143"/>
      <c r="AF965" s="143"/>
      <c r="AG965" s="143"/>
      <c r="AH965" s="143"/>
      <c r="AI965" s="143"/>
      <c r="AJ965" s="144"/>
    </row>
    <row r="966" spans="11:36">
      <c r="K966" s="85"/>
      <c r="L966" s="54" t="str">
        <f t="shared" si="79"/>
        <v/>
      </c>
      <c r="M966" s="38" t="str">
        <f t="shared" si="82"/>
        <v>0100</v>
      </c>
      <c r="N966" s="69">
        <f t="shared" si="81"/>
        <v>256</v>
      </c>
      <c r="O966" s="95"/>
      <c r="P966" s="96"/>
      <c r="Q966" s="97"/>
      <c r="R966" s="149"/>
      <c r="S966" s="153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2"/>
      <c r="AD966" s="143"/>
      <c r="AE966" s="143"/>
      <c r="AF966" s="143"/>
      <c r="AG966" s="143"/>
      <c r="AH966" s="143"/>
      <c r="AI966" s="143"/>
      <c r="AJ966" s="144"/>
    </row>
    <row r="967" spans="11:36">
      <c r="K967" s="85"/>
      <c r="L967" s="54" t="str">
        <f t="shared" si="79"/>
        <v/>
      </c>
      <c r="M967" s="38" t="str">
        <f t="shared" si="82"/>
        <v>0100</v>
      </c>
      <c r="N967" s="69">
        <f t="shared" si="81"/>
        <v>256</v>
      </c>
      <c r="O967" s="95"/>
      <c r="P967" s="96"/>
      <c r="Q967" s="97"/>
      <c r="R967" s="149"/>
      <c r="S967" s="153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2"/>
      <c r="AD967" s="143"/>
      <c r="AE967" s="143"/>
      <c r="AF967" s="143"/>
      <c r="AG967" s="143"/>
      <c r="AH967" s="143"/>
      <c r="AI967" s="143"/>
      <c r="AJ967" s="144"/>
    </row>
    <row r="968" spans="11:36">
      <c r="K968" s="85"/>
      <c r="L968" s="54" t="str">
        <f t="shared" si="79"/>
        <v/>
      </c>
      <c r="M968" s="38" t="str">
        <f t="shared" si="82"/>
        <v>0100</v>
      </c>
      <c r="N968" s="69">
        <f t="shared" si="81"/>
        <v>256</v>
      </c>
      <c r="O968" s="95"/>
      <c r="P968" s="96"/>
      <c r="Q968" s="97"/>
      <c r="R968" s="149"/>
      <c r="S968" s="153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2"/>
      <c r="AD968" s="143"/>
      <c r="AE968" s="143"/>
      <c r="AF968" s="143"/>
      <c r="AG968" s="143"/>
      <c r="AH968" s="143"/>
      <c r="AI968" s="143"/>
      <c r="AJ968" s="144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0100</v>
      </c>
      <c r="N969" s="69">
        <f t="shared" si="81"/>
        <v>256</v>
      </c>
      <c r="O969" s="95"/>
      <c r="P969" s="96"/>
      <c r="Q969" s="97"/>
      <c r="R969" s="149"/>
      <c r="S969" s="153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2"/>
      <c r="AD969" s="143"/>
      <c r="AE969" s="143"/>
      <c r="AF969" s="143"/>
      <c r="AG969" s="143"/>
      <c r="AH969" s="143"/>
      <c r="AI969" s="143"/>
      <c r="AJ969" s="144"/>
    </row>
    <row r="970" spans="11:36">
      <c r="K970" s="85"/>
      <c r="L970" s="54" t="str">
        <f t="shared" si="83"/>
        <v/>
      </c>
      <c r="M970" s="38" t="str">
        <f t="shared" si="82"/>
        <v>0100</v>
      </c>
      <c r="N970" s="69">
        <f t="shared" ref="N970:N1033" si="85">N969+S969</f>
        <v>256</v>
      </c>
      <c r="O970" s="95"/>
      <c r="P970" s="96"/>
      <c r="Q970" s="97"/>
      <c r="R970" s="149"/>
      <c r="S970" s="153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2"/>
      <c r="AD970" s="143"/>
      <c r="AE970" s="143"/>
      <c r="AF970" s="143"/>
      <c r="AG970" s="143"/>
      <c r="AH970" s="143"/>
      <c r="AI970" s="143"/>
      <c r="AJ970" s="144"/>
    </row>
    <row r="971" spans="11:36">
      <c r="K971" s="85"/>
      <c r="L971" s="54" t="str">
        <f t="shared" si="83"/>
        <v/>
      </c>
      <c r="M971" s="38" t="str">
        <f t="shared" si="82"/>
        <v>0100</v>
      </c>
      <c r="N971" s="69">
        <f t="shared" si="85"/>
        <v>256</v>
      </c>
      <c r="O971" s="95"/>
      <c r="P971" s="96"/>
      <c r="Q971" s="97"/>
      <c r="R971" s="149"/>
      <c r="S971" s="153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2"/>
      <c r="AD971" s="143"/>
      <c r="AE971" s="143"/>
      <c r="AF971" s="143"/>
      <c r="AG971" s="143"/>
      <c r="AH971" s="143"/>
      <c r="AI971" s="143"/>
      <c r="AJ971" s="144"/>
    </row>
    <row r="972" spans="11:36">
      <c r="K972" s="85"/>
      <c r="L972" s="54" t="str">
        <f t="shared" si="83"/>
        <v/>
      </c>
      <c r="M972" s="38" t="str">
        <f t="shared" si="82"/>
        <v>0100</v>
      </c>
      <c r="N972" s="69">
        <f t="shared" si="85"/>
        <v>256</v>
      </c>
      <c r="O972" s="95"/>
      <c r="P972" s="96"/>
      <c r="Q972" s="97"/>
      <c r="R972" s="149"/>
      <c r="S972" s="153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2"/>
      <c r="AD972" s="143"/>
      <c r="AE972" s="143"/>
      <c r="AF972" s="143"/>
      <c r="AG972" s="143"/>
      <c r="AH972" s="143"/>
      <c r="AI972" s="143"/>
      <c r="AJ972" s="144"/>
    </row>
    <row r="973" spans="11:36">
      <c r="K973" s="85"/>
      <c r="L973" s="54" t="str">
        <f t="shared" si="83"/>
        <v/>
      </c>
      <c r="M973" s="38" t="str">
        <f t="shared" si="82"/>
        <v>0100</v>
      </c>
      <c r="N973" s="69">
        <f t="shared" si="85"/>
        <v>256</v>
      </c>
      <c r="O973" s="95"/>
      <c r="P973" s="96"/>
      <c r="Q973" s="97"/>
      <c r="R973" s="149"/>
      <c r="S973" s="153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2"/>
      <c r="AD973" s="143"/>
      <c r="AE973" s="143"/>
      <c r="AF973" s="143"/>
      <c r="AG973" s="143"/>
      <c r="AH973" s="143"/>
      <c r="AI973" s="143"/>
      <c r="AJ973" s="144"/>
    </row>
    <row r="974" spans="11:36">
      <c r="K974" s="85"/>
      <c r="L974" s="54" t="str">
        <f t="shared" si="83"/>
        <v/>
      </c>
      <c r="M974" s="38" t="str">
        <f t="shared" si="82"/>
        <v>0100</v>
      </c>
      <c r="N974" s="69">
        <f t="shared" si="85"/>
        <v>256</v>
      </c>
      <c r="O974" s="95"/>
      <c r="P974" s="96"/>
      <c r="Q974" s="97"/>
      <c r="R974" s="149"/>
      <c r="S974" s="153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2"/>
      <c r="AD974" s="143"/>
      <c r="AE974" s="143"/>
      <c r="AF974" s="143"/>
      <c r="AG974" s="143"/>
      <c r="AH974" s="143"/>
      <c r="AI974" s="143"/>
      <c r="AJ974" s="144"/>
    </row>
    <row r="975" spans="11:36">
      <c r="K975" s="85"/>
      <c r="L975" s="54" t="str">
        <f t="shared" si="83"/>
        <v/>
      </c>
      <c r="M975" s="38" t="str">
        <f t="shared" si="82"/>
        <v>0100</v>
      </c>
      <c r="N975" s="69">
        <f t="shared" si="85"/>
        <v>256</v>
      </c>
      <c r="O975" s="95"/>
      <c r="P975" s="96"/>
      <c r="Q975" s="97"/>
      <c r="R975" s="149"/>
      <c r="S975" s="153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2"/>
      <c r="AD975" s="143"/>
      <c r="AE975" s="143"/>
      <c r="AF975" s="143"/>
      <c r="AG975" s="143"/>
      <c r="AH975" s="143"/>
      <c r="AI975" s="143"/>
      <c r="AJ975" s="144"/>
    </row>
    <row r="976" spans="11:36">
      <c r="K976" s="85"/>
      <c r="L976" s="54" t="str">
        <f t="shared" si="83"/>
        <v/>
      </c>
      <c r="M976" s="38" t="str">
        <f t="shared" si="82"/>
        <v>0100</v>
      </c>
      <c r="N976" s="69">
        <f t="shared" si="85"/>
        <v>256</v>
      </c>
      <c r="O976" s="95"/>
      <c r="P976" s="96"/>
      <c r="Q976" s="97"/>
      <c r="R976" s="149"/>
      <c r="S976" s="153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2"/>
      <c r="AD976" s="143"/>
      <c r="AE976" s="143"/>
      <c r="AF976" s="143"/>
      <c r="AG976" s="143"/>
      <c r="AH976" s="143"/>
      <c r="AI976" s="143"/>
      <c r="AJ976" s="144"/>
    </row>
    <row r="977" spans="11:36">
      <c r="K977" s="85"/>
      <c r="L977" s="54" t="str">
        <f t="shared" si="83"/>
        <v/>
      </c>
      <c r="M977" s="38" t="str">
        <f t="shared" si="82"/>
        <v>0100</v>
      </c>
      <c r="N977" s="69">
        <f t="shared" si="85"/>
        <v>256</v>
      </c>
      <c r="O977" s="95"/>
      <c r="P977" s="96"/>
      <c r="Q977" s="97"/>
      <c r="R977" s="149"/>
      <c r="S977" s="153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2"/>
      <c r="AD977" s="143"/>
      <c r="AE977" s="143"/>
      <c r="AF977" s="143"/>
      <c r="AG977" s="143"/>
      <c r="AH977" s="143"/>
      <c r="AI977" s="143"/>
      <c r="AJ977" s="144"/>
    </row>
    <row r="978" spans="11:36">
      <c r="K978" s="85"/>
      <c r="L978" s="54" t="str">
        <f t="shared" si="83"/>
        <v/>
      </c>
      <c r="M978" s="38" t="str">
        <f t="shared" si="82"/>
        <v>0100</v>
      </c>
      <c r="N978" s="69">
        <f t="shared" si="85"/>
        <v>256</v>
      </c>
      <c r="O978" s="95"/>
      <c r="P978" s="96"/>
      <c r="Q978" s="97"/>
      <c r="R978" s="149"/>
      <c r="S978" s="153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2"/>
      <c r="AD978" s="143"/>
      <c r="AE978" s="143"/>
      <c r="AF978" s="143"/>
      <c r="AG978" s="143"/>
      <c r="AH978" s="143"/>
      <c r="AI978" s="143"/>
      <c r="AJ978" s="144"/>
    </row>
    <row r="979" spans="11:36">
      <c r="K979" s="85"/>
      <c r="L979" s="54" t="str">
        <f t="shared" si="83"/>
        <v/>
      </c>
      <c r="M979" s="38" t="str">
        <f t="shared" si="82"/>
        <v>0100</v>
      </c>
      <c r="N979" s="69">
        <f t="shared" si="85"/>
        <v>256</v>
      </c>
      <c r="O979" s="95"/>
      <c r="P979" s="96"/>
      <c r="Q979" s="97"/>
      <c r="R979" s="149"/>
      <c r="S979" s="153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2"/>
      <c r="AD979" s="143"/>
      <c r="AE979" s="143"/>
      <c r="AF979" s="143"/>
      <c r="AG979" s="143"/>
      <c r="AH979" s="143"/>
      <c r="AI979" s="143"/>
      <c r="AJ979" s="144"/>
    </row>
    <row r="980" spans="11:36">
      <c r="K980" s="85"/>
      <c r="L980" s="54" t="str">
        <f t="shared" si="83"/>
        <v/>
      </c>
      <c r="M980" s="38" t="str">
        <f t="shared" si="82"/>
        <v>0100</v>
      </c>
      <c r="N980" s="69">
        <f t="shared" si="85"/>
        <v>256</v>
      </c>
      <c r="O980" s="95"/>
      <c r="P980" s="96"/>
      <c r="Q980" s="97"/>
      <c r="R980" s="149"/>
      <c r="S980" s="153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2"/>
      <c r="AD980" s="143"/>
      <c r="AE980" s="143"/>
      <c r="AF980" s="143"/>
      <c r="AG980" s="143"/>
      <c r="AH980" s="143"/>
      <c r="AI980" s="143"/>
      <c r="AJ980" s="144"/>
    </row>
    <row r="981" spans="11:36">
      <c r="K981" s="85"/>
      <c r="L981" s="54" t="str">
        <f t="shared" si="83"/>
        <v/>
      </c>
      <c r="M981" s="38" t="str">
        <f t="shared" si="82"/>
        <v>0100</v>
      </c>
      <c r="N981" s="69">
        <f t="shared" si="85"/>
        <v>256</v>
      </c>
      <c r="O981" s="95"/>
      <c r="P981" s="96"/>
      <c r="Q981" s="97"/>
      <c r="R981" s="149"/>
      <c r="S981" s="153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2"/>
      <c r="AD981" s="143"/>
      <c r="AE981" s="143"/>
      <c r="AF981" s="143"/>
      <c r="AG981" s="143"/>
      <c r="AH981" s="143"/>
      <c r="AI981" s="143"/>
      <c r="AJ981" s="144"/>
    </row>
    <row r="982" spans="11:36">
      <c r="K982" s="85"/>
      <c r="L982" s="54" t="str">
        <f t="shared" si="83"/>
        <v/>
      </c>
      <c r="M982" s="38" t="str">
        <f t="shared" si="82"/>
        <v>0100</v>
      </c>
      <c r="N982" s="69">
        <f t="shared" si="85"/>
        <v>256</v>
      </c>
      <c r="O982" s="95"/>
      <c r="P982" s="96"/>
      <c r="Q982" s="97"/>
      <c r="R982" s="149"/>
      <c r="S982" s="153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2"/>
      <c r="AD982" s="143"/>
      <c r="AE982" s="143"/>
      <c r="AF982" s="143"/>
      <c r="AG982" s="143"/>
      <c r="AH982" s="143"/>
      <c r="AI982" s="143"/>
      <c r="AJ982" s="144"/>
    </row>
    <row r="983" spans="11:36">
      <c r="K983" s="85"/>
      <c r="L983" s="54" t="str">
        <f t="shared" si="83"/>
        <v/>
      </c>
      <c r="M983" s="38" t="str">
        <f t="shared" si="82"/>
        <v>0100</v>
      </c>
      <c r="N983" s="69">
        <f t="shared" si="85"/>
        <v>256</v>
      </c>
      <c r="O983" s="95"/>
      <c r="P983" s="96"/>
      <c r="Q983" s="97"/>
      <c r="R983" s="149"/>
      <c r="S983" s="153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2"/>
      <c r="AD983" s="143"/>
      <c r="AE983" s="143"/>
      <c r="AF983" s="143"/>
      <c r="AG983" s="143"/>
      <c r="AH983" s="143"/>
      <c r="AI983" s="143"/>
      <c r="AJ983" s="144"/>
    </row>
    <row r="984" spans="11:36">
      <c r="K984" s="85"/>
      <c r="L984" s="54" t="str">
        <f t="shared" si="83"/>
        <v/>
      </c>
      <c r="M984" s="38" t="str">
        <f t="shared" si="82"/>
        <v>0100</v>
      </c>
      <c r="N984" s="69">
        <f t="shared" si="85"/>
        <v>256</v>
      </c>
      <c r="O984" s="95"/>
      <c r="P984" s="96"/>
      <c r="Q984" s="97"/>
      <c r="R984" s="149"/>
      <c r="S984" s="153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2"/>
      <c r="AD984" s="143"/>
      <c r="AE984" s="143"/>
      <c r="AF984" s="143"/>
      <c r="AG984" s="143"/>
      <c r="AH984" s="143"/>
      <c r="AI984" s="143"/>
      <c r="AJ984" s="144"/>
    </row>
    <row r="985" spans="11:36">
      <c r="K985" s="85"/>
      <c r="L985" s="54" t="str">
        <f t="shared" si="83"/>
        <v/>
      </c>
      <c r="M985" s="38" t="str">
        <f t="shared" si="82"/>
        <v>0100</v>
      </c>
      <c r="N985" s="69">
        <f t="shared" si="85"/>
        <v>256</v>
      </c>
      <c r="O985" s="95"/>
      <c r="P985" s="96"/>
      <c r="Q985" s="97"/>
      <c r="R985" s="149"/>
      <c r="S985" s="153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2"/>
      <c r="AD985" s="143"/>
      <c r="AE985" s="143"/>
      <c r="AF985" s="143"/>
      <c r="AG985" s="143"/>
      <c r="AH985" s="143"/>
      <c r="AI985" s="143"/>
      <c r="AJ985" s="144"/>
    </row>
    <row r="986" spans="11:36">
      <c r="K986" s="85"/>
      <c r="L986" s="54" t="str">
        <f t="shared" si="83"/>
        <v/>
      </c>
      <c r="M986" s="38" t="str">
        <f t="shared" si="82"/>
        <v>0100</v>
      </c>
      <c r="N986" s="69">
        <f t="shared" si="85"/>
        <v>256</v>
      </c>
      <c r="O986" s="95"/>
      <c r="P986" s="96"/>
      <c r="Q986" s="97"/>
      <c r="R986" s="149"/>
      <c r="S986" s="153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2"/>
      <c r="AD986" s="143"/>
      <c r="AE986" s="143"/>
      <c r="AF986" s="143"/>
      <c r="AG986" s="143"/>
      <c r="AH986" s="143"/>
      <c r="AI986" s="143"/>
      <c r="AJ986" s="144"/>
    </row>
    <row r="987" spans="11:36">
      <c r="K987" s="85"/>
      <c r="L987" s="54" t="str">
        <f t="shared" si="83"/>
        <v/>
      </c>
      <c r="M987" s="38" t="str">
        <f t="shared" si="82"/>
        <v>0100</v>
      </c>
      <c r="N987" s="69">
        <f t="shared" si="85"/>
        <v>256</v>
      </c>
      <c r="O987" s="95"/>
      <c r="P987" s="96"/>
      <c r="Q987" s="97"/>
      <c r="R987" s="149"/>
      <c r="S987" s="153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2"/>
      <c r="AD987" s="143"/>
      <c r="AE987" s="143"/>
      <c r="AF987" s="143"/>
      <c r="AG987" s="143"/>
      <c r="AH987" s="143"/>
      <c r="AI987" s="143"/>
      <c r="AJ987" s="144"/>
    </row>
    <row r="988" spans="11:36">
      <c r="K988" s="85"/>
      <c r="L988" s="54" t="str">
        <f t="shared" si="83"/>
        <v/>
      </c>
      <c r="M988" s="38" t="str">
        <f t="shared" si="82"/>
        <v>0100</v>
      </c>
      <c r="N988" s="69">
        <f t="shared" si="85"/>
        <v>256</v>
      </c>
      <c r="O988" s="95"/>
      <c r="P988" s="96"/>
      <c r="Q988" s="97"/>
      <c r="R988" s="149"/>
      <c r="S988" s="153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2"/>
      <c r="AD988" s="143"/>
      <c r="AE988" s="143"/>
      <c r="AF988" s="143"/>
      <c r="AG988" s="143"/>
      <c r="AH988" s="143"/>
      <c r="AI988" s="143"/>
      <c r="AJ988" s="144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0100</v>
      </c>
      <c r="N989" s="69">
        <f t="shared" si="85"/>
        <v>256</v>
      </c>
      <c r="O989" s="95"/>
      <c r="P989" s="96"/>
      <c r="Q989" s="97"/>
      <c r="R989" s="149"/>
      <c r="S989" s="153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2"/>
      <c r="AD989" s="143"/>
      <c r="AE989" s="143"/>
      <c r="AF989" s="143"/>
      <c r="AG989" s="143"/>
      <c r="AH989" s="143"/>
      <c r="AI989" s="143"/>
      <c r="AJ989" s="144"/>
    </row>
    <row r="990" spans="11:36">
      <c r="K990" s="85"/>
      <c r="L990" s="54" t="str">
        <f t="shared" si="83"/>
        <v/>
      </c>
      <c r="M990" s="38" t="str">
        <f t="shared" si="86"/>
        <v>0100</v>
      </c>
      <c r="N990" s="69">
        <f t="shared" si="85"/>
        <v>256</v>
      </c>
      <c r="O990" s="95"/>
      <c r="P990" s="96"/>
      <c r="Q990" s="97"/>
      <c r="R990" s="149"/>
      <c r="S990" s="153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2"/>
      <c r="AD990" s="143"/>
      <c r="AE990" s="143"/>
      <c r="AF990" s="143"/>
      <c r="AG990" s="143"/>
      <c r="AH990" s="143"/>
      <c r="AI990" s="143"/>
      <c r="AJ990" s="144"/>
    </row>
    <row r="991" spans="11:36">
      <c r="K991" s="85"/>
      <c r="L991" s="54" t="str">
        <f t="shared" si="83"/>
        <v/>
      </c>
      <c r="M991" s="38" t="str">
        <f t="shared" si="86"/>
        <v>0100</v>
      </c>
      <c r="N991" s="69">
        <f t="shared" si="85"/>
        <v>256</v>
      </c>
      <c r="O991" s="95"/>
      <c r="P991" s="96"/>
      <c r="Q991" s="97"/>
      <c r="R991" s="149"/>
      <c r="S991" s="153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2"/>
      <c r="AD991" s="143"/>
      <c r="AE991" s="143"/>
      <c r="AF991" s="143"/>
      <c r="AG991" s="143"/>
      <c r="AH991" s="143"/>
      <c r="AI991" s="143"/>
      <c r="AJ991" s="144"/>
    </row>
    <row r="992" spans="11:36">
      <c r="K992" s="85"/>
      <c r="L992" s="54" t="str">
        <f t="shared" si="83"/>
        <v/>
      </c>
      <c r="M992" s="38" t="str">
        <f t="shared" si="86"/>
        <v>0100</v>
      </c>
      <c r="N992" s="69">
        <f t="shared" si="85"/>
        <v>256</v>
      </c>
      <c r="O992" s="95"/>
      <c r="P992" s="96"/>
      <c r="Q992" s="97"/>
      <c r="R992" s="149"/>
      <c r="S992" s="153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2"/>
      <c r="AD992" s="143"/>
      <c r="AE992" s="143"/>
      <c r="AF992" s="143"/>
      <c r="AG992" s="143"/>
      <c r="AH992" s="143"/>
      <c r="AI992" s="143"/>
      <c r="AJ992" s="144"/>
    </row>
    <row r="993" spans="11:36">
      <c r="K993" s="85"/>
      <c r="L993" s="54" t="str">
        <f t="shared" si="83"/>
        <v/>
      </c>
      <c r="M993" s="38" t="str">
        <f t="shared" si="86"/>
        <v>0100</v>
      </c>
      <c r="N993" s="69">
        <f t="shared" si="85"/>
        <v>256</v>
      </c>
      <c r="O993" s="95"/>
      <c r="P993" s="96"/>
      <c r="Q993" s="97"/>
      <c r="R993" s="149"/>
      <c r="S993" s="153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2"/>
      <c r="AD993" s="143"/>
      <c r="AE993" s="143"/>
      <c r="AF993" s="143"/>
      <c r="AG993" s="143"/>
      <c r="AH993" s="143"/>
      <c r="AI993" s="143"/>
      <c r="AJ993" s="144"/>
    </row>
    <row r="994" spans="11:36">
      <c r="K994" s="85"/>
      <c r="L994" s="54" t="str">
        <f t="shared" si="83"/>
        <v/>
      </c>
      <c r="M994" s="38" t="str">
        <f t="shared" si="86"/>
        <v>0100</v>
      </c>
      <c r="N994" s="69">
        <f t="shared" si="85"/>
        <v>256</v>
      </c>
      <c r="O994" s="95"/>
      <c r="P994" s="96"/>
      <c r="Q994" s="97"/>
      <c r="R994" s="149"/>
      <c r="S994" s="153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2"/>
      <c r="AD994" s="143"/>
      <c r="AE994" s="143"/>
      <c r="AF994" s="143"/>
      <c r="AG994" s="143"/>
      <c r="AH994" s="143"/>
      <c r="AI994" s="143"/>
      <c r="AJ994" s="144"/>
    </row>
    <row r="995" spans="11:36">
      <c r="K995" s="85"/>
      <c r="L995" s="54" t="str">
        <f t="shared" si="83"/>
        <v/>
      </c>
      <c r="M995" s="38" t="str">
        <f t="shared" si="86"/>
        <v>0100</v>
      </c>
      <c r="N995" s="69">
        <f t="shared" si="85"/>
        <v>256</v>
      </c>
      <c r="O995" s="95"/>
      <c r="P995" s="96"/>
      <c r="Q995" s="97"/>
      <c r="R995" s="149"/>
      <c r="S995" s="153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2"/>
      <c r="AD995" s="143"/>
      <c r="AE995" s="143"/>
      <c r="AF995" s="143"/>
      <c r="AG995" s="143"/>
      <c r="AH995" s="143"/>
      <c r="AI995" s="143"/>
      <c r="AJ995" s="144"/>
    </row>
    <row r="996" spans="11:36">
      <c r="K996" s="85"/>
      <c r="L996" s="54" t="str">
        <f t="shared" si="83"/>
        <v/>
      </c>
      <c r="M996" s="38" t="str">
        <f t="shared" si="86"/>
        <v>0100</v>
      </c>
      <c r="N996" s="69">
        <f t="shared" si="85"/>
        <v>256</v>
      </c>
      <c r="O996" s="95"/>
      <c r="P996" s="96"/>
      <c r="Q996" s="97"/>
      <c r="R996" s="149"/>
      <c r="S996" s="153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2"/>
      <c r="AD996" s="143"/>
      <c r="AE996" s="143"/>
      <c r="AF996" s="143"/>
      <c r="AG996" s="143"/>
      <c r="AH996" s="143"/>
      <c r="AI996" s="143"/>
      <c r="AJ996" s="144"/>
    </row>
    <row r="997" spans="11:36">
      <c r="K997" s="85"/>
      <c r="L997" s="54" t="str">
        <f t="shared" si="83"/>
        <v/>
      </c>
      <c r="M997" s="38" t="str">
        <f t="shared" si="86"/>
        <v>0100</v>
      </c>
      <c r="N997" s="69">
        <f t="shared" si="85"/>
        <v>256</v>
      </c>
      <c r="O997" s="95"/>
      <c r="P997" s="96"/>
      <c r="Q997" s="97"/>
      <c r="R997" s="149"/>
      <c r="S997" s="153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2"/>
      <c r="AD997" s="143"/>
      <c r="AE997" s="143"/>
      <c r="AF997" s="143"/>
      <c r="AG997" s="143"/>
      <c r="AH997" s="143"/>
      <c r="AI997" s="143"/>
      <c r="AJ997" s="144"/>
    </row>
    <row r="998" spans="11:36">
      <c r="K998" s="85"/>
      <c r="L998" s="54" t="str">
        <f t="shared" si="83"/>
        <v/>
      </c>
      <c r="M998" s="38" t="str">
        <f t="shared" si="86"/>
        <v>0100</v>
      </c>
      <c r="N998" s="69">
        <f t="shared" si="85"/>
        <v>256</v>
      </c>
      <c r="O998" s="95"/>
      <c r="P998" s="96"/>
      <c r="Q998" s="97"/>
      <c r="R998" s="149"/>
      <c r="S998" s="153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2"/>
      <c r="AD998" s="143"/>
      <c r="AE998" s="143"/>
      <c r="AF998" s="143"/>
      <c r="AG998" s="143"/>
      <c r="AH998" s="143"/>
      <c r="AI998" s="143"/>
      <c r="AJ998" s="144"/>
    </row>
    <row r="999" spans="11:36">
      <c r="K999" s="85"/>
      <c r="L999" s="54" t="str">
        <f t="shared" si="83"/>
        <v/>
      </c>
      <c r="M999" s="38" t="str">
        <f t="shared" si="86"/>
        <v>0100</v>
      </c>
      <c r="N999" s="69">
        <f t="shared" si="85"/>
        <v>256</v>
      </c>
      <c r="O999" s="95"/>
      <c r="P999" s="96"/>
      <c r="Q999" s="97"/>
      <c r="R999" s="149"/>
      <c r="S999" s="153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2"/>
      <c r="AD999" s="143"/>
      <c r="AE999" s="143"/>
      <c r="AF999" s="143"/>
      <c r="AG999" s="143"/>
      <c r="AH999" s="143"/>
      <c r="AI999" s="143"/>
      <c r="AJ999" s="144"/>
    </row>
    <row r="1000" spans="11:36">
      <c r="K1000" s="85"/>
      <c r="L1000" s="54" t="str">
        <f t="shared" si="83"/>
        <v/>
      </c>
      <c r="M1000" s="38" t="str">
        <f t="shared" si="86"/>
        <v>0100</v>
      </c>
      <c r="N1000" s="69">
        <f t="shared" si="85"/>
        <v>256</v>
      </c>
      <c r="O1000" s="95"/>
      <c r="P1000" s="96"/>
      <c r="Q1000" s="97"/>
      <c r="R1000" s="149"/>
      <c r="S1000" s="153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2"/>
      <c r="AD1000" s="143"/>
      <c r="AE1000" s="143"/>
      <c r="AF1000" s="143"/>
      <c r="AG1000" s="143"/>
      <c r="AH1000" s="143"/>
      <c r="AI1000" s="143"/>
      <c r="AJ1000" s="144"/>
    </row>
    <row r="1001" spans="11:36">
      <c r="K1001" s="85"/>
      <c r="L1001" s="54" t="str">
        <f t="shared" si="83"/>
        <v/>
      </c>
      <c r="M1001" s="38" t="str">
        <f t="shared" si="86"/>
        <v>0100</v>
      </c>
      <c r="N1001" s="69">
        <f t="shared" si="85"/>
        <v>256</v>
      </c>
      <c r="O1001" s="95"/>
      <c r="P1001" s="96"/>
      <c r="Q1001" s="97"/>
      <c r="R1001" s="149"/>
      <c r="S1001" s="153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2"/>
      <c r="AD1001" s="143"/>
      <c r="AE1001" s="143"/>
      <c r="AF1001" s="143"/>
      <c r="AG1001" s="143"/>
      <c r="AH1001" s="143"/>
      <c r="AI1001" s="143"/>
      <c r="AJ1001" s="144"/>
    </row>
    <row r="1002" spans="11:36">
      <c r="K1002" s="85"/>
      <c r="L1002" s="54" t="str">
        <f t="shared" si="83"/>
        <v/>
      </c>
      <c r="M1002" s="38" t="str">
        <f t="shared" si="86"/>
        <v>0100</v>
      </c>
      <c r="N1002" s="69">
        <f t="shared" si="85"/>
        <v>256</v>
      </c>
      <c r="O1002" s="95"/>
      <c r="P1002" s="96"/>
      <c r="Q1002" s="97"/>
      <c r="R1002" s="149"/>
      <c r="S1002" s="153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2"/>
      <c r="AD1002" s="143"/>
      <c r="AE1002" s="143"/>
      <c r="AF1002" s="143"/>
      <c r="AG1002" s="143"/>
      <c r="AH1002" s="143"/>
      <c r="AI1002" s="143"/>
      <c r="AJ1002" s="144"/>
    </row>
    <row r="1003" spans="11:36">
      <c r="K1003" s="85"/>
      <c r="L1003" s="54" t="str">
        <f t="shared" si="83"/>
        <v/>
      </c>
      <c r="M1003" s="38" t="str">
        <f t="shared" si="86"/>
        <v>0100</v>
      </c>
      <c r="N1003" s="69">
        <f t="shared" si="85"/>
        <v>256</v>
      </c>
      <c r="O1003" s="95"/>
      <c r="P1003" s="96"/>
      <c r="Q1003" s="97"/>
      <c r="R1003" s="149"/>
      <c r="S1003" s="153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2"/>
      <c r="AD1003" s="143"/>
      <c r="AE1003" s="143"/>
      <c r="AF1003" s="143"/>
      <c r="AG1003" s="143"/>
      <c r="AH1003" s="143"/>
      <c r="AI1003" s="143"/>
      <c r="AJ1003" s="144"/>
    </row>
    <row r="1004" spans="11:36">
      <c r="K1004" s="85"/>
      <c r="L1004" s="54" t="str">
        <f t="shared" si="83"/>
        <v/>
      </c>
      <c r="M1004" s="38" t="str">
        <f t="shared" si="86"/>
        <v>0100</v>
      </c>
      <c r="N1004" s="69">
        <f t="shared" si="85"/>
        <v>256</v>
      </c>
      <c r="O1004" s="95"/>
      <c r="P1004" s="96"/>
      <c r="Q1004" s="97"/>
      <c r="R1004" s="149"/>
      <c r="S1004" s="153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2"/>
      <c r="AD1004" s="143"/>
      <c r="AE1004" s="143"/>
      <c r="AF1004" s="143"/>
      <c r="AG1004" s="143"/>
      <c r="AH1004" s="143"/>
      <c r="AI1004" s="143"/>
      <c r="AJ1004" s="144"/>
    </row>
    <row r="1005" spans="11:36">
      <c r="K1005" s="85"/>
      <c r="L1005" s="54" t="str">
        <f t="shared" si="83"/>
        <v/>
      </c>
      <c r="M1005" s="38" t="str">
        <f t="shared" si="86"/>
        <v>0100</v>
      </c>
      <c r="N1005" s="69">
        <f t="shared" si="85"/>
        <v>256</v>
      </c>
      <c r="O1005" s="95"/>
      <c r="P1005" s="96"/>
      <c r="Q1005" s="97"/>
      <c r="R1005" s="149"/>
      <c r="S1005" s="153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2"/>
      <c r="AD1005" s="143"/>
      <c r="AE1005" s="143"/>
      <c r="AF1005" s="143"/>
      <c r="AG1005" s="143"/>
      <c r="AH1005" s="143"/>
      <c r="AI1005" s="143"/>
      <c r="AJ1005" s="144"/>
    </row>
    <row r="1006" spans="11:36">
      <c r="K1006" s="85"/>
      <c r="L1006" s="54" t="str">
        <f t="shared" si="83"/>
        <v/>
      </c>
      <c r="M1006" s="38" t="str">
        <f t="shared" si="86"/>
        <v>0100</v>
      </c>
      <c r="N1006" s="69">
        <f t="shared" si="85"/>
        <v>256</v>
      </c>
      <c r="O1006" s="95"/>
      <c r="P1006" s="96"/>
      <c r="Q1006" s="97"/>
      <c r="R1006" s="149"/>
      <c r="S1006" s="153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2"/>
      <c r="AD1006" s="143"/>
      <c r="AE1006" s="143"/>
      <c r="AF1006" s="143"/>
      <c r="AG1006" s="143"/>
      <c r="AH1006" s="143"/>
      <c r="AI1006" s="143"/>
      <c r="AJ1006" s="144"/>
    </row>
    <row r="1007" spans="11:36">
      <c r="K1007" s="85"/>
      <c r="L1007" s="54" t="str">
        <f t="shared" si="83"/>
        <v/>
      </c>
      <c r="M1007" s="38" t="str">
        <f t="shared" si="86"/>
        <v>0100</v>
      </c>
      <c r="N1007" s="69">
        <f t="shared" si="85"/>
        <v>256</v>
      </c>
      <c r="O1007" s="95"/>
      <c r="P1007" s="96"/>
      <c r="Q1007" s="97"/>
      <c r="R1007" s="149"/>
      <c r="S1007" s="153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2"/>
      <c r="AD1007" s="143"/>
      <c r="AE1007" s="143"/>
      <c r="AF1007" s="143"/>
      <c r="AG1007" s="143"/>
      <c r="AH1007" s="143"/>
      <c r="AI1007" s="143"/>
      <c r="AJ1007" s="144"/>
    </row>
    <row r="1008" spans="11:36" ht="15.75" thickBot="1">
      <c r="K1008" s="85"/>
      <c r="L1008" s="54" t="str">
        <f t="shared" si="83"/>
        <v/>
      </c>
      <c r="M1008" s="38" t="str">
        <f t="shared" si="86"/>
        <v>0100</v>
      </c>
      <c r="N1008" s="69">
        <f t="shared" si="85"/>
        <v>256</v>
      </c>
      <c r="O1008" s="95"/>
      <c r="P1008" s="96"/>
      <c r="Q1008" s="97"/>
      <c r="R1008" s="149"/>
      <c r="S1008" s="153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2"/>
      <c r="AD1008" s="143"/>
      <c r="AE1008" s="143"/>
      <c r="AF1008" s="143"/>
      <c r="AG1008" s="143"/>
      <c r="AH1008" s="143"/>
      <c r="AI1008" s="143"/>
      <c r="AJ1008" s="144"/>
    </row>
    <row r="1009" spans="11:36">
      <c r="K1009" s="85"/>
      <c r="L1009" s="54" t="str">
        <f t="shared" si="83"/>
        <v/>
      </c>
      <c r="M1009" s="38" t="str">
        <f t="shared" si="86"/>
        <v>0100</v>
      </c>
      <c r="N1009" s="69">
        <f t="shared" si="85"/>
        <v>256</v>
      </c>
      <c r="O1009" s="95"/>
      <c r="P1009" s="96"/>
      <c r="Q1009" s="97"/>
      <c r="R1009" s="149"/>
      <c r="S1009" s="153">
        <f>IF(P1009="",0,IF(OR(O1009=";",P1009="EQU",P1009="ORG"),0,IF(P1009="DS",HEX2DEC(Q1009),IF(P1009="DB",LEN(Q1009)+1,VLOOKUP(TRIM(P1009),'8080 Op to Hex'!$A:$F,6,0)))))</f>
        <v>0</v>
      </c>
      <c r="AA1009" s="74"/>
      <c r="AB1009" s="12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2"/>
      <c r="AD1009" s="143"/>
      <c r="AE1009" s="143"/>
      <c r="AF1009" s="143"/>
      <c r="AG1009" s="143"/>
      <c r="AH1009" s="143"/>
      <c r="AI1009" s="143"/>
      <c r="AJ1009" s="144"/>
    </row>
    <row r="1010" spans="11:36">
      <c r="K1010" s="85"/>
      <c r="L1010" s="54" t="str">
        <f t="shared" si="83"/>
        <v/>
      </c>
      <c r="M1010" s="38" t="str">
        <f t="shared" si="86"/>
        <v>0100</v>
      </c>
      <c r="N1010" s="69">
        <f t="shared" si="85"/>
        <v>256</v>
      </c>
      <c r="O1010" s="95"/>
      <c r="P1010" s="96"/>
      <c r="Q1010" s="97"/>
      <c r="R1010" s="149"/>
      <c r="S1010" s="153">
        <f>IF(P1010="",0,IF(OR(O1010=";",P1010="EQU",P1010="ORG"),0,IF(P1010="DS",HEX2DEC(Q1010),IF(P1010="DB",LEN(Q1010)+1,VLOOKUP(TRIM(P1010),'8080 Op to Hex'!$A:$F,6,0)))))</f>
        <v>0</v>
      </c>
      <c r="AA1010" s="74"/>
      <c r="AB1010" s="12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2"/>
      <c r="AD1010" s="143"/>
      <c r="AE1010" s="143"/>
      <c r="AF1010" s="143"/>
      <c r="AG1010" s="143"/>
      <c r="AH1010" s="143"/>
      <c r="AI1010" s="143"/>
      <c r="AJ1010" s="144"/>
    </row>
    <row r="1011" spans="11:36">
      <c r="K1011" s="85"/>
      <c r="L1011" s="54" t="str">
        <f t="shared" si="83"/>
        <v/>
      </c>
      <c r="M1011" s="38" t="str">
        <f t="shared" si="86"/>
        <v>0100</v>
      </c>
      <c r="N1011" s="69">
        <f t="shared" si="85"/>
        <v>256</v>
      </c>
      <c r="O1011" s="95"/>
      <c r="P1011" s="96"/>
      <c r="Q1011" s="97"/>
      <c r="R1011" s="149"/>
      <c r="S1011" s="153">
        <f>IF(P1011="",0,IF(OR(O1011=";",P1011="EQU",P1011="ORG"),0,IF(P1011="DS",HEX2DEC(Q1011),IF(P1011="DB",LEN(Q1011)+1,VLOOKUP(TRIM(P1011),'8080 Op to Hex'!$A:$F,6,0)))))</f>
        <v>0</v>
      </c>
      <c r="AA1011" s="74"/>
      <c r="AB1011" s="12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2"/>
      <c r="AD1011" s="143"/>
      <c r="AE1011" s="143"/>
      <c r="AF1011" s="143"/>
      <c r="AG1011" s="143"/>
      <c r="AH1011" s="143"/>
      <c r="AI1011" s="143"/>
      <c r="AJ1011" s="144"/>
    </row>
    <row r="1012" spans="11:36">
      <c r="K1012" s="85"/>
      <c r="L1012" s="54" t="str">
        <f t="shared" si="83"/>
        <v/>
      </c>
      <c r="M1012" s="38" t="str">
        <f t="shared" si="86"/>
        <v>0100</v>
      </c>
      <c r="N1012" s="69">
        <f t="shared" si="85"/>
        <v>256</v>
      </c>
      <c r="O1012" s="95"/>
      <c r="P1012" s="96"/>
      <c r="Q1012" s="97"/>
      <c r="R1012" s="149"/>
      <c r="S1012" s="153">
        <f>IF(P1012="",0,IF(OR(O1012=";",P1012="EQU",P1012="ORG"),0,IF(P1012="DS",HEX2DEC(Q1012),IF(P1012="DB",LEN(Q1012)+1,VLOOKUP(TRIM(P1012),'8080 Op to Hex'!$A:$F,6,0)))))</f>
        <v>0</v>
      </c>
      <c r="AA1012" s="74"/>
      <c r="AB1012" s="12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2"/>
      <c r="AD1012" s="143"/>
      <c r="AE1012" s="143"/>
      <c r="AF1012" s="143"/>
      <c r="AG1012" s="143"/>
      <c r="AH1012" s="143"/>
      <c r="AI1012" s="143"/>
      <c r="AJ1012" s="144"/>
    </row>
    <row r="1013" spans="11:36">
      <c r="K1013" s="85"/>
      <c r="L1013" s="54" t="str">
        <f t="shared" si="83"/>
        <v/>
      </c>
      <c r="M1013" s="38" t="str">
        <f t="shared" si="86"/>
        <v>0100</v>
      </c>
      <c r="N1013" s="69">
        <f t="shared" si="85"/>
        <v>256</v>
      </c>
      <c r="O1013" s="95"/>
      <c r="P1013" s="96"/>
      <c r="Q1013" s="97"/>
      <c r="R1013" s="149"/>
      <c r="S1013" s="153">
        <f>IF(P1013="",0,IF(OR(O1013=";",P1013="EQU",P1013="ORG"),0,IF(P1013="DS",HEX2DEC(Q1013),IF(P1013="DB",LEN(Q1013)+1,VLOOKUP(TRIM(P1013),'8080 Op to Hex'!$A:$F,6,0)))))</f>
        <v>0</v>
      </c>
      <c r="AA1013" s="74"/>
      <c r="AB1013" s="12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2"/>
      <c r="AD1013" s="143"/>
      <c r="AE1013" s="143"/>
      <c r="AF1013" s="143"/>
      <c r="AG1013" s="143"/>
      <c r="AH1013" s="143"/>
      <c r="AI1013" s="143"/>
      <c r="AJ1013" s="144"/>
    </row>
    <row r="1014" spans="11:36">
      <c r="K1014" s="85"/>
      <c r="L1014" s="54" t="str">
        <f t="shared" si="83"/>
        <v/>
      </c>
      <c r="M1014" s="38" t="str">
        <f t="shared" si="86"/>
        <v>0100</v>
      </c>
      <c r="N1014" s="69">
        <f t="shared" si="85"/>
        <v>256</v>
      </c>
      <c r="O1014" s="95"/>
      <c r="P1014" s="96"/>
      <c r="Q1014" s="97"/>
      <c r="R1014" s="149"/>
      <c r="S1014" s="153">
        <f>IF(P1014="",0,IF(OR(O1014=";",P1014="EQU",P1014="ORG"),0,IF(P1014="DS",HEX2DEC(Q1014),IF(P1014="DB",LEN(Q1014)+1,VLOOKUP(TRIM(P1014),'8080 Op to Hex'!$A:$F,6,0)))))</f>
        <v>0</v>
      </c>
      <c r="AA1014" s="74"/>
      <c r="AB1014" s="12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2"/>
      <c r="AD1014" s="143"/>
      <c r="AE1014" s="143"/>
      <c r="AF1014" s="143"/>
      <c r="AG1014" s="143"/>
      <c r="AH1014" s="143"/>
      <c r="AI1014" s="143"/>
      <c r="AJ1014" s="144"/>
    </row>
    <row r="1015" spans="11:36">
      <c r="K1015" s="85"/>
      <c r="L1015" s="54" t="str">
        <f t="shared" si="83"/>
        <v/>
      </c>
      <c r="M1015" s="38" t="str">
        <f t="shared" si="86"/>
        <v>0100</v>
      </c>
      <c r="N1015" s="69">
        <f t="shared" si="85"/>
        <v>256</v>
      </c>
      <c r="O1015" s="95"/>
      <c r="P1015" s="96"/>
      <c r="Q1015" s="97"/>
      <c r="R1015" s="149"/>
      <c r="S1015" s="153">
        <f>IF(P1015="",0,IF(OR(O1015=";",P1015="EQU",P1015="ORG"),0,IF(P1015="DS",HEX2DEC(Q1015),IF(P1015="DB",LEN(Q1015)+1,VLOOKUP(TRIM(P1015),'8080 Op to Hex'!$A:$F,6,0)))))</f>
        <v>0</v>
      </c>
      <c r="AA1015" s="74"/>
      <c r="AB1015" s="12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2"/>
      <c r="AD1015" s="143"/>
      <c r="AE1015" s="143"/>
      <c r="AF1015" s="143"/>
      <c r="AG1015" s="143"/>
      <c r="AH1015" s="143"/>
      <c r="AI1015" s="143"/>
      <c r="AJ1015" s="144"/>
    </row>
    <row r="1016" spans="11:36">
      <c r="K1016" s="85"/>
      <c r="L1016" s="54" t="str">
        <f t="shared" si="83"/>
        <v/>
      </c>
      <c r="M1016" s="38" t="str">
        <f t="shared" si="86"/>
        <v>0100</v>
      </c>
      <c r="N1016" s="69">
        <f t="shared" si="85"/>
        <v>256</v>
      </c>
      <c r="O1016" s="95"/>
      <c r="P1016" s="96"/>
      <c r="Q1016" s="97"/>
      <c r="R1016" s="149"/>
      <c r="S1016" s="153">
        <f>IF(P1016="",0,IF(OR(O1016=";",P1016="EQU",P1016="ORG"),0,IF(P1016="DS",HEX2DEC(Q1016),IF(P1016="DB",LEN(Q1016)+1,VLOOKUP(TRIM(P1016),'8080 Op to Hex'!$A:$F,6,0)))))</f>
        <v>0</v>
      </c>
      <c r="AA1016" s="74"/>
      <c r="AB1016" s="12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2"/>
      <c r="AD1016" s="143"/>
      <c r="AE1016" s="143"/>
      <c r="AF1016" s="143"/>
      <c r="AG1016" s="143"/>
      <c r="AH1016" s="143"/>
      <c r="AI1016" s="143"/>
      <c r="AJ1016" s="144"/>
    </row>
    <row r="1017" spans="11:36">
      <c r="K1017" s="85"/>
      <c r="L1017" s="54" t="str">
        <f t="shared" si="83"/>
        <v/>
      </c>
      <c r="M1017" s="38" t="str">
        <f t="shared" si="86"/>
        <v>0100</v>
      </c>
      <c r="N1017" s="69">
        <f t="shared" si="85"/>
        <v>256</v>
      </c>
      <c r="O1017" s="95"/>
      <c r="P1017" s="96"/>
      <c r="Q1017" s="97"/>
      <c r="R1017" s="149"/>
      <c r="S1017" s="153">
        <f>IF(P1017="",0,IF(OR(O1017=";",P1017="EQU",P1017="ORG"),0,IF(P1017="DS",HEX2DEC(Q1017),IF(P1017="DB",LEN(Q1017)+1,VLOOKUP(TRIM(P1017),'8080 Op to Hex'!$A:$F,6,0)))))</f>
        <v>0</v>
      </c>
      <c r="AA1017" s="74"/>
      <c r="AB1017" s="12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2"/>
      <c r="AD1017" s="143"/>
      <c r="AE1017" s="143"/>
      <c r="AF1017" s="143"/>
      <c r="AG1017" s="143"/>
      <c r="AH1017" s="143"/>
      <c r="AI1017" s="143"/>
      <c r="AJ1017" s="144"/>
    </row>
    <row r="1018" spans="11:36">
      <c r="K1018" s="85"/>
      <c r="L1018" s="54" t="str">
        <f t="shared" si="83"/>
        <v/>
      </c>
      <c r="M1018" s="38" t="str">
        <f t="shared" si="86"/>
        <v>0100</v>
      </c>
      <c r="N1018" s="69">
        <f t="shared" si="85"/>
        <v>256</v>
      </c>
      <c r="O1018" s="95"/>
      <c r="P1018" s="96"/>
      <c r="Q1018" s="97"/>
      <c r="R1018" s="149"/>
      <c r="S1018" s="153">
        <f>IF(P1018="",0,IF(OR(O1018=";",P1018="EQU",P1018="ORG"),0,IF(P1018="DS",HEX2DEC(Q1018),IF(P1018="DB",LEN(Q1018)+1,VLOOKUP(TRIM(P1018),'8080 Op to Hex'!$A:$F,6,0)))))</f>
        <v>0</v>
      </c>
      <c r="AA1018" s="74"/>
      <c r="AB1018" s="12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2"/>
      <c r="AD1018" s="143"/>
      <c r="AE1018" s="143"/>
      <c r="AF1018" s="143"/>
      <c r="AG1018" s="143"/>
      <c r="AH1018" s="143"/>
      <c r="AI1018" s="143"/>
      <c r="AJ1018" s="144"/>
    </row>
    <row r="1019" spans="11:36">
      <c r="K1019" s="85"/>
      <c r="L1019" s="54" t="str">
        <f t="shared" si="83"/>
        <v/>
      </c>
      <c r="M1019" s="38" t="str">
        <f t="shared" si="86"/>
        <v>0100</v>
      </c>
      <c r="N1019" s="69">
        <f t="shared" si="85"/>
        <v>256</v>
      </c>
      <c r="O1019" s="95"/>
      <c r="P1019" s="96"/>
      <c r="Q1019" s="97"/>
      <c r="R1019" s="149"/>
      <c r="S1019" s="153">
        <f>IF(P1019="",0,IF(OR(O1019=";",P1019="EQU",P1019="ORG"),0,IF(P1019="DS",HEX2DEC(Q1019),IF(P1019="DB",LEN(Q1019)+1,VLOOKUP(TRIM(P1019),'8080 Op to Hex'!$A:$F,6,0)))))</f>
        <v>0</v>
      </c>
      <c r="AA1019" s="74"/>
      <c r="AB1019" s="12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2"/>
      <c r="AD1019" s="143"/>
      <c r="AE1019" s="143"/>
      <c r="AF1019" s="143"/>
      <c r="AG1019" s="143"/>
      <c r="AH1019" s="143"/>
      <c r="AI1019" s="143"/>
      <c r="AJ1019" s="144"/>
    </row>
    <row r="1020" spans="11:36">
      <c r="K1020" s="85"/>
      <c r="L1020" s="54" t="str">
        <f t="shared" si="83"/>
        <v/>
      </c>
      <c r="M1020" s="38" t="str">
        <f t="shared" si="86"/>
        <v>0100</v>
      </c>
      <c r="N1020" s="69">
        <f t="shared" si="85"/>
        <v>256</v>
      </c>
      <c r="O1020" s="95"/>
      <c r="P1020" s="96"/>
      <c r="Q1020" s="97"/>
      <c r="R1020" s="149"/>
      <c r="S1020" s="153">
        <f>IF(P1020="",0,IF(OR(O1020=";",P1020="EQU",P1020="ORG"),0,IF(P1020="DS",HEX2DEC(Q1020),IF(P1020="DB",LEN(Q1020)+1,VLOOKUP(TRIM(P1020),'8080 Op to Hex'!$A:$F,6,0)))))</f>
        <v>0</v>
      </c>
      <c r="AA1020" s="74"/>
      <c r="AB1020" s="12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2"/>
      <c r="AD1020" s="143"/>
      <c r="AE1020" s="143"/>
      <c r="AF1020" s="143"/>
      <c r="AG1020" s="143"/>
      <c r="AH1020" s="143"/>
      <c r="AI1020" s="143"/>
      <c r="AJ1020" s="144"/>
    </row>
    <row r="1021" spans="11:36">
      <c r="K1021" s="85"/>
      <c r="L1021" s="54" t="str">
        <f t="shared" si="83"/>
        <v/>
      </c>
      <c r="M1021" s="38" t="str">
        <f t="shared" si="86"/>
        <v>0100</v>
      </c>
      <c r="N1021" s="69">
        <f t="shared" si="85"/>
        <v>256</v>
      </c>
      <c r="O1021" s="95"/>
      <c r="P1021" s="96"/>
      <c r="Q1021" s="97"/>
      <c r="R1021" s="149"/>
      <c r="S1021" s="153">
        <f>IF(P1021="",0,IF(OR(O1021=";",P1021="EQU",P1021="ORG"),0,IF(P1021="DS",HEX2DEC(Q1021),IF(P1021="DB",LEN(Q1021)+1,VLOOKUP(TRIM(P1021),'8080 Op to Hex'!$A:$F,6,0)))))</f>
        <v>0</v>
      </c>
      <c r="AA1021" s="74"/>
      <c r="AB1021" s="12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2"/>
      <c r="AD1021" s="143"/>
      <c r="AE1021" s="143"/>
      <c r="AF1021" s="143"/>
      <c r="AG1021" s="143"/>
      <c r="AH1021" s="143"/>
      <c r="AI1021" s="143"/>
      <c r="AJ1021" s="144"/>
    </row>
    <row r="1022" spans="11:36">
      <c r="K1022" s="85"/>
      <c r="L1022" s="54" t="str">
        <f t="shared" si="83"/>
        <v/>
      </c>
      <c r="M1022" s="38" t="str">
        <f t="shared" si="86"/>
        <v>0100</v>
      </c>
      <c r="N1022" s="69">
        <f t="shared" si="85"/>
        <v>256</v>
      </c>
      <c r="O1022" s="95"/>
      <c r="P1022" s="96"/>
      <c r="Q1022" s="97"/>
      <c r="R1022" s="149"/>
      <c r="S1022" s="153">
        <f>IF(P1022="",0,IF(OR(O1022=";",P1022="EQU",P1022="ORG"),0,IF(P1022="DS",HEX2DEC(Q1022),IF(P1022="DB",LEN(Q1022)+1,VLOOKUP(TRIM(P1022),'8080 Op to Hex'!$A:$F,6,0)))))</f>
        <v>0</v>
      </c>
      <c r="AA1022" s="74"/>
      <c r="AB1022" s="12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2"/>
      <c r="AD1022" s="143"/>
      <c r="AE1022" s="143"/>
      <c r="AF1022" s="143"/>
      <c r="AG1022" s="143"/>
      <c r="AH1022" s="143"/>
      <c r="AI1022" s="143"/>
      <c r="AJ1022" s="144"/>
    </row>
    <row r="1023" spans="11:36">
      <c r="K1023" s="85"/>
      <c r="L1023" s="54" t="str">
        <f t="shared" si="83"/>
        <v/>
      </c>
      <c r="M1023" s="38" t="str">
        <f t="shared" si="86"/>
        <v>0100</v>
      </c>
      <c r="N1023" s="69">
        <f t="shared" si="85"/>
        <v>256</v>
      </c>
      <c r="O1023" s="95"/>
      <c r="P1023" s="96"/>
      <c r="Q1023" s="97"/>
      <c r="R1023" s="149"/>
      <c r="S1023" s="153">
        <f>IF(P1023="",0,IF(OR(O1023=";",P1023="EQU",P1023="ORG"),0,IF(P1023="DS",HEX2DEC(Q1023),IF(P1023="DB",LEN(Q1023)+1,VLOOKUP(TRIM(P1023),'8080 Op to Hex'!$A:$F,6,0)))))</f>
        <v>0</v>
      </c>
      <c r="AA1023" s="74"/>
      <c r="AB1023" s="12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2"/>
      <c r="AD1023" s="143"/>
      <c r="AE1023" s="143"/>
      <c r="AF1023" s="143"/>
      <c r="AG1023" s="143"/>
      <c r="AH1023" s="143"/>
      <c r="AI1023" s="143"/>
      <c r="AJ1023" s="144"/>
    </row>
    <row r="1024" spans="11:36">
      <c r="K1024" s="85"/>
      <c r="L1024" s="54" t="str">
        <f t="shared" si="83"/>
        <v/>
      </c>
      <c r="M1024" s="38" t="str">
        <f t="shared" si="86"/>
        <v>0100</v>
      </c>
      <c r="N1024" s="69">
        <f t="shared" si="85"/>
        <v>256</v>
      </c>
      <c r="O1024" s="95"/>
      <c r="P1024" s="96"/>
      <c r="Q1024" s="97"/>
      <c r="R1024" s="149"/>
      <c r="S1024" s="153">
        <f>IF(P1024="",0,IF(OR(O1024=";",P1024="EQU",P1024="ORG"),0,IF(P1024="DS",HEX2DEC(Q1024),IF(P1024="DB",LEN(Q1024)+1,VLOOKUP(TRIM(P1024),'8080 Op to Hex'!$A:$F,6,0)))))</f>
        <v>0</v>
      </c>
      <c r="AA1024" s="74"/>
      <c r="AB1024" s="12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2"/>
      <c r="AD1024" s="143"/>
      <c r="AE1024" s="143"/>
      <c r="AF1024" s="143"/>
      <c r="AG1024" s="143"/>
      <c r="AH1024" s="143"/>
      <c r="AI1024" s="143"/>
      <c r="AJ1024" s="144"/>
    </row>
    <row r="1025" spans="11:36">
      <c r="K1025" s="85"/>
      <c r="L1025" s="54" t="str">
        <f t="shared" si="83"/>
        <v/>
      </c>
      <c r="M1025" s="38" t="str">
        <f t="shared" si="86"/>
        <v>0100</v>
      </c>
      <c r="N1025" s="69">
        <f t="shared" si="85"/>
        <v>256</v>
      </c>
      <c r="O1025" s="95"/>
      <c r="P1025" s="96"/>
      <c r="Q1025" s="97"/>
      <c r="R1025" s="149"/>
      <c r="S1025" s="153">
        <f>IF(P1025="",0,IF(OR(O1025=";",P1025="EQU",P1025="ORG"),0,IF(P1025="DS",HEX2DEC(Q1025),IF(P1025="DB",LEN(Q1025)+1,VLOOKUP(TRIM(P1025),'8080 Op to Hex'!$A:$F,6,0)))))</f>
        <v>0</v>
      </c>
      <c r="AA1025" s="74"/>
      <c r="AB1025" s="12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2"/>
      <c r="AD1025" s="143"/>
      <c r="AE1025" s="143"/>
      <c r="AF1025" s="143"/>
      <c r="AG1025" s="143"/>
      <c r="AH1025" s="143"/>
      <c r="AI1025" s="143"/>
      <c r="AJ1025" s="144"/>
    </row>
    <row r="1026" spans="11:36">
      <c r="K1026" s="85"/>
      <c r="L1026" s="54" t="str">
        <f t="shared" si="83"/>
        <v/>
      </c>
      <c r="M1026" s="38" t="str">
        <f t="shared" si="86"/>
        <v>0100</v>
      </c>
      <c r="N1026" s="69">
        <f t="shared" si="85"/>
        <v>256</v>
      </c>
      <c r="O1026" s="95"/>
      <c r="P1026" s="96"/>
      <c r="Q1026" s="97"/>
      <c r="R1026" s="149"/>
      <c r="S1026" s="153">
        <f>IF(P1026="",0,IF(OR(O1026=";",P1026="EQU",P1026="ORG"),0,IF(P1026="DS",HEX2DEC(Q1026),IF(P1026="DB",LEN(Q1026)+1,VLOOKUP(TRIM(P1026),'8080 Op to Hex'!$A:$F,6,0)))))</f>
        <v>0</v>
      </c>
      <c r="AA1026" s="74"/>
      <c r="AB1026" s="12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2"/>
      <c r="AD1026" s="143"/>
      <c r="AE1026" s="143"/>
      <c r="AF1026" s="143"/>
      <c r="AG1026" s="143"/>
      <c r="AH1026" s="143"/>
      <c r="AI1026" s="143"/>
      <c r="AJ1026" s="144"/>
    </row>
    <row r="1027" spans="11:36">
      <c r="K1027" s="85"/>
      <c r="L1027" s="54" t="str">
        <f t="shared" si="83"/>
        <v/>
      </c>
      <c r="M1027" s="38" t="str">
        <f t="shared" si="86"/>
        <v>0100</v>
      </c>
      <c r="N1027" s="69">
        <f t="shared" si="85"/>
        <v>256</v>
      </c>
      <c r="O1027" s="95"/>
      <c r="P1027" s="96"/>
      <c r="Q1027" s="97"/>
      <c r="R1027" s="149"/>
      <c r="S1027" s="153">
        <f>IF(P1027="",0,IF(OR(O1027=";",P1027="EQU",P1027="ORG"),0,IF(P1027="DS",HEX2DEC(Q1027),IF(P1027="DB",LEN(Q1027)+1,VLOOKUP(TRIM(P1027),'8080 Op to Hex'!$A:$F,6,0)))))</f>
        <v>0</v>
      </c>
      <c r="AA1027" s="74"/>
      <c r="AB1027" s="12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2"/>
      <c r="AD1027" s="143"/>
      <c r="AE1027" s="143"/>
      <c r="AF1027" s="143"/>
      <c r="AG1027" s="143"/>
      <c r="AH1027" s="143"/>
      <c r="AI1027" s="143"/>
      <c r="AJ1027" s="144"/>
    </row>
    <row r="1028" spans="11:36">
      <c r="K1028" s="85"/>
      <c r="L1028" s="54" t="str">
        <f t="shared" si="83"/>
        <v/>
      </c>
      <c r="M1028" s="38" t="str">
        <f t="shared" si="86"/>
        <v>0100</v>
      </c>
      <c r="N1028" s="69">
        <f t="shared" si="85"/>
        <v>256</v>
      </c>
      <c r="O1028" s="95"/>
      <c r="P1028" s="96"/>
      <c r="Q1028" s="97"/>
      <c r="R1028" s="149"/>
      <c r="S1028" s="153">
        <f>IF(P1028="",0,IF(OR(O1028=";",P1028="EQU",P1028="ORG"),0,IF(P1028="DS",HEX2DEC(Q1028),IF(P1028="DB",LEN(Q1028)+1,VLOOKUP(TRIM(P1028),'8080 Op to Hex'!$A:$F,6,0)))))</f>
        <v>0</v>
      </c>
      <c r="AA1028" s="74"/>
      <c r="AB1028" s="12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2"/>
      <c r="AD1028" s="143"/>
      <c r="AE1028" s="143"/>
      <c r="AF1028" s="143"/>
      <c r="AG1028" s="143"/>
      <c r="AH1028" s="143"/>
      <c r="AI1028" s="143"/>
      <c r="AJ1028" s="144"/>
    </row>
    <row r="1029" spans="11:36">
      <c r="K1029" s="85"/>
      <c r="L1029" s="54" t="str">
        <f t="shared" si="83"/>
        <v/>
      </c>
      <c r="M1029" s="38" t="str">
        <f t="shared" si="86"/>
        <v>0100</v>
      </c>
      <c r="N1029" s="69">
        <f t="shared" si="85"/>
        <v>256</v>
      </c>
      <c r="O1029" s="95"/>
      <c r="P1029" s="96"/>
      <c r="Q1029" s="97"/>
      <c r="R1029" s="149"/>
      <c r="S1029" s="153">
        <f>IF(P1029="",0,IF(OR(O1029=";",P1029="EQU",P1029="ORG"),0,IF(P1029="DS",HEX2DEC(Q1029),IF(P1029="DB",LEN(Q1029)+1,VLOOKUP(TRIM(P1029),'8080 Op to Hex'!$A:$F,6,0)))))</f>
        <v>0</v>
      </c>
      <c r="AA1029" s="74"/>
      <c r="AB1029" s="12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2"/>
      <c r="AD1029" s="143"/>
      <c r="AE1029" s="143"/>
      <c r="AF1029" s="143"/>
      <c r="AG1029" s="143"/>
      <c r="AH1029" s="143"/>
      <c r="AI1029" s="143"/>
      <c r="AJ1029" s="144"/>
    </row>
    <row r="1030" spans="11:36">
      <c r="K1030" s="85"/>
      <c r="L1030" s="54" t="str">
        <f t="shared" si="83"/>
        <v/>
      </c>
      <c r="M1030" s="38" t="str">
        <f t="shared" si="86"/>
        <v>0100</v>
      </c>
      <c r="N1030" s="69">
        <f t="shared" si="85"/>
        <v>256</v>
      </c>
      <c r="O1030" s="95"/>
      <c r="P1030" s="96"/>
      <c r="Q1030" s="97"/>
      <c r="R1030" s="149"/>
      <c r="S1030" s="153">
        <f>IF(P1030="",0,IF(OR(O1030=";",P1030="EQU",P1030="ORG"),0,IF(P1030="DS",HEX2DEC(Q1030),IF(P1030="DB",LEN(Q1030)+1,VLOOKUP(TRIM(P1030),'8080 Op to Hex'!$A:$F,6,0)))))</f>
        <v>0</v>
      </c>
      <c r="AA1030" s="74"/>
      <c r="AB1030" s="12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2"/>
      <c r="AD1030" s="143"/>
      <c r="AE1030" s="143"/>
      <c r="AF1030" s="143"/>
      <c r="AG1030" s="143"/>
      <c r="AH1030" s="143"/>
      <c r="AI1030" s="143"/>
      <c r="AJ1030" s="144"/>
    </row>
    <row r="1031" spans="11:36">
      <c r="K1031" s="85"/>
      <c r="L1031" s="54" t="str">
        <f t="shared" si="83"/>
        <v/>
      </c>
      <c r="M1031" s="38" t="str">
        <f t="shared" si="86"/>
        <v>0100</v>
      </c>
      <c r="N1031" s="69">
        <f t="shared" si="85"/>
        <v>256</v>
      </c>
      <c r="O1031" s="95"/>
      <c r="P1031" s="96"/>
      <c r="Q1031" s="97"/>
      <c r="R1031" s="149"/>
      <c r="S1031" s="153">
        <f>IF(P1031="",0,IF(OR(O1031=";",P1031="EQU",P1031="ORG"),0,IF(P1031="DS",HEX2DEC(Q1031),IF(P1031="DB",LEN(Q1031)+1,VLOOKUP(TRIM(P1031),'8080 Op to Hex'!$A:$F,6,0)))))</f>
        <v>0</v>
      </c>
      <c r="AA1031" s="74"/>
      <c r="AB1031" s="12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2"/>
      <c r="AD1031" s="143"/>
      <c r="AE1031" s="143"/>
      <c r="AF1031" s="143"/>
      <c r="AG1031" s="143"/>
      <c r="AH1031" s="143"/>
      <c r="AI1031" s="143"/>
      <c r="AJ1031" s="144"/>
    </row>
    <row r="1032" spans="11:36">
      <c r="K1032" s="85"/>
      <c r="L1032" s="54" t="str">
        <f t="shared" si="83"/>
        <v/>
      </c>
      <c r="M1032" s="38" t="str">
        <f t="shared" si="86"/>
        <v>0100</v>
      </c>
      <c r="N1032" s="69">
        <f t="shared" si="85"/>
        <v>256</v>
      </c>
      <c r="O1032" s="95"/>
      <c r="P1032" s="96"/>
      <c r="Q1032" s="97"/>
      <c r="R1032" s="149"/>
      <c r="S1032" s="153">
        <f>IF(P1032="",0,IF(OR(O1032=";",P1032="EQU",P1032="ORG"),0,IF(P1032="DS",HEX2DEC(Q1032),IF(P1032="DB",LEN(Q1032)+1,VLOOKUP(TRIM(P1032),'8080 Op to Hex'!$A:$F,6,0)))))</f>
        <v>0</v>
      </c>
      <c r="AA1032" s="74"/>
      <c r="AB1032" s="12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2"/>
      <c r="AD1032" s="143"/>
      <c r="AE1032" s="143"/>
      <c r="AF1032" s="143"/>
      <c r="AG1032" s="143"/>
      <c r="AH1032" s="143"/>
      <c r="AI1032" s="143"/>
      <c r="AJ1032" s="144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0100</v>
      </c>
      <c r="N1033" s="69">
        <f t="shared" si="85"/>
        <v>256</v>
      </c>
      <c r="O1033" s="95"/>
      <c r="P1033" s="96"/>
      <c r="Q1033" s="97"/>
      <c r="R1033" s="149"/>
      <c r="S1033" s="153">
        <f>IF(P1033="",0,IF(OR(O1033=";",P1033="EQU",P1033="ORG"),0,IF(P1033="DS",HEX2DEC(Q1033),IF(P1033="DB",LEN(Q1033)+1,VLOOKUP(TRIM(P1033),'8080 Op to Hex'!$A:$F,6,0)))))</f>
        <v>0</v>
      </c>
      <c r="AA1033" s="74"/>
      <c r="AB1033" s="12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2"/>
      <c r="AD1033" s="143"/>
      <c r="AE1033" s="143"/>
      <c r="AF1033" s="143"/>
      <c r="AG1033" s="143"/>
      <c r="AH1033" s="143"/>
      <c r="AI1033" s="143"/>
      <c r="AJ1033" s="144"/>
    </row>
    <row r="1034" spans="11:36">
      <c r="K1034" s="85"/>
      <c r="L1034" s="54" t="str">
        <f t="shared" si="87"/>
        <v/>
      </c>
      <c r="M1034" s="38" t="str">
        <f t="shared" si="86"/>
        <v>0100</v>
      </c>
      <c r="N1034" s="69">
        <f t="shared" ref="N1034:N1070" si="88">N1033+S1033</f>
        <v>256</v>
      </c>
      <c r="O1034" s="95"/>
      <c r="P1034" s="96"/>
      <c r="Q1034" s="97"/>
      <c r="R1034" s="149"/>
      <c r="S1034" s="153">
        <f>IF(P1034="",0,IF(OR(O1034=";",P1034="EQU",P1034="ORG"),0,IF(P1034="DS",HEX2DEC(Q1034),IF(P1034="DB",LEN(Q1034)+1,VLOOKUP(TRIM(P1034),'8080 Op to Hex'!$A:$F,6,0)))))</f>
        <v>0</v>
      </c>
      <c r="AA1034" s="74"/>
      <c r="AB1034" s="12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2"/>
      <c r="AD1034" s="143"/>
      <c r="AE1034" s="143"/>
      <c r="AF1034" s="143"/>
      <c r="AG1034" s="143"/>
      <c r="AH1034" s="143"/>
      <c r="AI1034" s="143"/>
      <c r="AJ1034" s="144"/>
    </row>
    <row r="1035" spans="11:36">
      <c r="K1035" s="85"/>
      <c r="L1035" s="54" t="str">
        <f t="shared" si="87"/>
        <v/>
      </c>
      <c r="M1035" s="38" t="str">
        <f t="shared" si="86"/>
        <v>0100</v>
      </c>
      <c r="N1035" s="69">
        <f t="shared" si="88"/>
        <v>256</v>
      </c>
      <c r="O1035" s="95"/>
      <c r="P1035" s="96"/>
      <c r="Q1035" s="97"/>
      <c r="R1035" s="149"/>
      <c r="S1035" s="153">
        <f>IF(P1035="",0,IF(OR(O1035=";",P1035="EQU",P1035="ORG"),0,IF(P1035="DS",HEX2DEC(Q1035),IF(P1035="DB",LEN(Q1035)+1,VLOOKUP(TRIM(P1035),'8080 Op to Hex'!$A:$F,6,0)))))</f>
        <v>0</v>
      </c>
      <c r="AA1035" s="74"/>
      <c r="AB1035" s="12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2"/>
      <c r="AD1035" s="143"/>
      <c r="AE1035" s="143"/>
      <c r="AF1035" s="143"/>
      <c r="AG1035" s="143"/>
      <c r="AH1035" s="143"/>
      <c r="AI1035" s="143"/>
      <c r="AJ1035" s="144"/>
    </row>
    <row r="1036" spans="11:36">
      <c r="K1036" s="85"/>
      <c r="L1036" s="54" t="str">
        <f t="shared" si="87"/>
        <v/>
      </c>
      <c r="M1036" s="38" t="str">
        <f t="shared" si="86"/>
        <v>0100</v>
      </c>
      <c r="N1036" s="69">
        <f t="shared" si="88"/>
        <v>256</v>
      </c>
      <c r="O1036" s="95"/>
      <c r="P1036" s="96"/>
      <c r="Q1036" s="97"/>
      <c r="R1036" s="149"/>
      <c r="S1036" s="153">
        <f>IF(P1036="",0,IF(OR(O1036=";",P1036="EQU",P1036="ORG"),0,IF(P1036="DS",HEX2DEC(Q1036),IF(P1036="DB",LEN(Q1036)+1,VLOOKUP(TRIM(P1036),'8080 Op to Hex'!$A:$F,6,0)))))</f>
        <v>0</v>
      </c>
      <c r="AA1036" s="74"/>
      <c r="AB1036" s="12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2"/>
      <c r="AD1036" s="143"/>
      <c r="AE1036" s="143"/>
      <c r="AF1036" s="143"/>
      <c r="AG1036" s="143"/>
      <c r="AH1036" s="143"/>
      <c r="AI1036" s="143"/>
      <c r="AJ1036" s="144"/>
    </row>
    <row r="1037" spans="11:36">
      <c r="K1037" s="85"/>
      <c r="L1037" s="54" t="str">
        <f t="shared" si="87"/>
        <v/>
      </c>
      <c r="M1037" s="38" t="str">
        <f t="shared" si="86"/>
        <v>0100</v>
      </c>
      <c r="N1037" s="69">
        <f t="shared" si="88"/>
        <v>256</v>
      </c>
      <c r="O1037" s="95"/>
      <c r="P1037" s="96"/>
      <c r="Q1037" s="97"/>
      <c r="R1037" s="149"/>
      <c r="S1037" s="153">
        <f>IF(P1037="",0,IF(OR(O1037=";",P1037="EQU",P1037="ORG"),0,IF(P1037="DS",HEX2DEC(Q1037),IF(P1037="DB",LEN(Q1037)+1,VLOOKUP(TRIM(P1037),'8080 Op to Hex'!$A:$F,6,0)))))</f>
        <v>0</v>
      </c>
      <c r="AA1037" s="74"/>
      <c r="AB1037" s="12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2"/>
      <c r="AD1037" s="143"/>
      <c r="AE1037" s="143"/>
      <c r="AF1037" s="143"/>
      <c r="AG1037" s="143"/>
      <c r="AH1037" s="143"/>
      <c r="AI1037" s="143"/>
      <c r="AJ1037" s="144"/>
    </row>
    <row r="1038" spans="11:36">
      <c r="K1038" s="85"/>
      <c r="L1038" s="54" t="str">
        <f t="shared" si="87"/>
        <v/>
      </c>
      <c r="M1038" s="38" t="str">
        <f t="shared" si="86"/>
        <v>0100</v>
      </c>
      <c r="N1038" s="69">
        <f t="shared" si="88"/>
        <v>256</v>
      </c>
      <c r="O1038" s="95"/>
      <c r="P1038" s="96"/>
      <c r="Q1038" s="97"/>
      <c r="R1038" s="149"/>
      <c r="S1038" s="153">
        <f>IF(P1038="",0,IF(OR(O1038=";",P1038="EQU",P1038="ORG"),0,IF(P1038="DS",HEX2DEC(Q1038),IF(P1038="DB",LEN(Q1038)+1,VLOOKUP(TRIM(P1038),'8080 Op to Hex'!$A:$F,6,0)))))</f>
        <v>0</v>
      </c>
      <c r="AA1038" s="74"/>
      <c r="AB1038" s="12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2"/>
      <c r="AD1038" s="143"/>
      <c r="AE1038" s="143"/>
      <c r="AF1038" s="143"/>
      <c r="AG1038" s="143"/>
      <c r="AH1038" s="143"/>
      <c r="AI1038" s="143"/>
      <c r="AJ1038" s="144"/>
    </row>
    <row r="1039" spans="11:36">
      <c r="K1039" s="85"/>
      <c r="L1039" s="54" t="str">
        <f t="shared" si="87"/>
        <v/>
      </c>
      <c r="M1039" s="38" t="str">
        <f t="shared" si="86"/>
        <v>0100</v>
      </c>
      <c r="N1039" s="69">
        <f t="shared" si="88"/>
        <v>256</v>
      </c>
      <c r="O1039" s="95"/>
      <c r="P1039" s="96"/>
      <c r="Q1039" s="97"/>
      <c r="R1039" s="149"/>
      <c r="S1039" s="153">
        <f>IF(P1039="",0,IF(OR(O1039=";",P1039="EQU",P1039="ORG"),0,IF(P1039="DS",HEX2DEC(Q1039),IF(P1039="DB",LEN(Q1039)+1,VLOOKUP(TRIM(P1039),'8080 Op to Hex'!$A:$F,6,0)))))</f>
        <v>0</v>
      </c>
      <c r="AA1039" s="74"/>
      <c r="AB1039" s="12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2"/>
      <c r="AD1039" s="143"/>
      <c r="AE1039" s="143"/>
      <c r="AF1039" s="143"/>
      <c r="AG1039" s="143"/>
      <c r="AH1039" s="143"/>
      <c r="AI1039" s="143"/>
      <c r="AJ1039" s="144"/>
    </row>
    <row r="1040" spans="11:36">
      <c r="K1040" s="85"/>
      <c r="L1040" s="54" t="str">
        <f t="shared" si="87"/>
        <v/>
      </c>
      <c r="M1040" s="38" t="str">
        <f t="shared" si="86"/>
        <v>0100</v>
      </c>
      <c r="N1040" s="69">
        <f t="shared" si="88"/>
        <v>256</v>
      </c>
      <c r="O1040" s="95"/>
      <c r="P1040" s="96"/>
      <c r="Q1040" s="97"/>
      <c r="R1040" s="149"/>
      <c r="S1040" s="153">
        <f>IF(P1040="",0,IF(OR(O1040=";",P1040="EQU",P1040="ORG"),0,IF(P1040="DS",HEX2DEC(Q1040),IF(P1040="DB",LEN(Q1040)+1,VLOOKUP(TRIM(P1040),'8080 Op to Hex'!$A:$F,6,0)))))</f>
        <v>0</v>
      </c>
      <c r="AA1040" s="74"/>
      <c r="AB1040" s="12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2"/>
      <c r="AD1040" s="143"/>
      <c r="AE1040" s="143"/>
      <c r="AF1040" s="143"/>
      <c r="AG1040" s="143"/>
      <c r="AH1040" s="143"/>
      <c r="AI1040" s="143"/>
      <c r="AJ1040" s="144"/>
    </row>
    <row r="1041" spans="11:36">
      <c r="K1041" s="85"/>
      <c r="L1041" s="54" t="str">
        <f t="shared" si="87"/>
        <v/>
      </c>
      <c r="M1041" s="38" t="str">
        <f t="shared" si="86"/>
        <v>0100</v>
      </c>
      <c r="N1041" s="69">
        <f t="shared" si="88"/>
        <v>256</v>
      </c>
      <c r="O1041" s="95"/>
      <c r="P1041" s="96"/>
      <c r="Q1041" s="97"/>
      <c r="R1041" s="149"/>
      <c r="S1041" s="153">
        <f>IF(P1041="",0,IF(OR(O1041=";",P1041="EQU",P1041="ORG"),0,IF(P1041="DS",HEX2DEC(Q1041),IF(P1041="DB",LEN(Q1041)+1,VLOOKUP(TRIM(P1041),'8080 Op to Hex'!$A:$F,6,0)))))</f>
        <v>0</v>
      </c>
      <c r="AA1041" s="74"/>
      <c r="AB1041" s="12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2"/>
      <c r="AD1041" s="143"/>
      <c r="AE1041" s="143"/>
      <c r="AF1041" s="143"/>
      <c r="AG1041" s="143"/>
      <c r="AH1041" s="143"/>
      <c r="AI1041" s="143"/>
      <c r="AJ1041" s="144"/>
    </row>
    <row r="1042" spans="11:36">
      <c r="K1042" s="85"/>
      <c r="L1042" s="54" t="str">
        <f t="shared" si="87"/>
        <v/>
      </c>
      <c r="M1042" s="38" t="str">
        <f t="shared" si="86"/>
        <v>0100</v>
      </c>
      <c r="N1042" s="69">
        <f t="shared" si="88"/>
        <v>256</v>
      </c>
      <c r="O1042" s="95"/>
      <c r="P1042" s="96"/>
      <c r="Q1042" s="97"/>
      <c r="R1042" s="149"/>
      <c r="S1042" s="153">
        <f>IF(P1042="",0,IF(OR(O1042=";",P1042="EQU",P1042="ORG"),0,IF(P1042="DS",HEX2DEC(Q1042),IF(P1042="DB",LEN(Q1042)+1,VLOOKUP(TRIM(P1042),'8080 Op to Hex'!$A:$F,6,0)))))</f>
        <v>0</v>
      </c>
      <c r="AA1042" s="74"/>
      <c r="AB1042" s="12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2"/>
      <c r="AD1042" s="143"/>
      <c r="AE1042" s="143"/>
      <c r="AF1042" s="143"/>
      <c r="AG1042" s="143"/>
      <c r="AH1042" s="143"/>
      <c r="AI1042" s="143"/>
      <c r="AJ1042" s="144"/>
    </row>
    <row r="1043" spans="11:36">
      <c r="K1043" s="85"/>
      <c r="L1043" s="54" t="str">
        <f t="shared" si="87"/>
        <v/>
      </c>
      <c r="M1043" s="38" t="str">
        <f t="shared" si="86"/>
        <v>0100</v>
      </c>
      <c r="N1043" s="69">
        <f t="shared" si="88"/>
        <v>256</v>
      </c>
      <c r="O1043" s="95"/>
      <c r="P1043" s="96"/>
      <c r="Q1043" s="97"/>
      <c r="R1043" s="149"/>
      <c r="S1043" s="153">
        <f>IF(P1043="",0,IF(OR(O1043=";",P1043="EQU",P1043="ORG"),0,IF(P1043="DS",HEX2DEC(Q1043),IF(P1043="DB",LEN(Q1043)+1,VLOOKUP(TRIM(P1043),'8080 Op to Hex'!$A:$F,6,0)))))</f>
        <v>0</v>
      </c>
      <c r="AA1043" s="74"/>
      <c r="AB1043" s="12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2"/>
      <c r="AD1043" s="143"/>
      <c r="AE1043" s="143"/>
      <c r="AF1043" s="143"/>
      <c r="AG1043" s="143"/>
      <c r="AH1043" s="143"/>
      <c r="AI1043" s="143"/>
      <c r="AJ1043" s="144"/>
    </row>
    <row r="1044" spans="11:36">
      <c r="K1044" s="85"/>
      <c r="L1044" s="54" t="str">
        <f t="shared" si="87"/>
        <v/>
      </c>
      <c r="M1044" s="38" t="str">
        <f t="shared" si="86"/>
        <v>0100</v>
      </c>
      <c r="N1044" s="69">
        <f t="shared" si="88"/>
        <v>256</v>
      </c>
      <c r="O1044" s="95"/>
      <c r="P1044" s="96"/>
      <c r="Q1044" s="97"/>
      <c r="R1044" s="149"/>
      <c r="S1044" s="153">
        <f>IF(P1044="",0,IF(OR(O1044=";",P1044="EQU",P1044="ORG"),0,IF(P1044="DS",HEX2DEC(Q1044),IF(P1044="DB",LEN(Q1044)+1,VLOOKUP(TRIM(P1044),'8080 Op to Hex'!$A:$F,6,0)))))</f>
        <v>0</v>
      </c>
      <c r="AA1044" s="74"/>
      <c r="AB1044" s="12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2"/>
      <c r="AD1044" s="143"/>
      <c r="AE1044" s="143"/>
      <c r="AF1044" s="143"/>
      <c r="AG1044" s="143"/>
      <c r="AH1044" s="143"/>
      <c r="AI1044" s="143"/>
      <c r="AJ1044" s="144"/>
    </row>
    <row r="1045" spans="11:36">
      <c r="K1045" s="85"/>
      <c r="L1045" s="54" t="str">
        <f t="shared" si="87"/>
        <v/>
      </c>
      <c r="M1045" s="38" t="str">
        <f t="shared" si="86"/>
        <v>0100</v>
      </c>
      <c r="N1045" s="69">
        <f t="shared" si="88"/>
        <v>256</v>
      </c>
      <c r="O1045" s="95"/>
      <c r="P1045" s="96"/>
      <c r="Q1045" s="97"/>
      <c r="R1045" s="149"/>
      <c r="S1045" s="153">
        <f>IF(P1045="",0,IF(OR(O1045=";",P1045="EQU",P1045="ORG"),0,IF(P1045="DS",HEX2DEC(Q1045),IF(P1045="DB",LEN(Q1045)+1,VLOOKUP(TRIM(P1045),'8080 Op to Hex'!$A:$F,6,0)))))</f>
        <v>0</v>
      </c>
      <c r="AA1045" s="74"/>
      <c r="AB1045" s="12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2"/>
      <c r="AD1045" s="143"/>
      <c r="AE1045" s="143"/>
      <c r="AF1045" s="143"/>
      <c r="AG1045" s="143"/>
      <c r="AH1045" s="143"/>
      <c r="AI1045" s="143"/>
      <c r="AJ1045" s="144"/>
    </row>
    <row r="1046" spans="11:36">
      <c r="K1046" s="85"/>
      <c r="L1046" s="54" t="str">
        <f t="shared" si="87"/>
        <v/>
      </c>
      <c r="M1046" s="38" t="str">
        <f t="shared" si="86"/>
        <v>0100</v>
      </c>
      <c r="N1046" s="69">
        <f t="shared" si="88"/>
        <v>256</v>
      </c>
      <c r="O1046" s="95"/>
      <c r="P1046" s="96"/>
      <c r="Q1046" s="97"/>
      <c r="R1046" s="149"/>
      <c r="S1046" s="153">
        <f>IF(P1046="",0,IF(OR(O1046=";",P1046="EQU",P1046="ORG"),0,IF(P1046="DS",HEX2DEC(Q1046),IF(P1046="DB",LEN(Q1046)+1,VLOOKUP(TRIM(P1046),'8080 Op to Hex'!$A:$F,6,0)))))</f>
        <v>0</v>
      </c>
      <c r="AA1046" s="74"/>
      <c r="AB1046" s="12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2"/>
      <c r="AD1046" s="143"/>
      <c r="AE1046" s="143"/>
      <c r="AF1046" s="143"/>
      <c r="AG1046" s="143"/>
      <c r="AH1046" s="143"/>
      <c r="AI1046" s="143"/>
      <c r="AJ1046" s="144"/>
    </row>
    <row r="1047" spans="11:36">
      <c r="K1047" s="85"/>
      <c r="L1047" s="54" t="str">
        <f t="shared" si="87"/>
        <v/>
      </c>
      <c r="M1047" s="38" t="str">
        <f t="shared" si="86"/>
        <v>0100</v>
      </c>
      <c r="N1047" s="69">
        <f t="shared" si="88"/>
        <v>256</v>
      </c>
      <c r="O1047" s="95"/>
      <c r="P1047" s="96"/>
      <c r="Q1047" s="97"/>
      <c r="R1047" s="149"/>
      <c r="S1047" s="153">
        <f>IF(P1047="",0,IF(OR(O1047=";",P1047="EQU",P1047="ORG"),0,IF(P1047="DS",HEX2DEC(Q1047),IF(P1047="DB",LEN(Q1047)+1,VLOOKUP(TRIM(P1047),'8080 Op to Hex'!$A:$F,6,0)))))</f>
        <v>0</v>
      </c>
      <c r="AA1047" s="74"/>
      <c r="AB1047" s="12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2"/>
      <c r="AD1047" s="143"/>
      <c r="AE1047" s="143"/>
      <c r="AF1047" s="143"/>
      <c r="AG1047" s="143"/>
      <c r="AH1047" s="143"/>
      <c r="AI1047" s="143"/>
      <c r="AJ1047" s="144"/>
    </row>
    <row r="1048" spans="11:36">
      <c r="K1048" s="85"/>
      <c r="L1048" s="54" t="str">
        <f t="shared" si="87"/>
        <v/>
      </c>
      <c r="M1048" s="38" t="str">
        <f t="shared" si="86"/>
        <v>0100</v>
      </c>
      <c r="N1048" s="69">
        <f t="shared" si="88"/>
        <v>256</v>
      </c>
      <c r="O1048" s="95"/>
      <c r="P1048" s="96"/>
      <c r="Q1048" s="97"/>
      <c r="R1048" s="149"/>
      <c r="S1048" s="153">
        <f>IF(P1048="",0,IF(OR(O1048=";",P1048="EQU",P1048="ORG"),0,IF(P1048="DS",HEX2DEC(Q1048),IF(P1048="DB",LEN(Q1048)+1,VLOOKUP(TRIM(P1048),'8080 Op to Hex'!$A:$F,6,0)))))</f>
        <v>0</v>
      </c>
      <c r="AA1048" s="74"/>
      <c r="AB1048" s="12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2"/>
      <c r="AD1048" s="143"/>
      <c r="AE1048" s="143"/>
      <c r="AF1048" s="143"/>
      <c r="AG1048" s="143"/>
      <c r="AH1048" s="143"/>
      <c r="AI1048" s="143"/>
      <c r="AJ1048" s="144"/>
    </row>
    <row r="1049" spans="11:36">
      <c r="K1049" s="85"/>
      <c r="L1049" s="54" t="str">
        <f t="shared" si="87"/>
        <v/>
      </c>
      <c r="M1049" s="38" t="str">
        <f t="shared" si="86"/>
        <v>0100</v>
      </c>
      <c r="N1049" s="69">
        <f t="shared" si="88"/>
        <v>256</v>
      </c>
      <c r="O1049" s="95"/>
      <c r="P1049" s="96"/>
      <c r="Q1049" s="97"/>
      <c r="R1049" s="149"/>
      <c r="S1049" s="153">
        <f>IF(P1049="",0,IF(OR(O1049=";",P1049="EQU",P1049="ORG"),0,IF(P1049="DS",HEX2DEC(Q1049),IF(P1049="DB",LEN(Q1049)+1,VLOOKUP(TRIM(P1049),'8080 Op to Hex'!$A:$F,6,0)))))</f>
        <v>0</v>
      </c>
      <c r="AA1049" s="74"/>
      <c r="AB1049" s="12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2"/>
      <c r="AD1049" s="143"/>
      <c r="AE1049" s="143"/>
      <c r="AF1049" s="143"/>
      <c r="AG1049" s="143"/>
      <c r="AH1049" s="143"/>
      <c r="AI1049" s="143"/>
      <c r="AJ1049" s="144"/>
    </row>
    <row r="1050" spans="11:36">
      <c r="K1050" s="85"/>
      <c r="L1050" s="54" t="str">
        <f t="shared" si="87"/>
        <v/>
      </c>
      <c r="M1050" s="38" t="str">
        <f t="shared" si="86"/>
        <v>0100</v>
      </c>
      <c r="N1050" s="69">
        <f t="shared" si="88"/>
        <v>256</v>
      </c>
      <c r="O1050" s="95"/>
      <c r="P1050" s="96"/>
      <c r="Q1050" s="97"/>
      <c r="R1050" s="149"/>
      <c r="S1050" s="153">
        <f>IF(P1050="",0,IF(OR(O1050=";",P1050="EQU",P1050="ORG"),0,IF(P1050="DS",HEX2DEC(Q1050),IF(P1050="DB",LEN(Q1050)+1,VLOOKUP(TRIM(P1050),'8080 Op to Hex'!$A:$F,6,0)))))</f>
        <v>0</v>
      </c>
      <c r="AA1050" s="74"/>
      <c r="AB1050" s="12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2"/>
      <c r="AD1050" s="143"/>
      <c r="AE1050" s="143"/>
      <c r="AF1050" s="143"/>
      <c r="AG1050" s="143"/>
      <c r="AH1050" s="143"/>
      <c r="AI1050" s="143"/>
      <c r="AJ1050" s="144"/>
    </row>
    <row r="1051" spans="11:36">
      <c r="K1051" s="85"/>
      <c r="L1051" s="54" t="str">
        <f t="shared" si="87"/>
        <v/>
      </c>
      <c r="M1051" s="38" t="str">
        <f t="shared" si="86"/>
        <v>0100</v>
      </c>
      <c r="N1051" s="69">
        <f t="shared" si="88"/>
        <v>256</v>
      </c>
      <c r="O1051" s="95"/>
      <c r="P1051" s="96"/>
      <c r="Q1051" s="97"/>
      <c r="R1051" s="149"/>
      <c r="S1051" s="153">
        <f>IF(P1051="",0,IF(OR(O1051=";",P1051="EQU",P1051="ORG"),0,IF(P1051="DS",HEX2DEC(Q1051),IF(P1051="DB",LEN(Q1051)+1,VLOOKUP(TRIM(P1051),'8080 Op to Hex'!$A:$F,6,0)))))</f>
        <v>0</v>
      </c>
      <c r="AA1051" s="74"/>
      <c r="AB1051" s="12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2"/>
      <c r="AD1051" s="143"/>
      <c r="AE1051" s="143"/>
      <c r="AF1051" s="143"/>
      <c r="AG1051" s="143"/>
      <c r="AH1051" s="143"/>
      <c r="AI1051" s="143"/>
      <c r="AJ1051" s="144"/>
    </row>
    <row r="1052" spans="11:36">
      <c r="K1052" s="85"/>
      <c r="L1052" s="54" t="str">
        <f t="shared" si="87"/>
        <v/>
      </c>
      <c r="M1052" s="38" t="str">
        <f t="shared" si="86"/>
        <v>0100</v>
      </c>
      <c r="N1052" s="69">
        <f t="shared" si="88"/>
        <v>256</v>
      </c>
      <c r="O1052" s="95"/>
      <c r="P1052" s="96"/>
      <c r="Q1052" s="97"/>
      <c r="R1052" s="149"/>
      <c r="S1052" s="153">
        <f>IF(P1052="",0,IF(OR(O1052=";",P1052="EQU",P1052="ORG"),0,IF(P1052="DS",HEX2DEC(Q1052),IF(P1052="DB",LEN(Q1052)+1,VLOOKUP(TRIM(P1052),'8080 Op to Hex'!$A:$F,6,0)))))</f>
        <v>0</v>
      </c>
      <c r="AA1052" s="74"/>
      <c r="AB1052" s="12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2"/>
      <c r="AD1052" s="143"/>
      <c r="AE1052" s="143"/>
      <c r="AF1052" s="143"/>
      <c r="AG1052" s="143"/>
      <c r="AH1052" s="143"/>
      <c r="AI1052" s="143"/>
      <c r="AJ1052" s="144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0100</v>
      </c>
      <c r="N1053" s="69">
        <f t="shared" si="88"/>
        <v>256</v>
      </c>
      <c r="O1053" s="95"/>
      <c r="P1053" s="96"/>
      <c r="Q1053" s="97"/>
      <c r="R1053" s="149"/>
      <c r="S1053" s="153">
        <f>IF(P1053="",0,IF(OR(O1053=";",P1053="EQU",P1053="ORG"),0,IF(P1053="DS",HEX2DEC(Q1053),IF(P1053="DB",LEN(Q1053)+1,VLOOKUP(TRIM(P1053),'8080 Op to Hex'!$A:$F,6,0)))))</f>
        <v>0</v>
      </c>
      <c r="AA1053" s="74"/>
      <c r="AB1053" s="12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2"/>
      <c r="AD1053" s="143"/>
      <c r="AE1053" s="143"/>
      <c r="AF1053" s="143"/>
      <c r="AG1053" s="143"/>
      <c r="AH1053" s="143"/>
      <c r="AI1053" s="143"/>
      <c r="AJ1053" s="144"/>
    </row>
    <row r="1054" spans="11:36">
      <c r="K1054" s="85"/>
      <c r="L1054" s="54" t="str">
        <f t="shared" si="87"/>
        <v/>
      </c>
      <c r="M1054" s="38" t="str">
        <f t="shared" si="89"/>
        <v>0100</v>
      </c>
      <c r="N1054" s="69">
        <f t="shared" si="88"/>
        <v>256</v>
      </c>
      <c r="O1054" s="95"/>
      <c r="P1054" s="96"/>
      <c r="Q1054" s="97"/>
      <c r="R1054" s="149"/>
      <c r="S1054" s="153">
        <f>IF(P1054="",0,IF(OR(O1054=";",P1054="EQU",P1054="ORG"),0,IF(P1054="DS",HEX2DEC(Q1054),IF(P1054="DB",LEN(Q1054)+1,VLOOKUP(TRIM(P1054),'8080 Op to Hex'!$A:$F,6,0)))))</f>
        <v>0</v>
      </c>
      <c r="AA1054" s="74"/>
      <c r="AB1054" s="12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2"/>
      <c r="AD1054" s="143"/>
      <c r="AE1054" s="143"/>
      <c r="AF1054" s="143"/>
      <c r="AG1054" s="143"/>
      <c r="AH1054" s="143"/>
      <c r="AI1054" s="143"/>
      <c r="AJ1054" s="144"/>
    </row>
    <row r="1055" spans="11:36">
      <c r="K1055" s="85"/>
      <c r="L1055" s="54" t="str">
        <f t="shared" si="87"/>
        <v/>
      </c>
      <c r="M1055" s="38" t="str">
        <f t="shared" si="89"/>
        <v>0100</v>
      </c>
      <c r="N1055" s="69">
        <f t="shared" si="88"/>
        <v>256</v>
      </c>
      <c r="O1055" s="95"/>
      <c r="P1055" s="96"/>
      <c r="Q1055" s="97"/>
      <c r="R1055" s="149"/>
      <c r="S1055" s="153">
        <f>IF(P1055="",0,IF(OR(O1055=";",P1055="EQU",P1055="ORG"),0,IF(P1055="DS",HEX2DEC(Q1055),IF(P1055="DB",LEN(Q1055)+1,VLOOKUP(TRIM(P1055),'8080 Op to Hex'!$A:$F,6,0)))))</f>
        <v>0</v>
      </c>
      <c r="AA1055" s="74"/>
      <c r="AB1055" s="12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2"/>
      <c r="AD1055" s="143"/>
      <c r="AE1055" s="143"/>
      <c r="AF1055" s="143"/>
      <c r="AG1055" s="143"/>
      <c r="AH1055" s="143"/>
      <c r="AI1055" s="143"/>
      <c r="AJ1055" s="144"/>
    </row>
    <row r="1056" spans="11:36">
      <c r="K1056" s="85"/>
      <c r="L1056" s="54" t="str">
        <f t="shared" si="87"/>
        <v/>
      </c>
      <c r="M1056" s="38" t="str">
        <f t="shared" si="89"/>
        <v>0100</v>
      </c>
      <c r="N1056" s="69">
        <f t="shared" si="88"/>
        <v>256</v>
      </c>
      <c r="O1056" s="95"/>
      <c r="P1056" s="96"/>
      <c r="Q1056" s="97"/>
      <c r="R1056" s="149"/>
      <c r="S1056" s="153">
        <f>IF(P1056="",0,IF(OR(O1056=";",P1056="EQU",P1056="ORG"),0,IF(P1056="DS",HEX2DEC(Q1056),IF(P1056="DB",LEN(Q1056)+1,VLOOKUP(TRIM(P1056),'8080 Op to Hex'!$A:$F,6,0)))))</f>
        <v>0</v>
      </c>
      <c r="AA1056" s="74"/>
      <c r="AB1056" s="12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2"/>
      <c r="AD1056" s="143"/>
      <c r="AE1056" s="143"/>
      <c r="AF1056" s="143"/>
      <c r="AG1056" s="143"/>
      <c r="AH1056" s="143"/>
      <c r="AI1056" s="143"/>
      <c r="AJ1056" s="144"/>
    </row>
    <row r="1057" spans="11:36">
      <c r="K1057" s="85"/>
      <c r="L1057" s="54" t="str">
        <f t="shared" si="87"/>
        <v/>
      </c>
      <c r="M1057" s="38" t="str">
        <f t="shared" si="89"/>
        <v>0100</v>
      </c>
      <c r="N1057" s="69">
        <f t="shared" si="88"/>
        <v>256</v>
      </c>
      <c r="O1057" s="95"/>
      <c r="P1057" s="96"/>
      <c r="Q1057" s="97"/>
      <c r="R1057" s="149"/>
      <c r="S1057" s="153">
        <f>IF(P1057="",0,IF(OR(O1057=";",P1057="EQU",P1057="ORG"),0,IF(P1057="DS",HEX2DEC(Q1057),IF(P1057="DB",LEN(Q1057)+1,VLOOKUP(TRIM(P1057),'8080 Op to Hex'!$A:$F,6,0)))))</f>
        <v>0</v>
      </c>
      <c r="AA1057" s="74"/>
      <c r="AB1057" s="12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2"/>
      <c r="AD1057" s="143"/>
      <c r="AE1057" s="143"/>
      <c r="AF1057" s="143"/>
      <c r="AG1057" s="143"/>
      <c r="AH1057" s="143"/>
      <c r="AI1057" s="143"/>
      <c r="AJ1057" s="144"/>
    </row>
    <row r="1058" spans="11:36">
      <c r="K1058" s="85"/>
      <c r="L1058" s="54" t="str">
        <f t="shared" si="87"/>
        <v/>
      </c>
      <c r="M1058" s="38" t="str">
        <f t="shared" si="89"/>
        <v>0100</v>
      </c>
      <c r="N1058" s="69">
        <f t="shared" si="88"/>
        <v>256</v>
      </c>
      <c r="O1058" s="95"/>
      <c r="P1058" s="96"/>
      <c r="Q1058" s="97"/>
      <c r="R1058" s="149"/>
      <c r="S1058" s="153">
        <f>IF(P1058="",0,IF(OR(O1058=";",P1058="EQU",P1058="ORG"),0,IF(P1058="DS",HEX2DEC(Q1058),IF(P1058="DB",LEN(Q1058)+1,VLOOKUP(TRIM(P1058),'8080 Op to Hex'!$A:$F,6,0)))))</f>
        <v>0</v>
      </c>
      <c r="AA1058" s="74"/>
      <c r="AB1058" s="12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2"/>
      <c r="AD1058" s="143"/>
      <c r="AE1058" s="143"/>
      <c r="AF1058" s="143"/>
      <c r="AG1058" s="143"/>
      <c r="AH1058" s="143"/>
      <c r="AI1058" s="143"/>
      <c r="AJ1058" s="144"/>
    </row>
    <row r="1059" spans="11:36">
      <c r="K1059" s="85"/>
      <c r="L1059" s="54" t="str">
        <f t="shared" si="87"/>
        <v/>
      </c>
      <c r="M1059" s="38" t="str">
        <f t="shared" si="89"/>
        <v>0100</v>
      </c>
      <c r="N1059" s="69">
        <f t="shared" si="88"/>
        <v>256</v>
      </c>
      <c r="O1059" s="95"/>
      <c r="P1059" s="96"/>
      <c r="Q1059" s="97"/>
      <c r="R1059" s="149"/>
      <c r="S1059" s="153">
        <f>IF(P1059="",0,IF(OR(O1059=";",P1059="EQU",P1059="ORG"),0,IF(P1059="DS",HEX2DEC(Q1059),IF(P1059="DB",LEN(Q1059)+1,VLOOKUP(TRIM(P1059),'8080 Op to Hex'!$A:$F,6,0)))))</f>
        <v>0</v>
      </c>
      <c r="AA1059" s="74"/>
      <c r="AB1059" s="12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2"/>
      <c r="AD1059" s="143"/>
      <c r="AE1059" s="143"/>
      <c r="AF1059" s="143"/>
      <c r="AG1059" s="143"/>
      <c r="AH1059" s="143"/>
      <c r="AI1059" s="143"/>
      <c r="AJ1059" s="144"/>
    </row>
    <row r="1060" spans="11:36">
      <c r="K1060" s="85"/>
      <c r="L1060" s="54" t="str">
        <f t="shared" si="87"/>
        <v/>
      </c>
      <c r="M1060" s="38" t="str">
        <f t="shared" si="89"/>
        <v>0100</v>
      </c>
      <c r="N1060" s="69">
        <f t="shared" si="88"/>
        <v>256</v>
      </c>
      <c r="O1060" s="95"/>
      <c r="P1060" s="96"/>
      <c r="Q1060" s="97"/>
      <c r="R1060" s="149"/>
      <c r="S1060" s="153">
        <f>IF(P1060="",0,IF(OR(O1060=";",P1060="EQU",P1060="ORG"),0,IF(P1060="DS",HEX2DEC(Q1060),IF(P1060="DB",LEN(Q1060)+1,VLOOKUP(TRIM(P1060),'8080 Op to Hex'!$A:$F,6,0)))))</f>
        <v>0</v>
      </c>
      <c r="AA1060" s="74"/>
      <c r="AB1060" s="12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2"/>
      <c r="AD1060" s="143"/>
      <c r="AE1060" s="143"/>
      <c r="AF1060" s="143"/>
      <c r="AG1060" s="143"/>
      <c r="AH1060" s="143"/>
      <c r="AI1060" s="143"/>
      <c r="AJ1060" s="144"/>
    </row>
    <row r="1061" spans="11:36">
      <c r="K1061" s="85"/>
      <c r="L1061" s="54" t="str">
        <f t="shared" si="87"/>
        <v/>
      </c>
      <c r="M1061" s="38" t="str">
        <f t="shared" si="89"/>
        <v>0100</v>
      </c>
      <c r="N1061" s="69">
        <f t="shared" si="88"/>
        <v>256</v>
      </c>
      <c r="O1061" s="95"/>
      <c r="P1061" s="96"/>
      <c r="Q1061" s="97"/>
      <c r="R1061" s="149"/>
      <c r="S1061" s="153">
        <f>IF(P1061="",0,IF(OR(O1061=";",P1061="EQU",P1061="ORG"),0,IF(P1061="DS",HEX2DEC(Q1061),IF(P1061="DB",LEN(Q1061)+1,VLOOKUP(TRIM(P1061),'8080 Op to Hex'!$A:$F,6,0)))))</f>
        <v>0</v>
      </c>
      <c r="AA1061" s="74"/>
      <c r="AB1061" s="12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2"/>
      <c r="AD1061" s="143"/>
      <c r="AE1061" s="143"/>
      <c r="AF1061" s="143"/>
      <c r="AG1061" s="143"/>
      <c r="AH1061" s="143"/>
      <c r="AI1061" s="143"/>
      <c r="AJ1061" s="144"/>
    </row>
    <row r="1062" spans="11:36">
      <c r="K1062" s="85"/>
      <c r="L1062" s="54" t="str">
        <f t="shared" si="87"/>
        <v/>
      </c>
      <c r="M1062" s="38" t="str">
        <f t="shared" si="89"/>
        <v>0100</v>
      </c>
      <c r="N1062" s="69">
        <f t="shared" si="88"/>
        <v>256</v>
      </c>
      <c r="O1062" s="95"/>
      <c r="P1062" s="96"/>
      <c r="Q1062" s="97"/>
      <c r="R1062" s="149"/>
      <c r="S1062" s="153">
        <f>IF(P1062="",0,IF(OR(O1062=";",P1062="EQU",P1062="ORG"),0,IF(P1062="DS",HEX2DEC(Q1062),IF(P1062="DB",LEN(Q1062)+1,VLOOKUP(TRIM(P1062),'8080 Op to Hex'!$A:$F,6,0)))))</f>
        <v>0</v>
      </c>
      <c r="AA1062" s="74"/>
      <c r="AB1062" s="12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2"/>
      <c r="AD1062" s="143"/>
      <c r="AE1062" s="143"/>
      <c r="AF1062" s="143"/>
      <c r="AG1062" s="143"/>
      <c r="AH1062" s="143"/>
      <c r="AI1062" s="143"/>
      <c r="AJ1062" s="144"/>
    </row>
    <row r="1063" spans="11:36">
      <c r="K1063" s="85"/>
      <c r="L1063" s="54" t="str">
        <f t="shared" si="87"/>
        <v/>
      </c>
      <c r="M1063" s="38" t="str">
        <f t="shared" si="89"/>
        <v>0100</v>
      </c>
      <c r="N1063" s="69">
        <f t="shared" si="88"/>
        <v>256</v>
      </c>
      <c r="O1063" s="95"/>
      <c r="P1063" s="96"/>
      <c r="Q1063" s="97"/>
      <c r="R1063" s="149"/>
      <c r="S1063" s="153">
        <f>IF(P1063="",0,IF(OR(O1063=";",P1063="EQU",P1063="ORG"),0,IF(P1063="DS",HEX2DEC(Q1063),IF(P1063="DB",LEN(Q1063)+1,VLOOKUP(TRIM(P1063),'8080 Op to Hex'!$A:$F,6,0)))))</f>
        <v>0</v>
      </c>
      <c r="AA1063" s="74"/>
      <c r="AB1063" s="12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2"/>
      <c r="AD1063" s="143"/>
      <c r="AE1063" s="143"/>
      <c r="AF1063" s="143"/>
      <c r="AG1063" s="143"/>
      <c r="AH1063" s="143"/>
      <c r="AI1063" s="143"/>
      <c r="AJ1063" s="144"/>
    </row>
    <row r="1064" spans="11:36">
      <c r="K1064" s="85"/>
      <c r="L1064" s="54" t="str">
        <f t="shared" si="87"/>
        <v/>
      </c>
      <c r="M1064" s="38" t="str">
        <f t="shared" si="89"/>
        <v>0100</v>
      </c>
      <c r="N1064" s="69">
        <f t="shared" si="88"/>
        <v>256</v>
      </c>
      <c r="O1064" s="95"/>
      <c r="P1064" s="96"/>
      <c r="Q1064" s="97"/>
      <c r="R1064" s="149"/>
      <c r="S1064" s="153">
        <f>IF(P1064="",0,IF(OR(O1064=";",P1064="EQU",P1064="ORG"),0,IF(P1064="DS",HEX2DEC(Q1064),IF(P1064="DB",LEN(Q1064)+1,VLOOKUP(TRIM(P1064),'8080 Op to Hex'!$A:$F,6,0)))))</f>
        <v>0</v>
      </c>
      <c r="AA1064" s="74"/>
      <c r="AB1064" s="12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2"/>
      <c r="AD1064" s="143"/>
      <c r="AE1064" s="143"/>
      <c r="AF1064" s="143"/>
      <c r="AG1064" s="143"/>
      <c r="AH1064" s="143"/>
      <c r="AI1064" s="143"/>
      <c r="AJ1064" s="144"/>
    </row>
    <row r="1065" spans="11:36">
      <c r="K1065" s="85"/>
      <c r="L1065" s="54" t="str">
        <f t="shared" si="87"/>
        <v/>
      </c>
      <c r="M1065" s="38" t="str">
        <f t="shared" si="89"/>
        <v>0100</v>
      </c>
      <c r="N1065" s="69">
        <f t="shared" si="88"/>
        <v>256</v>
      </c>
      <c r="O1065" s="95"/>
      <c r="P1065" s="96"/>
      <c r="Q1065" s="97"/>
      <c r="R1065" s="149"/>
      <c r="S1065" s="153">
        <f>IF(P1065="",0,IF(OR(O1065=";",P1065="EQU",P1065="ORG"),0,IF(P1065="DS",HEX2DEC(Q1065),IF(P1065="DB",LEN(Q1065)+1,VLOOKUP(TRIM(P1065),'8080 Op to Hex'!$A:$F,6,0)))))</f>
        <v>0</v>
      </c>
      <c r="AA1065" s="74"/>
      <c r="AB1065" s="12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2"/>
      <c r="AD1065" s="143"/>
      <c r="AE1065" s="143"/>
      <c r="AF1065" s="143"/>
      <c r="AG1065" s="143"/>
      <c r="AH1065" s="143"/>
      <c r="AI1065" s="143"/>
      <c r="AJ1065" s="144"/>
    </row>
    <row r="1066" spans="11:36">
      <c r="K1066" s="85"/>
      <c r="L1066" s="54" t="str">
        <f t="shared" si="87"/>
        <v/>
      </c>
      <c r="M1066" s="38" t="str">
        <f t="shared" si="89"/>
        <v>0100</v>
      </c>
      <c r="N1066" s="69">
        <f t="shared" si="88"/>
        <v>256</v>
      </c>
      <c r="O1066" s="95"/>
      <c r="P1066" s="96"/>
      <c r="Q1066" s="97"/>
      <c r="R1066" s="149"/>
      <c r="S1066" s="153">
        <f>IF(P1066="",0,IF(OR(O1066=";",P1066="EQU",P1066="ORG"),0,IF(P1066="DS",HEX2DEC(Q1066),IF(P1066="DB",LEN(Q1066)+1,VLOOKUP(TRIM(P1066),'8080 Op to Hex'!$A:$F,6,0)))))</f>
        <v>0</v>
      </c>
      <c r="AA1066" s="74"/>
      <c r="AB1066" s="12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2"/>
      <c r="AD1066" s="143"/>
      <c r="AE1066" s="143"/>
      <c r="AF1066" s="143"/>
      <c r="AG1066" s="143"/>
      <c r="AH1066" s="143"/>
      <c r="AI1066" s="143"/>
      <c r="AJ1066" s="144"/>
    </row>
    <row r="1067" spans="11:36">
      <c r="K1067" s="85"/>
      <c r="L1067" s="54" t="str">
        <f t="shared" si="87"/>
        <v/>
      </c>
      <c r="M1067" s="38" t="str">
        <f t="shared" si="89"/>
        <v>0100</v>
      </c>
      <c r="N1067" s="69">
        <f t="shared" si="88"/>
        <v>256</v>
      </c>
      <c r="O1067" s="95"/>
      <c r="P1067" s="96"/>
      <c r="Q1067" s="97"/>
      <c r="R1067" s="149"/>
      <c r="S1067" s="153">
        <f>IF(P1067="",0,IF(OR(O1067=";",P1067="EQU",P1067="ORG"),0,IF(P1067="DS",HEX2DEC(Q1067),IF(P1067="DB",LEN(Q1067)+1,VLOOKUP(TRIM(P1067),'8080 Op to Hex'!$A:$F,6,0)))))</f>
        <v>0</v>
      </c>
      <c r="AA1067" s="74"/>
      <c r="AB1067" s="12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2"/>
      <c r="AD1067" s="143"/>
      <c r="AE1067" s="143"/>
      <c r="AF1067" s="143"/>
      <c r="AG1067" s="143"/>
      <c r="AH1067" s="143"/>
      <c r="AI1067" s="143"/>
      <c r="AJ1067" s="144"/>
    </row>
    <row r="1068" spans="11:36">
      <c r="K1068" s="85"/>
      <c r="L1068" s="54" t="str">
        <f t="shared" si="87"/>
        <v/>
      </c>
      <c r="M1068" s="38" t="str">
        <f t="shared" si="89"/>
        <v>0100</v>
      </c>
      <c r="N1068" s="69">
        <f t="shared" si="88"/>
        <v>256</v>
      </c>
      <c r="O1068" s="95"/>
      <c r="P1068" s="96"/>
      <c r="Q1068" s="97"/>
      <c r="R1068" s="149"/>
      <c r="S1068" s="153">
        <f>IF(P1068="",0,IF(OR(O1068=";",P1068="EQU",P1068="ORG"),0,IF(P1068="DS",HEX2DEC(Q1068),IF(P1068="DB",LEN(Q1068)+1,VLOOKUP(TRIM(P1068),'8080 Op to Hex'!$A:$F,6,0)))))</f>
        <v>0</v>
      </c>
      <c r="AA1068" s="74"/>
      <c r="AB1068" s="12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2"/>
      <c r="AD1068" s="143"/>
      <c r="AE1068" s="143"/>
      <c r="AF1068" s="143"/>
      <c r="AG1068" s="143"/>
      <c r="AH1068" s="143"/>
      <c r="AI1068" s="143"/>
      <c r="AJ1068" s="144"/>
    </row>
    <row r="1069" spans="11:36">
      <c r="K1069" s="85"/>
      <c r="L1069" s="54" t="str">
        <f t="shared" si="87"/>
        <v/>
      </c>
      <c r="M1069" s="38" t="str">
        <f t="shared" si="89"/>
        <v>0100</v>
      </c>
      <c r="N1069" s="69">
        <f t="shared" si="88"/>
        <v>256</v>
      </c>
      <c r="O1069" s="95"/>
      <c r="P1069" s="96"/>
      <c r="Q1069" s="97"/>
      <c r="R1069" s="149"/>
      <c r="S1069" s="153">
        <f>IF(P1069="",0,IF(OR(O1069=";",P1069="EQU",P1069="ORG"),0,IF(P1069="DS",HEX2DEC(Q1069),IF(P1069="DB",LEN(Q1069)+1,VLOOKUP(TRIM(P1069),'8080 Op to Hex'!$A:$F,6,0)))))</f>
        <v>0</v>
      </c>
      <c r="AA1069" s="74"/>
      <c r="AB1069" s="12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2"/>
      <c r="AD1069" s="143"/>
      <c r="AE1069" s="143"/>
      <c r="AF1069" s="143"/>
      <c r="AG1069" s="143"/>
      <c r="AH1069" s="143"/>
      <c r="AI1069" s="143"/>
      <c r="AJ1069" s="144"/>
    </row>
    <row r="1070" spans="11:36" ht="15.75" thickBot="1">
      <c r="K1070" s="132"/>
      <c r="L1070" s="133" t="str">
        <f t="shared" si="87"/>
        <v/>
      </c>
      <c r="M1070" s="134" t="str">
        <f t="shared" si="89"/>
        <v>0100</v>
      </c>
      <c r="N1070" s="135">
        <f t="shared" si="88"/>
        <v>256</v>
      </c>
      <c r="O1070" s="136"/>
      <c r="P1070" s="137"/>
      <c r="Q1070" s="138"/>
      <c r="R1070" s="150"/>
      <c r="S1070" s="154">
        <f>IF(P1070="",0,IF(OR(O1070=";",P1070="EQU",P1070="ORG"),0,IF(P1070="DS",HEX2DEC(Q1070),IF(P1070="DB",LEN(Q1070)+1,VLOOKUP(TRIM(P1070),'8080 Op to Hex'!$A:$F,6,0)))))</f>
        <v>0</v>
      </c>
      <c r="AA1070" s="8"/>
      <c r="AB1070" s="12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5"/>
      <c r="AD1070" s="146"/>
      <c r="AE1070" s="146"/>
      <c r="AF1070" s="146"/>
      <c r="AG1070" s="146"/>
      <c r="AH1070" s="146"/>
      <c r="AI1070" s="146"/>
      <c r="AJ1070" s="147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2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3</xdr:col>
                    <xdr:colOff>123825</xdr:colOff>
                    <xdr:row>14</xdr:row>
                    <xdr:rowOff>190500</xdr:rowOff>
                  </from>
                  <to>
                    <xdr:col>5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80" t="s">
        <v>1147</v>
      </c>
      <c r="B1" s="180" t="s">
        <v>1150</v>
      </c>
      <c r="C1" s="180" t="s">
        <v>432</v>
      </c>
      <c r="D1" s="180" t="s">
        <v>1151</v>
      </c>
      <c r="E1" s="180" t="s">
        <v>1148</v>
      </c>
      <c r="F1" s="180" t="s">
        <v>1149</v>
      </c>
    </row>
    <row r="2" spans="1:6">
      <c r="A2" s="181" t="s">
        <v>188</v>
      </c>
      <c r="B2" t="s">
        <v>171</v>
      </c>
    </row>
    <row r="3" spans="1:6">
      <c r="A3" s="181" t="s">
        <v>148</v>
      </c>
      <c r="B3" t="s">
        <v>171</v>
      </c>
    </row>
    <row r="4" spans="1:6">
      <c r="A4" s="181" t="s">
        <v>296</v>
      </c>
      <c r="B4" t="s">
        <v>171</v>
      </c>
    </row>
    <row r="5" spans="1:6">
      <c r="A5" s="181" t="s">
        <v>874</v>
      </c>
      <c r="B5" t="s">
        <v>171</v>
      </c>
    </row>
    <row r="6" spans="1:6">
      <c r="A6" s="181" t="s">
        <v>873</v>
      </c>
      <c r="B6" t="s">
        <v>171</v>
      </c>
    </row>
    <row r="7" spans="1:6">
      <c r="A7" s="181" t="s">
        <v>872</v>
      </c>
      <c r="B7" t="s">
        <v>171</v>
      </c>
    </row>
    <row r="8" spans="1:6">
      <c r="A8" s="181" t="s">
        <v>871</v>
      </c>
      <c r="B8" t="s">
        <v>171</v>
      </c>
    </row>
    <row r="9" spans="1:6">
      <c r="A9" s="181" t="s">
        <v>870</v>
      </c>
      <c r="B9" t="s">
        <v>171</v>
      </c>
    </row>
    <row r="10" spans="1:6">
      <c r="A10" s="181" t="s">
        <v>869</v>
      </c>
      <c r="B10" t="s">
        <v>171</v>
      </c>
    </row>
    <row r="11" spans="1:6">
      <c r="A11" s="181" t="s">
        <v>22</v>
      </c>
      <c r="B11" t="s">
        <v>171</v>
      </c>
    </row>
    <row r="12" spans="1:6">
      <c r="A12" s="181" t="s">
        <v>100</v>
      </c>
      <c r="B12" t="s">
        <v>171</v>
      </c>
    </row>
    <row r="13" spans="1:6">
      <c r="A13" s="181" t="s">
        <v>88</v>
      </c>
      <c r="B13" t="s">
        <v>171</v>
      </c>
    </row>
    <row r="14" spans="1:6">
      <c r="A14" s="181" t="s">
        <v>399</v>
      </c>
      <c r="B14" t="s">
        <v>1152</v>
      </c>
    </row>
    <row r="15" spans="1:6">
      <c r="A15" s="181" t="s">
        <v>435</v>
      </c>
      <c r="B15" t="s">
        <v>1152</v>
      </c>
    </row>
    <row r="16" spans="1:6">
      <c r="A16" s="181" t="s">
        <v>402</v>
      </c>
      <c r="B16" t="s">
        <v>1152</v>
      </c>
    </row>
    <row r="17" spans="1:2">
      <c r="A17" s="181" t="s">
        <v>438</v>
      </c>
      <c r="B17" t="s">
        <v>1152</v>
      </c>
    </row>
    <row r="18" spans="1:2">
      <c r="A18" s="181" t="s">
        <v>440</v>
      </c>
      <c r="B18" t="s">
        <v>1152</v>
      </c>
    </row>
    <row r="19" spans="1:2">
      <c r="A19" s="181" t="s">
        <v>453</v>
      </c>
      <c r="B19" t="s">
        <v>1152</v>
      </c>
    </row>
    <row r="20" spans="1:2">
      <c r="A20" s="181" t="s">
        <v>442</v>
      </c>
      <c r="B20" t="s">
        <v>1152</v>
      </c>
    </row>
    <row r="21" spans="1:2">
      <c r="A21" s="181" t="s">
        <v>456</v>
      </c>
      <c r="B21" t="s">
        <v>1152</v>
      </c>
    </row>
    <row r="22" spans="1:2">
      <c r="A22" s="181" t="s">
        <v>215</v>
      </c>
      <c r="B22" t="s">
        <v>1152</v>
      </c>
    </row>
    <row r="23" spans="1:2">
      <c r="A23" s="181" t="s">
        <v>239</v>
      </c>
      <c r="B23" t="s">
        <v>1152</v>
      </c>
    </row>
    <row r="24" spans="1:2">
      <c r="A24" s="181" t="s">
        <v>471</v>
      </c>
      <c r="B24" t="s">
        <v>1152</v>
      </c>
    </row>
    <row r="25" spans="1:2">
      <c r="A25" s="181" t="s">
        <v>472</v>
      </c>
      <c r="B25" t="s">
        <v>1152</v>
      </c>
    </row>
    <row r="26" spans="1:2">
      <c r="A26" s="181" t="s">
        <v>475</v>
      </c>
      <c r="B26" t="s">
        <v>1152</v>
      </c>
    </row>
    <row r="27" spans="1:2">
      <c r="A27" s="181" t="s">
        <v>52</v>
      </c>
      <c r="B27" t="s">
        <v>1152</v>
      </c>
    </row>
    <row r="28" spans="1:2">
      <c r="A28" s="181" t="s">
        <v>875</v>
      </c>
      <c r="B28" t="s">
        <v>1152</v>
      </c>
    </row>
    <row r="29" spans="1:2">
      <c r="A29" s="181" t="s">
        <v>164</v>
      </c>
      <c r="B29" t="s">
        <v>1152</v>
      </c>
    </row>
    <row r="30" spans="1:2">
      <c r="A30" s="181" t="s">
        <v>408</v>
      </c>
      <c r="B30" t="s">
        <v>225</v>
      </c>
    </row>
    <row r="31" spans="1:2">
      <c r="A31" s="181" t="s">
        <v>154</v>
      </c>
      <c r="B31" t="s">
        <v>225</v>
      </c>
    </row>
    <row r="32" spans="1:2">
      <c r="A32" s="181" t="s">
        <v>269</v>
      </c>
      <c r="B32" t="s">
        <v>225</v>
      </c>
    </row>
    <row r="33" spans="1:2">
      <c r="A33" s="181" t="s">
        <v>156</v>
      </c>
      <c r="B33" t="s">
        <v>225</v>
      </c>
    </row>
    <row r="34" spans="1:2">
      <c r="A34" s="181" t="s">
        <v>458</v>
      </c>
      <c r="B34" t="s">
        <v>225</v>
      </c>
    </row>
    <row r="35" spans="1:2">
      <c r="A35" s="181" t="s">
        <v>162</v>
      </c>
      <c r="B35" t="s">
        <v>225</v>
      </c>
    </row>
    <row r="36" spans="1:2">
      <c r="A36" s="181" t="s">
        <v>68</v>
      </c>
      <c r="B36" t="s">
        <v>225</v>
      </c>
    </row>
    <row r="37" spans="1:2">
      <c r="A37" s="181" t="s">
        <v>462</v>
      </c>
      <c r="B37" t="s">
        <v>1153</v>
      </c>
    </row>
    <row r="38" spans="1:2">
      <c r="A38" s="181" t="s">
        <v>160</v>
      </c>
      <c r="B38" t="s">
        <v>1153</v>
      </c>
    </row>
    <row r="39" spans="1:2">
      <c r="A39" s="181" t="s">
        <v>464</v>
      </c>
      <c r="B39" t="s">
        <v>1153</v>
      </c>
    </row>
    <row r="40" spans="1:2">
      <c r="A40" s="181" t="s">
        <v>158</v>
      </c>
      <c r="B40" t="s">
        <v>1153</v>
      </c>
    </row>
    <row r="41" spans="1:2">
      <c r="A41" s="181" t="s">
        <v>72</v>
      </c>
      <c r="B41" t="s">
        <v>117</v>
      </c>
    </row>
    <row r="42" spans="1:2">
      <c r="A42" s="181" t="s">
        <v>70</v>
      </c>
      <c r="B42" t="s">
        <v>117</v>
      </c>
    </row>
    <row r="43" spans="1:2">
      <c r="A43" s="181" t="s">
        <v>354</v>
      </c>
      <c r="B43" t="s">
        <v>1155</v>
      </c>
    </row>
    <row r="44" spans="1:2">
      <c r="A44" s="181" t="s">
        <v>881</v>
      </c>
      <c r="B44" t="s">
        <v>1155</v>
      </c>
    </row>
    <row r="45" spans="1:2">
      <c r="A45" s="181" t="s">
        <v>878</v>
      </c>
      <c r="B45" t="s">
        <v>1155</v>
      </c>
    </row>
    <row r="46" spans="1:2">
      <c r="A46" s="181" t="s">
        <v>255</v>
      </c>
      <c r="B46" t="s">
        <v>1155</v>
      </c>
    </row>
    <row r="47" spans="1:2">
      <c r="A47" s="181" t="s">
        <v>359</v>
      </c>
      <c r="B47" t="s">
        <v>1155</v>
      </c>
    </row>
    <row r="48" spans="1:2">
      <c r="A48" s="181" t="s">
        <v>366</v>
      </c>
      <c r="B48" t="s">
        <v>1155</v>
      </c>
    </row>
    <row r="49" spans="1:2">
      <c r="A49" s="181" t="s">
        <v>363</v>
      </c>
      <c r="B49" t="s">
        <v>1155</v>
      </c>
    </row>
    <row r="50" spans="1:2">
      <c r="A50" s="181" t="s">
        <v>372</v>
      </c>
      <c r="B50" t="s">
        <v>1155</v>
      </c>
    </row>
    <row r="51" spans="1:2">
      <c r="A51" s="181" t="s">
        <v>374</v>
      </c>
      <c r="B51" t="s">
        <v>1155</v>
      </c>
    </row>
    <row r="52" spans="1:2">
      <c r="A52" s="181" t="s">
        <v>197</v>
      </c>
      <c r="B52" t="s">
        <v>1155</v>
      </c>
    </row>
    <row r="53" spans="1:2">
      <c r="A53" s="181" t="s">
        <v>84</v>
      </c>
      <c r="B53" t="s">
        <v>1155</v>
      </c>
    </row>
    <row r="54" spans="1:2">
      <c r="A54" s="181" t="s">
        <v>494</v>
      </c>
      <c r="B54" t="s">
        <v>1155</v>
      </c>
    </row>
    <row r="55" spans="1:2">
      <c r="A55" s="181" t="s">
        <v>876</v>
      </c>
      <c r="B55" t="s">
        <v>1155</v>
      </c>
    </row>
    <row r="56" spans="1:2">
      <c r="A56" s="181" t="s">
        <v>787</v>
      </c>
      <c r="B56" t="s">
        <v>1155</v>
      </c>
    </row>
    <row r="57" spans="1:2">
      <c r="A57" s="181" t="s">
        <v>880</v>
      </c>
      <c r="B57" t="s">
        <v>1155</v>
      </c>
    </row>
    <row r="58" spans="1:2">
      <c r="A58" s="181" t="s">
        <v>885</v>
      </c>
      <c r="B58" t="s">
        <v>1155</v>
      </c>
    </row>
    <row r="59" spans="1:2">
      <c r="A59" s="181" t="s">
        <v>1116</v>
      </c>
      <c r="B59" t="s">
        <v>1155</v>
      </c>
    </row>
    <row r="60" spans="1:2">
      <c r="A60" s="181" t="s">
        <v>884</v>
      </c>
      <c r="B60" t="s">
        <v>1155</v>
      </c>
    </row>
    <row r="61" spans="1:2">
      <c r="A61" s="181" t="s">
        <v>883</v>
      </c>
      <c r="B61" t="s">
        <v>1155</v>
      </c>
    </row>
    <row r="62" spans="1:2">
      <c r="A62" s="181" t="s">
        <v>495</v>
      </c>
      <c r="B62" t="s">
        <v>1155</v>
      </c>
    </row>
    <row r="63" spans="1:2">
      <c r="A63" s="181" t="s">
        <v>764</v>
      </c>
      <c r="B63" t="s">
        <v>1155</v>
      </c>
    </row>
    <row r="64" spans="1:2">
      <c r="A64" s="181" t="s">
        <v>812</v>
      </c>
      <c r="B64" t="s">
        <v>1155</v>
      </c>
    </row>
    <row r="65" spans="1:2">
      <c r="A65" s="181" t="s">
        <v>795</v>
      </c>
      <c r="B65" t="s">
        <v>1155</v>
      </c>
    </row>
    <row r="66" spans="1:2">
      <c r="A66" s="181" t="s">
        <v>856</v>
      </c>
      <c r="B66" t="s">
        <v>1155</v>
      </c>
    </row>
    <row r="67" spans="1:2">
      <c r="A67" s="181" t="s">
        <v>1123</v>
      </c>
      <c r="B67" t="s">
        <v>1155</v>
      </c>
    </row>
    <row r="68" spans="1:2">
      <c r="A68" s="181" t="s">
        <v>842</v>
      </c>
      <c r="B68" t="s">
        <v>1155</v>
      </c>
    </row>
    <row r="69" spans="1:2">
      <c r="A69" s="181" t="s">
        <v>826</v>
      </c>
      <c r="B69" t="s">
        <v>1155</v>
      </c>
    </row>
    <row r="70" spans="1:2">
      <c r="A70" s="181" t="s">
        <v>150</v>
      </c>
      <c r="B70" t="s">
        <v>136</v>
      </c>
    </row>
    <row r="71" spans="1:2">
      <c r="A71" s="181" t="s">
        <v>282</v>
      </c>
      <c r="B71" t="s">
        <v>136</v>
      </c>
    </row>
    <row r="72" spans="1:2">
      <c r="A72" s="181" t="s">
        <v>98</v>
      </c>
      <c r="B72" t="s">
        <v>136</v>
      </c>
    </row>
    <row r="73" spans="1:2">
      <c r="A73" s="181" t="s">
        <v>882</v>
      </c>
      <c r="B73" t="s">
        <v>1156</v>
      </c>
    </row>
    <row r="74" spans="1:2">
      <c r="A74" s="181" t="s">
        <v>879</v>
      </c>
      <c r="B74" t="s">
        <v>1156</v>
      </c>
    </row>
    <row r="75" spans="1:2">
      <c r="A75" s="181" t="s">
        <v>110</v>
      </c>
      <c r="B75" t="s">
        <v>1154</v>
      </c>
    </row>
    <row r="76" spans="1:2">
      <c r="A76" s="181" t="s">
        <v>108</v>
      </c>
      <c r="B76" t="s">
        <v>1154</v>
      </c>
    </row>
    <row r="77" spans="1:2">
      <c r="A77" s="181" t="s">
        <v>1157</v>
      </c>
      <c r="B77" t="s">
        <v>1154</v>
      </c>
    </row>
    <row r="78" spans="1:2">
      <c r="A78" s="181" t="s">
        <v>863</v>
      </c>
      <c r="B78" t="s">
        <v>1154</v>
      </c>
    </row>
    <row r="79" spans="1:2">
      <c r="A79" s="181" t="s">
        <v>877</v>
      </c>
      <c r="B79" t="s">
        <v>1154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3" customWidth="1"/>
    <col min="3" max="3" width="8.7109375" customWidth="1"/>
    <col min="4" max="5" width="10.7109375" customWidth="1"/>
    <col min="6" max="13" width="4.7109375" style="173" customWidth="1"/>
    <col min="14" max="19" width="4.7109375" customWidth="1"/>
    <col min="20" max="20" width="8.7109375" style="173" customWidth="1"/>
    <col min="21" max="22" width="10.7109375" style="173" customWidth="1"/>
    <col min="23" max="23" width="28.7109375" style="173" customWidth="1"/>
  </cols>
  <sheetData>
    <row r="1" spans="1:23" s="42" customFormat="1">
      <c r="A1" s="42" t="s">
        <v>133</v>
      </c>
      <c r="B1" s="172" t="s">
        <v>112</v>
      </c>
      <c r="C1" s="42" t="s">
        <v>1135</v>
      </c>
      <c r="D1" s="42" t="s">
        <v>129</v>
      </c>
      <c r="E1" s="42" t="s">
        <v>130</v>
      </c>
      <c r="F1" s="172" t="s">
        <v>153</v>
      </c>
      <c r="G1" s="172" t="s">
        <v>151</v>
      </c>
      <c r="H1" s="172" t="s">
        <v>189</v>
      </c>
      <c r="I1" s="172" t="s">
        <v>190</v>
      </c>
      <c r="J1" s="172" t="s">
        <v>272</v>
      </c>
      <c r="K1" s="172" t="s">
        <v>310</v>
      </c>
      <c r="L1" s="172" t="s">
        <v>334</v>
      </c>
      <c r="M1" s="172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2" t="s">
        <v>1139</v>
      </c>
      <c r="U1" s="172" t="s">
        <v>1140</v>
      </c>
      <c r="V1" s="172" t="s">
        <v>1141</v>
      </c>
      <c r="W1" s="172" t="s">
        <v>1142</v>
      </c>
    </row>
    <row r="2" spans="1:23">
      <c r="A2">
        <v>1</v>
      </c>
      <c r="B2" s="173" t="s">
        <v>1044</v>
      </c>
      <c r="C2" t="s">
        <v>296</v>
      </c>
      <c r="D2" t="s">
        <v>310</v>
      </c>
      <c r="E2" t="s">
        <v>1038</v>
      </c>
      <c r="F2" s="173" t="s">
        <v>222</v>
      </c>
      <c r="G2" s="173" t="s">
        <v>222</v>
      </c>
      <c r="H2" s="173" t="s">
        <v>222</v>
      </c>
      <c r="I2" s="173" t="s">
        <v>222</v>
      </c>
      <c r="J2" s="173" t="s">
        <v>222</v>
      </c>
      <c r="K2" s="173" t="s">
        <v>302</v>
      </c>
      <c r="L2" s="173" t="s">
        <v>467</v>
      </c>
      <c r="M2" s="173" t="s">
        <v>1159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3" t="s">
        <v>266</v>
      </c>
      <c r="U2" s="173" t="s">
        <v>266</v>
      </c>
      <c r="V2" s="173" t="s">
        <v>266</v>
      </c>
      <c r="W2" s="173" t="s">
        <v>266</v>
      </c>
    </row>
    <row r="3" spans="1:23">
      <c r="A3">
        <v>2</v>
      </c>
      <c r="B3" s="173" t="s">
        <v>1137</v>
      </c>
      <c r="C3" t="s">
        <v>879</v>
      </c>
      <c r="D3" t="s">
        <v>1039</v>
      </c>
      <c r="F3" s="173" t="s">
        <v>222</v>
      </c>
      <c r="G3" s="173" t="s">
        <v>222</v>
      </c>
      <c r="H3" s="173" t="s">
        <v>222</v>
      </c>
      <c r="I3" s="173" t="s">
        <v>222</v>
      </c>
      <c r="J3" s="173" t="s">
        <v>222</v>
      </c>
      <c r="K3" s="173" t="s">
        <v>302</v>
      </c>
      <c r="L3" s="173" t="s">
        <v>467</v>
      </c>
      <c r="M3" s="173" t="s">
        <v>1159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3" t="s">
        <v>266</v>
      </c>
      <c r="U3" s="173" t="s">
        <v>266</v>
      </c>
      <c r="V3" s="173" t="s">
        <v>266</v>
      </c>
      <c r="W3" s="173" t="s">
        <v>266</v>
      </c>
    </row>
    <row r="4" spans="1:23">
      <c r="A4">
        <v>3</v>
      </c>
      <c r="B4" s="173" t="s">
        <v>1145</v>
      </c>
      <c r="C4" t="s">
        <v>882</v>
      </c>
      <c r="D4" t="s">
        <v>434</v>
      </c>
      <c r="F4" s="173" t="s">
        <v>222</v>
      </c>
      <c r="G4" s="173" t="s">
        <v>222</v>
      </c>
      <c r="H4" s="173" t="s">
        <v>222</v>
      </c>
      <c r="I4" s="173" t="s">
        <v>222</v>
      </c>
      <c r="J4" s="173" t="s">
        <v>222</v>
      </c>
      <c r="K4" s="173" t="s">
        <v>302</v>
      </c>
      <c r="L4" s="173" t="s">
        <v>467</v>
      </c>
      <c r="M4" s="173" t="s">
        <v>1159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3" t="s">
        <v>266</v>
      </c>
      <c r="U4" s="173" t="s">
        <v>266</v>
      </c>
      <c r="V4" s="173" t="s">
        <v>266</v>
      </c>
      <c r="W4" s="173" t="s">
        <v>266</v>
      </c>
    </row>
    <row r="5" spans="1:23">
      <c r="A5">
        <v>4</v>
      </c>
      <c r="B5" s="173" t="s">
        <v>1158</v>
      </c>
      <c r="C5" t="s">
        <v>983</v>
      </c>
      <c r="F5" s="173" t="s">
        <v>222</v>
      </c>
      <c r="G5" s="173" t="s">
        <v>222</v>
      </c>
      <c r="H5" s="173" t="s">
        <v>222</v>
      </c>
      <c r="I5" s="173" t="s">
        <v>222</v>
      </c>
      <c r="J5" s="173" t="s">
        <v>222</v>
      </c>
      <c r="K5" s="173" t="s">
        <v>302</v>
      </c>
      <c r="L5" s="173" t="s">
        <v>467</v>
      </c>
      <c r="M5" s="173" t="s">
        <v>1159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3" t="s">
        <v>266</v>
      </c>
      <c r="U5" s="173" t="s">
        <v>266</v>
      </c>
      <c r="V5" s="173" t="s">
        <v>266</v>
      </c>
      <c r="W5" s="173" t="s">
        <v>266</v>
      </c>
    </row>
    <row r="6" spans="1:23">
      <c r="A6">
        <v>5</v>
      </c>
      <c r="B6" s="173" t="s">
        <v>1144</v>
      </c>
      <c r="C6" t="s">
        <v>191</v>
      </c>
      <c r="F6" s="173" t="s">
        <v>222</v>
      </c>
      <c r="G6" s="173" t="s">
        <v>222</v>
      </c>
      <c r="H6" s="173" t="s">
        <v>222</v>
      </c>
      <c r="I6" s="173" t="s">
        <v>222</v>
      </c>
      <c r="J6" s="173" t="s">
        <v>222</v>
      </c>
      <c r="K6" s="173" t="s">
        <v>302</v>
      </c>
      <c r="L6" s="173" t="s">
        <v>467</v>
      </c>
      <c r="M6" s="173" t="s">
        <v>1159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3" t="s">
        <v>266</v>
      </c>
      <c r="U6" s="173" t="s">
        <v>266</v>
      </c>
      <c r="V6" s="173" t="s">
        <v>266</v>
      </c>
      <c r="W6" s="173" t="s">
        <v>266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565" sqref="D565:G57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7">
        <v>0</v>
      </c>
      <c r="AA1" s="157">
        <v>0</v>
      </c>
      <c r="AB1" s="157">
        <v>0</v>
      </c>
      <c r="AC1" s="157">
        <v>0</v>
      </c>
      <c r="AD1" s="157">
        <v>0</v>
      </c>
      <c r="AE1" s="157">
        <v>0</v>
      </c>
      <c r="AF1" s="158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09</v>
      </c>
      <c r="I2" s="55" t="str">
        <f>PC</f>
        <v>0108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2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59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09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6" t="s">
        <v>992</v>
      </c>
      <c r="U5" s="185" t="s">
        <v>337</v>
      </c>
      <c r="V5" s="186"/>
      <c r="W5" s="186"/>
      <c r="X5" s="186"/>
      <c r="Y5" s="186"/>
      <c r="Z5" s="186"/>
      <c r="AA5" s="186"/>
      <c r="AB5" s="187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8" t="s">
        <v>1160</v>
      </c>
      <c r="V6" s="188"/>
      <c r="W6" s="188"/>
      <c r="X6" s="188"/>
      <c r="Y6" s="188"/>
      <c r="Z6" s="188"/>
      <c r="AA6" s="188"/>
      <c r="AB6" s="18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9"/>
      <c r="V7" s="189"/>
      <c r="W7" s="189"/>
      <c r="X7" s="189"/>
      <c r="Y7" s="189"/>
      <c r="Z7" s="189"/>
      <c r="AA7" s="189"/>
      <c r="AB7" s="18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9"/>
      <c r="V8" s="189"/>
      <c r="W8" s="189"/>
      <c r="X8" s="189"/>
      <c r="Y8" s="189"/>
      <c r="Z8" s="189"/>
      <c r="AA8" s="189"/>
      <c r="AB8" s="18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9"/>
      <c r="V9" s="189"/>
      <c r="W9" s="189"/>
      <c r="X9" s="189"/>
      <c r="Y9" s="189"/>
      <c r="Z9" s="189"/>
      <c r="AA9" s="189"/>
      <c r="AB9" s="189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9"/>
      <c r="V10" s="189"/>
      <c r="W10" s="189"/>
      <c r="X10" s="189"/>
      <c r="Y10" s="189"/>
      <c r="Z10" s="189"/>
      <c r="AA10" s="189"/>
      <c r="AB10" s="189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09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9"/>
      <c r="V11" s="189"/>
      <c r="W11" s="189"/>
      <c r="X11" s="189"/>
      <c r="Y11" s="189"/>
      <c r="Z11" s="189"/>
      <c r="AA11" s="189"/>
      <c r="AB11" s="189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9"/>
      <c r="V12" s="189"/>
      <c r="W12" s="189"/>
      <c r="X12" s="189"/>
      <c r="Y12" s="189"/>
      <c r="Z12" s="189"/>
      <c r="AA12" s="189"/>
      <c r="AB12" s="189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9"/>
      <c r="V13" s="189"/>
      <c r="W13" s="189"/>
      <c r="X13" s="189"/>
      <c r="Y13" s="189"/>
      <c r="Z13" s="189"/>
      <c r="AA13" s="189"/>
      <c r="AB13" s="189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9"/>
      <c r="V14" s="189"/>
      <c r="W14" s="189"/>
      <c r="X14" s="189"/>
      <c r="Y14" s="189"/>
      <c r="Z14" s="189"/>
      <c r="AA14" s="189"/>
      <c r="AB14" s="189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9"/>
      <c r="V15" s="189"/>
      <c r="W15" s="189"/>
      <c r="X15" s="189"/>
      <c r="Y15" s="189"/>
      <c r="Z15" s="189"/>
      <c r="AA15" s="189"/>
      <c r="AB15" s="189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09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9"/>
      <c r="V16" s="189"/>
      <c r="W16" s="189"/>
      <c r="X16" s="189"/>
      <c r="Y16" s="189"/>
      <c r="Z16" s="189"/>
      <c r="AA16" s="189"/>
      <c r="AB16" s="18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9"/>
      <c r="V17" s="189"/>
      <c r="W17" s="189"/>
      <c r="X17" s="189"/>
      <c r="Y17" s="189"/>
      <c r="Z17" s="189"/>
      <c r="AA17" s="189"/>
      <c r="AB17" s="18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9"/>
      <c r="V18" s="189"/>
      <c r="W18" s="189"/>
      <c r="X18" s="189"/>
      <c r="Y18" s="189"/>
      <c r="Z18" s="189"/>
      <c r="AA18" s="189"/>
      <c r="AB18" s="18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9"/>
      <c r="V19" s="189"/>
      <c r="W19" s="189"/>
      <c r="X19" s="189"/>
      <c r="Y19" s="189"/>
      <c r="Z19" s="189"/>
      <c r="AA19" s="189"/>
      <c r="AB19" s="18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9"/>
      <c r="V20" s="189"/>
      <c r="W20" s="189"/>
      <c r="X20" s="189"/>
      <c r="Y20" s="189"/>
      <c r="Z20" s="189"/>
      <c r="AA20" s="189"/>
      <c r="AB20" s="18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9"/>
      <c r="V21" s="189"/>
      <c r="W21" s="189"/>
      <c r="X21" s="189"/>
      <c r="Y21" s="189"/>
      <c r="Z21" s="189"/>
      <c r="AA21" s="189"/>
      <c r="AB21" s="18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9"/>
      <c r="V22" s="189"/>
      <c r="W22" s="189"/>
      <c r="X22" s="189"/>
      <c r="Y22" s="189"/>
      <c r="Z22" s="189"/>
      <c r="AA22" s="189"/>
      <c r="AB22" s="18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9"/>
      <c r="V23" s="189"/>
      <c r="W23" s="189"/>
      <c r="X23" s="189"/>
      <c r="Y23" s="189"/>
      <c r="Z23" s="189"/>
      <c r="AA23" s="189"/>
      <c r="AB23" s="18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9"/>
      <c r="V24" s="189"/>
      <c r="W24" s="189"/>
      <c r="X24" s="189"/>
      <c r="Y24" s="189"/>
      <c r="Z24" s="189"/>
      <c r="AA24" s="189"/>
      <c r="AB24" s="18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9"/>
      <c r="V25" s="189"/>
      <c r="W25" s="189"/>
      <c r="X25" s="189"/>
      <c r="Y25" s="189"/>
      <c r="Z25" s="189"/>
      <c r="AA25" s="189"/>
      <c r="AB25" s="189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9"/>
      <c r="V26" s="189"/>
      <c r="W26" s="189"/>
      <c r="X26" s="189"/>
      <c r="Y26" s="189"/>
      <c r="Z26" s="189"/>
      <c r="AA26" s="189"/>
      <c r="AB26" s="18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9"/>
      <c r="V27" s="189"/>
      <c r="W27" s="189"/>
      <c r="X27" s="189"/>
      <c r="Y27" s="189"/>
      <c r="Z27" s="189"/>
      <c r="AA27" s="189"/>
      <c r="AB27" s="189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9"/>
      <c r="V28" s="189"/>
      <c r="W28" s="189"/>
      <c r="X28" s="189"/>
      <c r="Y28" s="189"/>
      <c r="Z28" s="189"/>
      <c r="AA28" s="189"/>
      <c r="AB28" s="189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09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9"/>
      <c r="V29" s="189"/>
      <c r="W29" s="189"/>
      <c r="X29" s="189"/>
      <c r="Y29" s="189"/>
      <c r="Z29" s="189"/>
      <c r="AA29" s="189"/>
      <c r="AB29" s="189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9"/>
      <c r="V30" s="189"/>
      <c r="W30" s="189"/>
      <c r="X30" s="189"/>
      <c r="Y30" s="189"/>
      <c r="Z30" s="189"/>
      <c r="AA30" s="189"/>
      <c r="AB30" s="18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9"/>
      <c r="V31" s="189"/>
      <c r="W31" s="189"/>
      <c r="X31" s="189"/>
      <c r="Y31" s="189"/>
      <c r="Z31" s="189"/>
      <c r="AA31" s="189"/>
      <c r="AB31" s="18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9"/>
      <c r="V32" s="189"/>
      <c r="W32" s="189"/>
      <c r="X32" s="189"/>
      <c r="Y32" s="189"/>
      <c r="Z32" s="189"/>
      <c r="AA32" s="189"/>
      <c r="AB32" s="18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9"/>
      <c r="V33" s="189"/>
      <c r="W33" s="189"/>
      <c r="X33" s="189"/>
      <c r="Y33" s="189"/>
      <c r="Z33" s="189"/>
      <c r="AA33" s="189"/>
      <c r="AB33" s="189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9"/>
      <c r="V34" s="189"/>
      <c r="W34" s="189"/>
      <c r="X34" s="189"/>
      <c r="Y34" s="189"/>
      <c r="Z34" s="189"/>
      <c r="AA34" s="189"/>
      <c r="AB34" s="18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9"/>
      <c r="V35" s="189"/>
      <c r="W35" s="189"/>
      <c r="X35" s="189"/>
      <c r="Y35" s="189"/>
      <c r="Z35" s="189"/>
      <c r="AA35" s="189"/>
      <c r="AB35" s="18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09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09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09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09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09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09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09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09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09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09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09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09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09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09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09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09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09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09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09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09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09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09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09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09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09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09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09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09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09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09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09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09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09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09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09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09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09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09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09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09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09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0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09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09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09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09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09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7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09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09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09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09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5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2" t="s">
        <v>212</v>
      </c>
      <c r="J545" s="52">
        <f ca="1">IFERROR(IF(AND(J546:J562),0,1),0)</f>
        <v>1</v>
      </c>
      <c r="K545" s="109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1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5" t="s">
        <v>147</v>
      </c>
      <c r="G548" s="98"/>
      <c r="H548" s="54"/>
      <c r="I548" s="55" t="s">
        <v>1009</v>
      </c>
      <c r="J548" s="160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5" t="s">
        <v>187</v>
      </c>
      <c r="G549" s="98"/>
      <c r="H549" s="54"/>
      <c r="I549" s="55" t="s">
        <v>1011</v>
      </c>
      <c r="J549" s="161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0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1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0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1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0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1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0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1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0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1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0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1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0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6" t="s">
        <v>143</v>
      </c>
      <c r="C564" s="166" t="s">
        <v>144</v>
      </c>
      <c r="D564" s="167" t="s">
        <v>131</v>
      </c>
      <c r="E564" s="46" t="s">
        <v>149</v>
      </c>
      <c r="F564" s="167" t="s">
        <v>129</v>
      </c>
      <c r="G564" s="167" t="s">
        <v>130</v>
      </c>
      <c r="H564" s="167" t="s">
        <v>252</v>
      </c>
      <c r="I564" s="162" t="s">
        <v>212</v>
      </c>
      <c r="J564" s="157">
        <f ca="1">IFERROR(IF(AND(J565:J573),0,1),0)</f>
        <v>1</v>
      </c>
      <c r="K564" s="168" t="s">
        <v>436</v>
      </c>
      <c r="L564" s="56" t="s">
        <v>1066</v>
      </c>
      <c r="M564" s="169">
        <f>IFERROR(VLOOKUP($A564,$P$6:$S$1048576,3,0),0)</f>
        <v>0</v>
      </c>
      <c r="N564" s="169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0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0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0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0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0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6" t="s">
        <v>143</v>
      </c>
      <c r="C575" s="166" t="s">
        <v>144</v>
      </c>
      <c r="D575" s="167" t="s">
        <v>131</v>
      </c>
      <c r="E575" s="46" t="s">
        <v>149</v>
      </c>
      <c r="F575" s="167" t="s">
        <v>129</v>
      </c>
      <c r="G575" s="167" t="s">
        <v>130</v>
      </c>
      <c r="H575" s="167" t="s">
        <v>252</v>
      </c>
      <c r="I575" s="162" t="s">
        <v>212</v>
      </c>
      <c r="J575" s="157">
        <f ca="1">IFERROR(IF(AND(J576:J584),0,1),0)</f>
        <v>1</v>
      </c>
      <c r="K575" s="168" t="s">
        <v>436</v>
      </c>
      <c r="L575" s="56" t="s">
        <v>1067</v>
      </c>
      <c r="M575" s="169">
        <f>IFERROR(VLOOKUP($A575,$P$6:$S$1048576,3,0),0)</f>
        <v>0</v>
      </c>
      <c r="N575" s="169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0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0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0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0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0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6" t="s">
        <v>143</v>
      </c>
      <c r="C586" s="166" t="s">
        <v>144</v>
      </c>
      <c r="D586" s="167" t="s">
        <v>131</v>
      </c>
      <c r="E586" s="46" t="s">
        <v>149</v>
      </c>
      <c r="F586" s="167" t="s">
        <v>129</v>
      </c>
      <c r="G586" s="167" t="s">
        <v>130</v>
      </c>
      <c r="H586" s="167" t="s">
        <v>252</v>
      </c>
      <c r="I586" s="162" t="s">
        <v>212</v>
      </c>
      <c r="J586" s="157">
        <f ca="1">IFERROR(IF(AND(J587:J591),0,1),0)</f>
        <v>1</v>
      </c>
      <c r="K586" s="168" t="s">
        <v>436</v>
      </c>
      <c r="L586" s="56" t="s">
        <v>1069</v>
      </c>
      <c r="M586" s="169">
        <f>IFERROR(VLOOKUP($A586,$P$6:$S$1048576,3,0),0)</f>
        <v>0</v>
      </c>
      <c r="N586" s="169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0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0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0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0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0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6" t="s">
        <v>143</v>
      </c>
      <c r="C593" s="166" t="s">
        <v>144</v>
      </c>
      <c r="D593" s="167" t="s">
        <v>131</v>
      </c>
      <c r="E593" s="46" t="s">
        <v>149</v>
      </c>
      <c r="F593" s="167" t="s">
        <v>129</v>
      </c>
      <c r="G593" s="167" t="s">
        <v>130</v>
      </c>
      <c r="H593" s="167" t="s">
        <v>252</v>
      </c>
      <c r="I593" s="162" t="s">
        <v>212</v>
      </c>
      <c r="J593" s="157">
        <f ca="1">IFERROR(IF(AND(J594:J598),0,1),0)</f>
        <v>1</v>
      </c>
      <c r="K593" s="168" t="s">
        <v>436</v>
      </c>
      <c r="L593" s="56" t="s">
        <v>1070</v>
      </c>
      <c r="M593" s="169">
        <f>IFERROR(VLOOKUP($A593,$P$6:$S$1048576,3,0),0)</f>
        <v>0</v>
      </c>
      <c r="N593" s="169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0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0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0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0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0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6" t="s">
        <v>143</v>
      </c>
      <c r="C600" s="166" t="s">
        <v>144</v>
      </c>
      <c r="D600" s="167" t="s">
        <v>131</v>
      </c>
      <c r="E600" s="46" t="s">
        <v>149</v>
      </c>
      <c r="F600" s="167" t="s">
        <v>129</v>
      </c>
      <c r="G600" s="167" t="s">
        <v>130</v>
      </c>
      <c r="H600" s="167" t="s">
        <v>252</v>
      </c>
      <c r="I600" s="162" t="s">
        <v>212</v>
      </c>
      <c r="J600" s="157">
        <f ca="1">IFERROR(IF(AND(J601:J605),0,1),0)</f>
        <v>1</v>
      </c>
      <c r="K600" s="168" t="s">
        <v>436</v>
      </c>
      <c r="L600" s="56" t="s">
        <v>1101</v>
      </c>
      <c r="M600" s="169">
        <f>IFERROR(VLOOKUP($A600,$P$6:$S$1048576,3,0),0)</f>
        <v>0</v>
      </c>
      <c r="N600" s="169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0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0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0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0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0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6" t="s">
        <v>143</v>
      </c>
      <c r="C607" s="166" t="s">
        <v>144</v>
      </c>
      <c r="D607" s="167" t="s">
        <v>131</v>
      </c>
      <c r="E607" s="46" t="s">
        <v>149</v>
      </c>
      <c r="F607" s="167" t="s">
        <v>129</v>
      </c>
      <c r="G607" s="167" t="s">
        <v>130</v>
      </c>
      <c r="H607" s="167" t="s">
        <v>252</v>
      </c>
      <c r="I607" s="162" t="s">
        <v>212</v>
      </c>
      <c r="J607" s="157">
        <f ca="1">IFERROR(IF(AND(J608:J612),0,1),0)</f>
        <v>1</v>
      </c>
      <c r="K607" s="168" t="s">
        <v>436</v>
      </c>
      <c r="L607" s="56" t="s">
        <v>1102</v>
      </c>
      <c r="M607" s="169">
        <f>IFERROR(VLOOKUP($A607,$P$6:$S$1048576,3,0),0)</f>
        <v>0</v>
      </c>
      <c r="N607" s="169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0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0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0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0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0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6" t="s">
        <v>143</v>
      </c>
      <c r="C614" s="166" t="s">
        <v>144</v>
      </c>
      <c r="D614" s="167" t="s">
        <v>131</v>
      </c>
      <c r="E614" s="46" t="s">
        <v>149</v>
      </c>
      <c r="F614" s="167" t="s">
        <v>129</v>
      </c>
      <c r="G614" s="167" t="s">
        <v>130</v>
      </c>
      <c r="H614" s="167" t="s">
        <v>252</v>
      </c>
      <c r="I614" s="162" t="s">
        <v>212</v>
      </c>
      <c r="J614" s="157">
        <f ca="1">IFERROR(IF(AND(J615:J619),0,1),0)</f>
        <v>1</v>
      </c>
      <c r="K614" s="168" t="s">
        <v>436</v>
      </c>
      <c r="L614" s="56" t="s">
        <v>1104</v>
      </c>
      <c r="M614" s="169">
        <f>IFERROR(VLOOKUP($A614,$P$6:$S$1048576,3,0),0)</f>
        <v>0</v>
      </c>
      <c r="N614" s="169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0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0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0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0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0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6" t="s">
        <v>143</v>
      </c>
      <c r="C621" s="166" t="s">
        <v>144</v>
      </c>
      <c r="D621" s="167" t="s">
        <v>131</v>
      </c>
      <c r="E621" s="46" t="s">
        <v>149</v>
      </c>
      <c r="F621" s="167" t="s">
        <v>129</v>
      </c>
      <c r="G621" s="167" t="s">
        <v>130</v>
      </c>
      <c r="H621" s="167" t="s">
        <v>252</v>
      </c>
      <c r="I621" s="162" t="s">
        <v>212</v>
      </c>
      <c r="J621" s="157">
        <f ca="1">IFERROR(IF(AND(J622:J627),0,1),0)</f>
        <v>1</v>
      </c>
      <c r="K621" s="168" t="s">
        <v>436</v>
      </c>
      <c r="L621" s="56" t="s">
        <v>1106</v>
      </c>
      <c r="M621" s="169">
        <f>IFERROR(VLOOKUP($A621,$P$6:$S$1048576,3,0),0)</f>
        <v>0</v>
      </c>
      <c r="N621" s="169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0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0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0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0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0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0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6" t="s">
        <v>143</v>
      </c>
      <c r="C629" s="166" t="s">
        <v>144</v>
      </c>
      <c r="D629" s="167" t="s">
        <v>131</v>
      </c>
      <c r="E629" s="46" t="s">
        <v>149</v>
      </c>
      <c r="F629" s="167" t="s">
        <v>129</v>
      </c>
      <c r="G629" s="167" t="s">
        <v>130</v>
      </c>
      <c r="H629" s="167" t="s">
        <v>252</v>
      </c>
      <c r="I629" s="162" t="s">
        <v>212</v>
      </c>
      <c r="J629" s="157">
        <f ca="1">IFERROR(IF(AND(J630:J635),0,1),0)</f>
        <v>1</v>
      </c>
      <c r="K629" s="168" t="s">
        <v>436</v>
      </c>
      <c r="L629" s="56" t="s">
        <v>1107</v>
      </c>
      <c r="M629" s="169">
        <f>IFERROR(VLOOKUP($A629,$P$6:$S$1048576,3,0),0)</f>
        <v>0</v>
      </c>
      <c r="N629" s="169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0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0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0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0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0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0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6" t="s">
        <v>143</v>
      </c>
      <c r="C637" s="166" t="s">
        <v>144</v>
      </c>
      <c r="D637" s="167" t="s">
        <v>131</v>
      </c>
      <c r="E637" s="46" t="s">
        <v>149</v>
      </c>
      <c r="F637" s="167" t="s">
        <v>129</v>
      </c>
      <c r="G637" s="167" t="s">
        <v>130</v>
      </c>
      <c r="H637" s="167" t="s">
        <v>252</v>
      </c>
      <c r="I637" s="162" t="s">
        <v>212</v>
      </c>
      <c r="J637" s="157">
        <f ca="1">IFERROR(IF(AND(J638:J647),0,1),0)</f>
        <v>1</v>
      </c>
      <c r="K637" s="168" t="s">
        <v>436</v>
      </c>
      <c r="L637" s="56" t="s">
        <v>1109</v>
      </c>
      <c r="M637" s="169">
        <f>IFERROR(VLOOKUP($A637,$P$6:$S$1048576,3,0),0)</f>
        <v>0</v>
      </c>
      <c r="N637" s="169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0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0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0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0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0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0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0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0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6" t="s">
        <v>143</v>
      </c>
      <c r="C647" s="166" t="s">
        <v>144</v>
      </c>
      <c r="D647" s="167" t="s">
        <v>131</v>
      </c>
      <c r="E647" s="46" t="s">
        <v>149</v>
      </c>
      <c r="F647" s="167" t="s">
        <v>129</v>
      </c>
      <c r="G647" s="167" t="s">
        <v>130</v>
      </c>
      <c r="H647" s="167" t="s">
        <v>252</v>
      </c>
      <c r="I647" s="162" t="s">
        <v>212</v>
      </c>
      <c r="J647" s="157">
        <f ca="1">IFERROR(IF(AND(J648:J653),0,1),0)</f>
        <v>1</v>
      </c>
      <c r="K647" s="168" t="s">
        <v>436</v>
      </c>
      <c r="L647" s="56" t="s">
        <v>1111</v>
      </c>
      <c r="M647" s="169">
        <f>IFERROR(VLOOKUP($A647,$P$6:$S$1048576,3,0),0)</f>
        <v>0</v>
      </c>
      <c r="N647" s="169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0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0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0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0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0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0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6" t="s">
        <v>143</v>
      </c>
      <c r="C655" s="166" t="s">
        <v>144</v>
      </c>
      <c r="D655" s="167" t="s">
        <v>131</v>
      </c>
      <c r="E655" s="46" t="s">
        <v>149</v>
      </c>
      <c r="F655" s="167" t="s">
        <v>129</v>
      </c>
      <c r="G655" s="167" t="s">
        <v>130</v>
      </c>
      <c r="H655" s="167" t="s">
        <v>252</v>
      </c>
      <c r="I655" s="162" t="s">
        <v>212</v>
      </c>
      <c r="J655" s="157">
        <f ca="1">IFERROR(IF(AND(J656:J661),0,1),0)</f>
        <v>1</v>
      </c>
      <c r="K655" s="168" t="s">
        <v>436</v>
      </c>
      <c r="L655" s="56" t="s">
        <v>1112</v>
      </c>
      <c r="M655" s="169">
        <f>IFERROR(VLOOKUP($A655,$P$6:$S$1048576,3,0),0)</f>
        <v>0</v>
      </c>
      <c r="N655" s="169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0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0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0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0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0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0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6" t="s">
        <v>143</v>
      </c>
      <c r="C663" s="166" t="s">
        <v>144</v>
      </c>
      <c r="D663" s="167" t="s">
        <v>131</v>
      </c>
      <c r="E663" s="46" t="s">
        <v>149</v>
      </c>
      <c r="F663" s="167" t="s">
        <v>129</v>
      </c>
      <c r="G663" s="167" t="s">
        <v>130</v>
      </c>
      <c r="H663" s="167" t="s">
        <v>252</v>
      </c>
      <c r="I663" s="162" t="s">
        <v>212</v>
      </c>
      <c r="J663" s="157">
        <f ca="1">IFERROR(IF(AND(J664:J670),0,1),0)</f>
        <v>1</v>
      </c>
      <c r="K663" s="168" t="s">
        <v>436</v>
      </c>
      <c r="L663" s="56" t="s">
        <v>1113</v>
      </c>
      <c r="M663" s="169">
        <f>IFERROR(VLOOKUP($A663,$P$6:$S$1048576,3,0),0)</f>
        <v>0</v>
      </c>
      <c r="N663" s="169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0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0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0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0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0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0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0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6" t="s">
        <v>143</v>
      </c>
      <c r="C672" s="166" t="s">
        <v>144</v>
      </c>
      <c r="D672" s="167" t="s">
        <v>131</v>
      </c>
      <c r="E672" s="46" t="s">
        <v>149</v>
      </c>
      <c r="F672" s="167" t="s">
        <v>129</v>
      </c>
      <c r="G672" s="167" t="s">
        <v>130</v>
      </c>
      <c r="H672" s="167" t="s">
        <v>252</v>
      </c>
      <c r="I672" s="162" t="s">
        <v>212</v>
      </c>
      <c r="J672" s="157">
        <f ca="1">IFERROR(IF(AND(J673:J679),0,1),0)</f>
        <v>1</v>
      </c>
      <c r="K672" s="168" t="s">
        <v>436</v>
      </c>
      <c r="L672" s="56" t="s">
        <v>1114</v>
      </c>
      <c r="M672" s="169">
        <f>IFERROR(VLOOKUP($A672,$P$6:$S$1048576,3,0),0)</f>
        <v>0</v>
      </c>
      <c r="N672" s="169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0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0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0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0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0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0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0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6" t="s">
        <v>143</v>
      </c>
      <c r="C681" s="166" t="s">
        <v>144</v>
      </c>
      <c r="D681" s="167" t="s">
        <v>131</v>
      </c>
      <c r="E681" s="46" t="s">
        <v>149</v>
      </c>
      <c r="F681" s="167" t="s">
        <v>129</v>
      </c>
      <c r="G681" s="167" t="s">
        <v>130</v>
      </c>
      <c r="H681" s="167" t="s">
        <v>252</v>
      </c>
      <c r="I681" s="162" t="s">
        <v>212</v>
      </c>
      <c r="J681" s="157">
        <f ca="1">IFERROR(IF(AND(J682:J688),0,1),0)</f>
        <v>1</v>
      </c>
      <c r="K681" s="168" t="s">
        <v>436</v>
      </c>
      <c r="L681" s="56" t="s">
        <v>1115</v>
      </c>
      <c r="M681" s="169">
        <f>IFERROR(VLOOKUP($A681,$P$6:$S$1048576,3,0),0)</f>
        <v>0</v>
      </c>
      <c r="N681" s="169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0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0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0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0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0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0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0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6" t="s">
        <v>143</v>
      </c>
      <c r="C690" s="166" t="s">
        <v>144</v>
      </c>
      <c r="D690" s="167" t="s">
        <v>131</v>
      </c>
      <c r="E690" s="46" t="s">
        <v>149</v>
      </c>
      <c r="F690" s="167" t="s">
        <v>129</v>
      </c>
      <c r="G690" s="167" t="s">
        <v>130</v>
      </c>
      <c r="H690" s="167" t="s">
        <v>252</v>
      </c>
      <c r="I690" s="162" t="s">
        <v>212</v>
      </c>
      <c r="J690" s="157">
        <f ca="1">IFERROR(IF(AND(J691:J697),0,1),0)</f>
        <v>1</v>
      </c>
      <c r="K690" s="168" t="s">
        <v>436</v>
      </c>
      <c r="L690" s="56" t="s">
        <v>1117</v>
      </c>
      <c r="M690" s="169">
        <f>IFERROR(VLOOKUP($A690,$P$6:$S$1048576,3,0),0)</f>
        <v>0</v>
      </c>
      <c r="N690" s="169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0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0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0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0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0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0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0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6" t="s">
        <v>143</v>
      </c>
      <c r="C699" s="166" t="s">
        <v>144</v>
      </c>
      <c r="D699" s="167" t="s">
        <v>131</v>
      </c>
      <c r="E699" s="46" t="s">
        <v>149</v>
      </c>
      <c r="F699" s="167" t="s">
        <v>129</v>
      </c>
      <c r="G699" s="167" t="s">
        <v>130</v>
      </c>
      <c r="H699" s="167" t="s">
        <v>252</v>
      </c>
      <c r="I699" s="162" t="s">
        <v>212</v>
      </c>
      <c r="J699" s="157">
        <f ca="1">IFERROR(IF(AND(J700:J706),0,1),0)</f>
        <v>1</v>
      </c>
      <c r="K699" s="168" t="s">
        <v>436</v>
      </c>
      <c r="L699" s="56" t="s">
        <v>1118</v>
      </c>
      <c r="M699" s="169">
        <f>IFERROR(VLOOKUP($A699,$P$6:$S$1048576,3,0),0)</f>
        <v>0</v>
      </c>
      <c r="N699" s="169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0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0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0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0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0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0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0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6" t="s">
        <v>143</v>
      </c>
      <c r="C708" s="166" t="s">
        <v>144</v>
      </c>
      <c r="D708" s="167" t="s">
        <v>131</v>
      </c>
      <c r="E708" s="46" t="s">
        <v>149</v>
      </c>
      <c r="F708" s="167" t="s">
        <v>129</v>
      </c>
      <c r="G708" s="167" t="s">
        <v>130</v>
      </c>
      <c r="H708" s="167" t="s">
        <v>252</v>
      </c>
      <c r="I708" s="162" t="s">
        <v>212</v>
      </c>
      <c r="J708" s="157">
        <f ca="1">IFERROR(IF(AND(J709:J715),0,1),0)</f>
        <v>1</v>
      </c>
      <c r="K708" s="168" t="s">
        <v>436</v>
      </c>
      <c r="L708" s="56" t="s">
        <v>1119</v>
      </c>
      <c r="M708" s="169">
        <f>IFERROR(VLOOKUP($A708,$P$6:$S$1048576,3,0),0)</f>
        <v>0</v>
      </c>
      <c r="N708" s="169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0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0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0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0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0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0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0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6" t="s">
        <v>143</v>
      </c>
      <c r="C717" s="166" t="s">
        <v>144</v>
      </c>
      <c r="D717" s="167" t="s">
        <v>131</v>
      </c>
      <c r="E717" s="46" t="s">
        <v>149</v>
      </c>
      <c r="F717" s="167" t="s">
        <v>129</v>
      </c>
      <c r="G717" s="167" t="s">
        <v>130</v>
      </c>
      <c r="H717" s="167" t="s">
        <v>252</v>
      </c>
      <c r="I717" s="162" t="s">
        <v>212</v>
      </c>
      <c r="J717" s="157">
        <f ca="1">IFERROR(IF(AND(J718:J724),0,1),0)</f>
        <v>1</v>
      </c>
      <c r="K717" s="168" t="s">
        <v>436</v>
      </c>
      <c r="L717" s="56" t="s">
        <v>1120</v>
      </c>
      <c r="M717" s="169">
        <f>IFERROR(VLOOKUP($A717,$P$6:$S$1048576,3,0),0)</f>
        <v>0</v>
      </c>
      <c r="N717" s="169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0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0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0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0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0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0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0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6" t="s">
        <v>143</v>
      </c>
      <c r="C726" s="166" t="s">
        <v>144</v>
      </c>
      <c r="D726" s="167" t="s">
        <v>131</v>
      </c>
      <c r="E726" s="46" t="s">
        <v>149</v>
      </c>
      <c r="F726" s="167" t="s">
        <v>129</v>
      </c>
      <c r="G726" s="167" t="s">
        <v>130</v>
      </c>
      <c r="H726" s="167" t="s">
        <v>252</v>
      </c>
      <c r="I726" s="162" t="s">
        <v>212</v>
      </c>
      <c r="J726" s="157">
        <f ca="1">IFERROR(IF(AND(J727:J733),0,1),0)</f>
        <v>1</v>
      </c>
      <c r="K726" s="168" t="s">
        <v>436</v>
      </c>
      <c r="L726" s="56" t="s">
        <v>1121</v>
      </c>
      <c r="M726" s="169">
        <f>IFERROR(VLOOKUP($A726,$P$6:$S$1048576,3,0),0)</f>
        <v>0</v>
      </c>
      <c r="N726" s="169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0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0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0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0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0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0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0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6" t="s">
        <v>143</v>
      </c>
      <c r="C735" s="166" t="s">
        <v>144</v>
      </c>
      <c r="D735" s="167" t="s">
        <v>131</v>
      </c>
      <c r="E735" s="46" t="s">
        <v>149</v>
      </c>
      <c r="F735" s="167" t="s">
        <v>129</v>
      </c>
      <c r="G735" s="167" t="s">
        <v>130</v>
      </c>
      <c r="H735" s="167" t="s">
        <v>252</v>
      </c>
      <c r="I735" s="162" t="s">
        <v>212</v>
      </c>
      <c r="J735" s="157">
        <f ca="1">IFERROR(IF(AND(J736:J742),0,1),0)</f>
        <v>1</v>
      </c>
      <c r="K735" s="168" t="s">
        <v>436</v>
      </c>
      <c r="L735" s="56" t="s">
        <v>1122</v>
      </c>
      <c r="M735" s="169">
        <f>IFERROR(VLOOKUP($A735,$P$6:$S$1048576,3,0),0)</f>
        <v>0</v>
      </c>
      <c r="N735" s="169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0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0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0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0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0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0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0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6" t="s">
        <v>143</v>
      </c>
      <c r="C744" s="166" t="s">
        <v>144</v>
      </c>
      <c r="D744" s="167" t="s">
        <v>131</v>
      </c>
      <c r="E744" s="46" t="s">
        <v>149</v>
      </c>
      <c r="F744" s="167" t="s">
        <v>129</v>
      </c>
      <c r="G744" s="167" t="s">
        <v>130</v>
      </c>
      <c r="H744" s="167" t="s">
        <v>252</v>
      </c>
      <c r="I744" s="162" t="s">
        <v>212</v>
      </c>
      <c r="J744" s="157">
        <f ca="1">IFERROR(IF(AND(J745:J751),0,1),0)</f>
        <v>1</v>
      </c>
      <c r="K744" s="168" t="s">
        <v>436</v>
      </c>
      <c r="L744" s="56" t="s">
        <v>1124</v>
      </c>
      <c r="M744" s="169">
        <f>IFERROR(VLOOKUP($A744,$P$6:$S$1048576,3,0),0)</f>
        <v>0</v>
      </c>
      <c r="N744" s="169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0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0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0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0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0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0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0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6" t="s">
        <v>143</v>
      </c>
      <c r="C753" s="166" t="s">
        <v>144</v>
      </c>
      <c r="D753" s="167" t="s">
        <v>131</v>
      </c>
      <c r="E753" s="46" t="s">
        <v>149</v>
      </c>
      <c r="F753" s="167" t="s">
        <v>129</v>
      </c>
      <c r="G753" s="167" t="s">
        <v>130</v>
      </c>
      <c r="H753" s="167" t="s">
        <v>252</v>
      </c>
      <c r="I753" s="162" t="s">
        <v>212</v>
      </c>
      <c r="J753" s="157">
        <f ca="1">IFERROR(IF(AND(J754:J760),0,1),0)</f>
        <v>1</v>
      </c>
      <c r="K753" s="168" t="s">
        <v>436</v>
      </c>
      <c r="L753" s="56" t="s">
        <v>1125</v>
      </c>
      <c r="M753" s="169">
        <f>IFERROR(VLOOKUP($A753,$P$6:$S$1048576,3,0),0)</f>
        <v>0</v>
      </c>
      <c r="N753" s="169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0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0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0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0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0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0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0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6" t="s">
        <v>143</v>
      </c>
      <c r="C762" s="166" t="s">
        <v>144</v>
      </c>
      <c r="D762" s="167" t="s">
        <v>131</v>
      </c>
      <c r="E762" s="46" t="s">
        <v>149</v>
      </c>
      <c r="F762" s="167" t="s">
        <v>129</v>
      </c>
      <c r="G762" s="167" t="s">
        <v>130</v>
      </c>
      <c r="H762" s="167" t="s">
        <v>252</v>
      </c>
      <c r="I762" s="162" t="s">
        <v>212</v>
      </c>
      <c r="J762" s="157">
        <f ca="1">IFERROR(IF(AND(J763:J768),0,1),0)</f>
        <v>1</v>
      </c>
      <c r="K762" s="168" t="s">
        <v>436</v>
      </c>
      <c r="L762" s="56" t="s">
        <v>1126</v>
      </c>
      <c r="M762" s="169">
        <f>IFERROR(VLOOKUP($A762,$P$6:$S$1048576,3,0),0)</f>
        <v>0</v>
      </c>
      <c r="N762" s="169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0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0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0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0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0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0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6" t="s">
        <v>143</v>
      </c>
      <c r="C770" s="166" t="s">
        <v>144</v>
      </c>
      <c r="D770" s="167" t="s">
        <v>131</v>
      </c>
      <c r="E770" s="46" t="s">
        <v>149</v>
      </c>
      <c r="F770" s="167" t="s">
        <v>129</v>
      </c>
      <c r="G770" s="167" t="s">
        <v>130</v>
      </c>
      <c r="H770" s="167" t="s">
        <v>252</v>
      </c>
      <c r="I770" s="162" t="s">
        <v>212</v>
      </c>
      <c r="J770" s="157">
        <f ca="1">IFERROR(IF(AND(J771:J780),0,1),0)</f>
        <v>1</v>
      </c>
      <c r="K770" s="168" t="s">
        <v>436</v>
      </c>
      <c r="L770" s="56" t="s">
        <v>1127</v>
      </c>
      <c r="M770" s="169">
        <f>IFERROR(VLOOKUP($A770,$P$6:$S$1048576,3,0),0)</f>
        <v>0</v>
      </c>
      <c r="N770" s="169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0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0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0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0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0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0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0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0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0" t="s">
        <v>114</v>
      </c>
      <c r="G779" s="100"/>
      <c r="H779" s="6" t="s">
        <v>114</v>
      </c>
      <c r="I779" s="171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0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6" t="s">
        <v>143</v>
      </c>
      <c r="C782" s="166" t="s">
        <v>144</v>
      </c>
      <c r="D782" s="167" t="s">
        <v>131</v>
      </c>
      <c r="E782" s="46" t="s">
        <v>149</v>
      </c>
      <c r="F782" s="167" t="s">
        <v>129</v>
      </c>
      <c r="G782" s="167" t="s">
        <v>130</v>
      </c>
      <c r="H782" s="167" t="s">
        <v>252</v>
      </c>
      <c r="I782" s="162" t="s">
        <v>212</v>
      </c>
      <c r="J782" s="157">
        <f ca="1">IFERROR(IF(AND(J783:J791),0,1),0)</f>
        <v>1</v>
      </c>
      <c r="K782" s="168" t="s">
        <v>436</v>
      </c>
      <c r="L782" s="56" t="s">
        <v>1128</v>
      </c>
      <c r="M782" s="169">
        <f>IFERROR(VLOOKUP($A782,$P$6:$S$1048576,3,0),0)</f>
        <v>0</v>
      </c>
      <c r="N782" s="169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0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0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0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0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0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0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0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0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0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6" t="s">
        <v>143</v>
      </c>
      <c r="C793" s="166" t="s">
        <v>144</v>
      </c>
      <c r="D793" s="167" t="s">
        <v>131</v>
      </c>
      <c r="E793" s="46" t="s">
        <v>149</v>
      </c>
      <c r="F793" s="167" t="s">
        <v>129</v>
      </c>
      <c r="G793" s="167" t="s">
        <v>130</v>
      </c>
      <c r="H793" s="167" t="s">
        <v>252</v>
      </c>
      <c r="I793" s="162" t="s">
        <v>212</v>
      </c>
      <c r="J793" s="157">
        <f ca="1">IFERROR(IF(AND(J794:J799),0,1),0)</f>
        <v>1</v>
      </c>
      <c r="K793" s="168" t="s">
        <v>436</v>
      </c>
      <c r="L793" s="56" t="s">
        <v>1129</v>
      </c>
      <c r="M793" s="169">
        <f>IFERROR(VLOOKUP($A793,$P$6:$S$1048576,3,0),0)</f>
        <v>0</v>
      </c>
      <c r="N793" s="169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0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0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0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0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0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0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1" t="s">
        <v>138</v>
      </c>
      <c r="C1" s="131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 t="shared" si="0"/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 t="shared" si="0"/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 t="shared" si="0"/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 t="shared" si="0"/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 t="shared" si="0"/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 t="shared" si="0"/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 t="shared" si="0"/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 t="shared" si="0"/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 t="shared" si="0"/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 t="shared" si="0"/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 t="shared" si="0"/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 t="shared" si="0"/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 t="shared" si="0"/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 t="shared" si="0"/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 t="shared" si="0"/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 t="shared" si="0"/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 t="shared" si="0"/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 t="shared" si="0"/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 t="shared" si="0"/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 t="shared" si="0"/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 t="shared" si="0"/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 t="shared" si="0"/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 t="shared" si="0"/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 t="shared" si="0"/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 t="shared" si="0"/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 t="shared" si="0"/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 t="shared" si="0"/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 t="shared" si="0"/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 t="shared" si="0"/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 t="shared" si="0"/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 t="shared" si="0"/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 t="shared" si="0"/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 t="shared" si="0"/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 t="shared" si="0"/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 t="shared" si="0"/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 t="shared" si="0"/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 t="shared" si="0"/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 t="shared" si="0"/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 t="shared" si="0"/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 t="shared" si="0"/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 t="shared" si="0"/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 t="shared" si="0"/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 t="shared" si="0"/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 t="shared" si="0"/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 t="shared" si="0"/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 t="shared" si="0"/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 t="shared" si="0"/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 t="shared" si="0"/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 t="shared" si="0"/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 t="shared" si="0"/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 t="shared" si="0"/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 t="shared" si="0"/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 t="shared" si="0"/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 t="shared" si="0"/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 t="shared" si="0"/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 t="shared" si="0"/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 t="shared" ref="C66:C129" si="1"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 t="shared" si="1"/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 t="shared" si="1"/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 t="shared" si="1"/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 t="shared" si="1"/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 t="shared" si="1"/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 t="shared" si="1"/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 t="shared" si="1"/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 t="shared" si="1"/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 t="shared" si="1"/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 t="shared" si="1"/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 t="shared" si="1"/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 t="shared" si="1"/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 t="shared" si="1"/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 t="shared" si="1"/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 t="shared" si="1"/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 t="shared" si="1"/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 t="shared" si="1"/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 t="shared" si="1"/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 t="shared" si="1"/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 t="shared" si="1"/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 t="shared" si="1"/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 t="shared" si="1"/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 t="shared" si="1"/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 t="shared" si="1"/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 t="shared" si="1"/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 t="shared" si="1"/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 t="shared" si="1"/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 t="shared" si="1"/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 t="shared" si="1"/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 t="shared" si="1"/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 t="shared" si="1"/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 t="shared" si="1"/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 t="shared" si="1"/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 t="shared" si="1"/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 t="shared" si="1"/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 t="shared" si="1"/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 t="shared" si="1"/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 t="shared" si="1"/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 t="shared" si="1"/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 t="shared" si="1"/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 t="shared" si="1"/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 t="shared" si="1"/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 t="shared" si="1"/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 t="shared" si="1"/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 t="shared" si="1"/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 t="shared" si="1"/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 t="shared" si="1"/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 t="shared" si="1"/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 t="shared" si="1"/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 t="shared" si="1"/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 t="shared" si="1"/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 t="shared" si="1"/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 t="shared" si="1"/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 t="shared" si="1"/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 t="shared" si="1"/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 t="shared" si="1"/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 t="shared" si="1"/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 t="shared" ref="C130:C193" si="2"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 t="shared" si="2"/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 t="shared" si="2"/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 t="shared" si="2"/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 t="shared" si="2"/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 t="shared" si="2"/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 t="shared" si="2"/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 t="shared" si="2"/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 t="shared" si="2"/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 t="shared" si="2"/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 t="shared" si="2"/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 t="shared" si="2"/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 t="shared" si="2"/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 t="shared" si="2"/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 t="shared" si="2"/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 t="shared" si="2"/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 t="shared" si="2"/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 t="shared" si="2"/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 t="shared" si="2"/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 t="shared" si="2"/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 t="shared" si="2"/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 t="shared" si="2"/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 t="shared" si="2"/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 t="shared" si="2"/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 t="shared" si="2"/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 t="shared" si="2"/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 t="shared" si="2"/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 t="shared" si="2"/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 t="shared" si="2"/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 t="shared" si="2"/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 t="shared" si="2"/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 t="shared" si="2"/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 t="shared" si="2"/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 t="shared" si="2"/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 t="shared" si="2"/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 t="shared" si="2"/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 t="shared" si="2"/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 t="shared" si="2"/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 t="shared" si="2"/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 t="shared" si="2"/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 t="shared" si="2"/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 t="shared" si="2"/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 t="shared" si="2"/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 t="shared" si="2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2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2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2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2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2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2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2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 t="shared" si="2"/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 t="shared" si="2"/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 t="shared" si="2"/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 t="shared" si="2"/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 t="shared" si="3"/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 t="shared" si="3"/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 t="shared" si="3"/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 t="shared" si="3"/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 t="shared" si="3"/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 t="shared" si="3"/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 t="shared" si="3"/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 t="shared" si="3"/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 t="shared" si="3"/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 t="shared" si="3"/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 t="shared" si="3"/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 t="shared" si="3"/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 t="shared" si="3"/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 t="shared" si="3"/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 t="shared" si="3"/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 t="shared" si="3"/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 t="shared" si="3"/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 t="shared" si="3"/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 t="shared" si="3"/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 t="shared" si="3"/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 t="shared" si="3"/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 t="shared" si="3"/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 t="shared" si="3"/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 t="shared" si="3"/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 t="shared" si="3"/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 t="shared" si="3"/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 t="shared" si="3"/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 t="shared" si="3"/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 t="shared" si="3"/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 t="shared" si="3"/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 t="shared" si="3"/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 t="shared" si="3"/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 t="shared" si="3"/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7" t="s">
        <v>118</v>
      </c>
      <c r="O3" s="107" t="s">
        <v>418</v>
      </c>
      <c r="P3" s="107" t="s">
        <v>224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7">
        <v>7</v>
      </c>
      <c r="O4" s="107" t="s">
        <v>229</v>
      </c>
      <c r="P4" s="108" t="s">
        <v>419</v>
      </c>
      <c r="Q4" s="108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7">
        <v>6</v>
      </c>
      <c r="O5" s="107" t="s">
        <v>226</v>
      </c>
      <c r="P5" s="108" t="s">
        <v>421</v>
      </c>
      <c r="Q5" s="108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7">
        <v>5</v>
      </c>
      <c r="O6" s="107">
        <v>0</v>
      </c>
      <c r="P6" s="108" t="s">
        <v>423</v>
      </c>
      <c r="Q6" s="108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7">
        <v>4</v>
      </c>
      <c r="O7" s="107" t="s">
        <v>128</v>
      </c>
      <c r="P7" s="108" t="s">
        <v>233</v>
      </c>
      <c r="Q7" s="108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7">
        <v>3</v>
      </c>
      <c r="O8" s="107">
        <v>0</v>
      </c>
      <c r="P8" s="108" t="s">
        <v>423</v>
      </c>
      <c r="Q8" s="108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231</v>
      </c>
      <c r="P9" s="108" t="s">
        <v>426</v>
      </c>
      <c r="Q9" s="108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423</v>
      </c>
      <c r="Q10" s="108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235</v>
      </c>
      <c r="P11" s="108" t="s">
        <v>429</v>
      </c>
      <c r="Q11" s="108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0" t="s">
        <v>1031</v>
      </c>
      <c r="B1" s="191"/>
      <c r="C1" s="191"/>
      <c r="D1" s="192"/>
    </row>
    <row r="2" spans="1:4" ht="15.75" thickBot="1">
      <c r="A2" s="163" t="s">
        <v>131</v>
      </c>
      <c r="B2" s="164" t="s">
        <v>149</v>
      </c>
      <c r="C2" s="163" t="s">
        <v>129</v>
      </c>
      <c r="D2" s="165" t="s">
        <v>130</v>
      </c>
    </row>
    <row r="3" spans="1:4">
      <c r="A3" s="95"/>
      <c r="B3" s="96" t="s">
        <v>1026</v>
      </c>
      <c r="C3" s="155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5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0" t="s">
        <v>1032</v>
      </c>
      <c r="B24" s="191"/>
      <c r="C24" s="191"/>
      <c r="D24" s="192"/>
    </row>
    <row r="25" spans="1:4" ht="15.75" thickBot="1">
      <c r="A25" s="163" t="s">
        <v>131</v>
      </c>
      <c r="B25" s="164" t="s">
        <v>149</v>
      </c>
      <c r="C25" s="163" t="s">
        <v>129</v>
      </c>
      <c r="D25" s="165" t="s">
        <v>130</v>
      </c>
    </row>
    <row r="26" spans="1:4">
      <c r="A26" s="95"/>
      <c r="B26" s="96" t="s">
        <v>1026</v>
      </c>
      <c r="C26" s="155" t="s">
        <v>1030</v>
      </c>
      <c r="D26" s="98"/>
    </row>
    <row r="27" spans="1:4">
      <c r="A27" s="95"/>
      <c r="B27" s="96"/>
      <c r="C27" s="155"/>
      <c r="D27" s="98"/>
    </row>
    <row r="28" spans="1:4">
      <c r="A28" s="95" t="s">
        <v>1027</v>
      </c>
      <c r="B28" s="96" t="s">
        <v>296</v>
      </c>
      <c r="C28" s="155" t="s">
        <v>114</v>
      </c>
      <c r="D28" s="98" t="s">
        <v>1035</v>
      </c>
    </row>
    <row r="29" spans="1:4">
      <c r="A29" s="95"/>
      <c r="B29" s="96" t="s">
        <v>148</v>
      </c>
      <c r="C29" s="155" t="s">
        <v>151</v>
      </c>
      <c r="D29" s="98" t="s">
        <v>222</v>
      </c>
    </row>
    <row r="30" spans="1:4">
      <c r="A30" s="95"/>
      <c r="B30" s="96"/>
      <c r="C30" s="155"/>
      <c r="D30" s="98"/>
    </row>
    <row r="31" spans="1:4">
      <c r="A31" s="95" t="s">
        <v>1028</v>
      </c>
      <c r="B31" s="96" t="s">
        <v>882</v>
      </c>
      <c r="C31" s="155" t="s">
        <v>1036</v>
      </c>
      <c r="D31" s="98"/>
    </row>
    <row r="32" spans="1:4">
      <c r="A32" s="95"/>
      <c r="B32" s="96" t="s">
        <v>875</v>
      </c>
      <c r="C32" s="155" t="s">
        <v>151</v>
      </c>
      <c r="D32" s="98"/>
    </row>
    <row r="33" spans="1:4">
      <c r="A33" s="95"/>
      <c r="B33" s="96" t="s">
        <v>255</v>
      </c>
      <c r="C33" s="155" t="s">
        <v>1028</v>
      </c>
      <c r="D33" s="98"/>
    </row>
    <row r="34" spans="1:4">
      <c r="A34" s="95"/>
      <c r="B34" s="96" t="s">
        <v>188</v>
      </c>
      <c r="C34" s="155" t="s">
        <v>151</v>
      </c>
      <c r="D34" s="98" t="s">
        <v>153</v>
      </c>
    </row>
    <row r="35" spans="1:4">
      <c r="A35" s="95"/>
      <c r="B35" s="96" t="s">
        <v>197</v>
      </c>
      <c r="C35" s="155" t="s">
        <v>1033</v>
      </c>
      <c r="D35" s="98"/>
    </row>
    <row r="36" spans="1:4">
      <c r="A36" s="95"/>
      <c r="B36" s="96" t="s">
        <v>68</v>
      </c>
      <c r="C36" s="155"/>
      <c r="D36" s="98"/>
    </row>
    <row r="37" spans="1:4">
      <c r="A37" s="95"/>
      <c r="B37" s="96" t="s">
        <v>879</v>
      </c>
      <c r="C37" s="155" t="s">
        <v>147</v>
      </c>
      <c r="D37" s="98"/>
    </row>
    <row r="38" spans="1:4">
      <c r="A38" s="95"/>
      <c r="B38" s="96" t="s">
        <v>879</v>
      </c>
      <c r="C38" s="155" t="s">
        <v>1037</v>
      </c>
      <c r="D38" s="98"/>
    </row>
    <row r="39" spans="1:4">
      <c r="A39" s="95"/>
      <c r="B39" s="96" t="s">
        <v>354</v>
      </c>
      <c r="C39" s="155" t="s">
        <v>1028</v>
      </c>
      <c r="D39" s="98"/>
    </row>
    <row r="40" spans="1:4">
      <c r="A40" s="95"/>
      <c r="B40" s="96"/>
      <c r="C40" s="155"/>
      <c r="D40" s="98"/>
    </row>
    <row r="41" spans="1:4">
      <c r="A41" s="95" t="s">
        <v>1033</v>
      </c>
      <c r="B41" s="96" t="s">
        <v>148</v>
      </c>
      <c r="C41" s="155" t="s">
        <v>189</v>
      </c>
      <c r="D41" s="98" t="s">
        <v>890</v>
      </c>
    </row>
    <row r="42" spans="1:4">
      <c r="A42" s="95"/>
      <c r="B42" s="96" t="s">
        <v>458</v>
      </c>
      <c r="C42" s="155" t="s">
        <v>153</v>
      </c>
      <c r="D42" s="98"/>
    </row>
    <row r="43" spans="1:4">
      <c r="A43" s="95"/>
      <c r="B43" s="96"/>
      <c r="C43" s="155"/>
      <c r="D43" s="98"/>
    </row>
    <row r="44" spans="1:4">
      <c r="A44" s="95" t="s">
        <v>1034</v>
      </c>
      <c r="B44" s="96" t="s">
        <v>399</v>
      </c>
      <c r="C44" s="155" t="s">
        <v>151</v>
      </c>
      <c r="D44" s="98"/>
    </row>
    <row r="45" spans="1:4">
      <c r="A45" s="95"/>
      <c r="B45" s="96" t="s">
        <v>239</v>
      </c>
      <c r="C45" s="155" t="s">
        <v>189</v>
      </c>
      <c r="D45" s="98"/>
    </row>
    <row r="46" spans="1:4">
      <c r="A46" s="95"/>
      <c r="B46" s="96" t="s">
        <v>359</v>
      </c>
      <c r="C46" s="155" t="s">
        <v>1034</v>
      </c>
      <c r="D46" s="98"/>
    </row>
    <row r="47" spans="1:4">
      <c r="A47" s="95"/>
      <c r="B47" s="96" t="s">
        <v>84</v>
      </c>
      <c r="C47" s="155"/>
      <c r="D47" s="98"/>
    </row>
    <row r="48" spans="1:4" ht="15.75" thickBot="1"/>
    <row r="49" spans="1:4" ht="15.75" thickBot="1">
      <c r="A49" s="190" t="s">
        <v>1041</v>
      </c>
      <c r="B49" s="191"/>
      <c r="C49" s="191"/>
      <c r="D49" s="192"/>
    </row>
    <row r="50" spans="1:4">
      <c r="A50" s="95"/>
      <c r="B50" s="96" t="s">
        <v>296</v>
      </c>
      <c r="C50" s="155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5" t="s">
        <v>1040</v>
      </c>
      <c r="D51" s="98"/>
    </row>
    <row r="52" spans="1:4">
      <c r="A52" s="95"/>
      <c r="B52" s="96" t="s">
        <v>879</v>
      </c>
      <c r="C52" s="155" t="s">
        <v>1039</v>
      </c>
      <c r="D52" s="98"/>
    </row>
    <row r="53" spans="1:4">
      <c r="A53" s="95"/>
      <c r="B53" s="96" t="s">
        <v>983</v>
      </c>
      <c r="C53" s="155"/>
      <c r="D53" s="98"/>
    </row>
    <row r="54" spans="1:4">
      <c r="A54" s="95"/>
      <c r="B54" s="96" t="s">
        <v>191</v>
      </c>
      <c r="C54" s="155"/>
      <c r="D54" s="98"/>
    </row>
    <row r="55" spans="1:4" ht="15.75" thickBot="1"/>
    <row r="56" spans="1:4" ht="15.75" thickBot="1">
      <c r="A56" s="190" t="s">
        <v>1046</v>
      </c>
      <c r="B56" s="191"/>
      <c r="C56" s="191"/>
      <c r="D56" s="192"/>
    </row>
    <row r="57" spans="1:4">
      <c r="A57" s="95"/>
      <c r="B57" s="96" t="s">
        <v>1026</v>
      </c>
      <c r="C57" s="155" t="s">
        <v>1044</v>
      </c>
      <c r="D57" s="98"/>
    </row>
    <row r="58" spans="1:4">
      <c r="A58" s="95" t="s">
        <v>1042</v>
      </c>
      <c r="B58" s="96" t="s">
        <v>165</v>
      </c>
      <c r="C58" s="155" t="s">
        <v>1045</v>
      </c>
      <c r="D58" s="98"/>
    </row>
    <row r="59" spans="1:4">
      <c r="A59" s="95"/>
      <c r="B59" s="96" t="s">
        <v>296</v>
      </c>
      <c r="C59" s="155" t="s">
        <v>310</v>
      </c>
      <c r="D59" s="98" t="s">
        <v>1038</v>
      </c>
    </row>
    <row r="60" spans="1:4">
      <c r="A60" s="95"/>
      <c r="B60" s="96" t="s">
        <v>148</v>
      </c>
      <c r="C60" s="155" t="s">
        <v>153</v>
      </c>
      <c r="D60" s="98" t="s">
        <v>222</v>
      </c>
    </row>
    <row r="61" spans="1:4">
      <c r="A61" s="95"/>
      <c r="B61" s="96" t="s">
        <v>879</v>
      </c>
      <c r="C61" s="155" t="s">
        <v>1039</v>
      </c>
      <c r="D61" s="98"/>
    </row>
    <row r="62" spans="1:4">
      <c r="A62" s="95"/>
      <c r="B62" s="96" t="s">
        <v>983</v>
      </c>
      <c r="C62" s="155"/>
      <c r="D62" s="98"/>
    </row>
    <row r="63" spans="1:4">
      <c r="A63" s="95"/>
      <c r="B63" s="96" t="s">
        <v>148</v>
      </c>
      <c r="C63" s="155" t="s">
        <v>153</v>
      </c>
      <c r="D63" s="98" t="s">
        <v>371</v>
      </c>
    </row>
    <row r="64" spans="1:4">
      <c r="A64" s="95"/>
      <c r="B64" s="96" t="s">
        <v>971</v>
      </c>
      <c r="C64" s="155" t="s">
        <v>1042</v>
      </c>
      <c r="D64" s="98"/>
    </row>
    <row r="65" spans="1:4">
      <c r="A65" s="95"/>
      <c r="B65" s="96" t="s">
        <v>191</v>
      </c>
      <c r="C65" s="155"/>
      <c r="D65" s="98"/>
    </row>
    <row r="66" spans="1:4">
      <c r="A66" s="95"/>
      <c r="B66" s="96"/>
      <c r="C66" s="155"/>
      <c r="D66" s="98"/>
    </row>
    <row r="67" spans="1:4">
      <c r="A67" s="95" t="s">
        <v>1038</v>
      </c>
      <c r="B67" s="96" t="s">
        <v>299</v>
      </c>
      <c r="C67" s="155" t="s">
        <v>1043</v>
      </c>
      <c r="D67" s="98"/>
    </row>
    <row r="68" spans="1:4" ht="15.75" thickBot="1"/>
    <row r="69" spans="1:4" ht="15.75" thickBot="1">
      <c r="A69" s="190" t="s">
        <v>1049</v>
      </c>
      <c r="B69" s="191"/>
      <c r="C69" s="191"/>
      <c r="D69" s="192"/>
    </row>
    <row r="70" spans="1:4">
      <c r="A70" s="95"/>
      <c r="B70" s="96" t="s">
        <v>296</v>
      </c>
      <c r="C70" s="155" t="s">
        <v>310</v>
      </c>
      <c r="D70" s="98" t="s">
        <v>1047</v>
      </c>
    </row>
    <row r="71" spans="1:4">
      <c r="A71" s="95"/>
      <c r="B71" s="96" t="s">
        <v>882</v>
      </c>
      <c r="C71" s="155" t="s">
        <v>434</v>
      </c>
      <c r="D71" s="98"/>
    </row>
    <row r="72" spans="1:4">
      <c r="A72" s="95"/>
      <c r="B72" s="96" t="s">
        <v>879</v>
      </c>
      <c r="C72" s="155" t="s">
        <v>1039</v>
      </c>
      <c r="D72" s="98"/>
    </row>
    <row r="73" spans="1:4">
      <c r="A73" s="95"/>
      <c r="B73" s="96" t="s">
        <v>148</v>
      </c>
      <c r="C73" s="155" t="s">
        <v>153</v>
      </c>
      <c r="D73" s="98" t="s">
        <v>888</v>
      </c>
    </row>
    <row r="74" spans="1:4">
      <c r="A74" s="95"/>
      <c r="B74" s="96" t="s">
        <v>983</v>
      </c>
      <c r="C74" s="155"/>
      <c r="D74" s="98"/>
    </row>
    <row r="75" spans="1:4">
      <c r="A75" s="95"/>
      <c r="B75" s="96" t="s">
        <v>296</v>
      </c>
      <c r="C75" s="155" t="s">
        <v>310</v>
      </c>
      <c r="D75" s="98" t="s">
        <v>1038</v>
      </c>
    </row>
    <row r="76" spans="1:4">
      <c r="A76" s="95"/>
      <c r="B76" s="96" t="s">
        <v>983</v>
      </c>
      <c r="C76" s="155"/>
      <c r="D76" s="98"/>
    </row>
    <row r="77" spans="1:4">
      <c r="A77" s="95"/>
      <c r="B77" s="96" t="s">
        <v>191</v>
      </c>
      <c r="C77" s="155"/>
      <c r="D77" s="98"/>
    </row>
    <row r="78" spans="1:4">
      <c r="A78" s="95" t="s">
        <v>1047</v>
      </c>
      <c r="B78" s="96" t="s">
        <v>1048</v>
      </c>
      <c r="C78" s="155">
        <v>50</v>
      </c>
      <c r="D78" s="98"/>
    </row>
    <row r="79" spans="1:4">
      <c r="A79" s="95" t="s">
        <v>1038</v>
      </c>
      <c r="B79" s="96" t="s">
        <v>299</v>
      </c>
      <c r="C79" s="155" t="s">
        <v>1050</v>
      </c>
      <c r="D79" s="98"/>
    </row>
    <row r="80" spans="1:4" ht="15.75" thickBot="1"/>
    <row r="81" spans="1:4" ht="15.75" thickBot="1">
      <c r="A81" s="190" t="s">
        <v>1064</v>
      </c>
      <c r="B81" s="191"/>
      <c r="C81" s="191"/>
      <c r="D81" s="192"/>
    </row>
    <row r="82" spans="1:4">
      <c r="A82" s="95" t="s">
        <v>1059</v>
      </c>
      <c r="B82" s="96" t="s">
        <v>879</v>
      </c>
      <c r="C82" s="155" t="s">
        <v>1039</v>
      </c>
      <c r="D82" s="98"/>
    </row>
    <row r="83" spans="1:4">
      <c r="A83" s="95"/>
      <c r="B83" s="96" t="s">
        <v>296</v>
      </c>
      <c r="C83" s="155" t="s">
        <v>310</v>
      </c>
      <c r="D83" s="98" t="s">
        <v>1060</v>
      </c>
    </row>
    <row r="84" spans="1:4">
      <c r="A84" s="95"/>
      <c r="B84" s="96" t="s">
        <v>148</v>
      </c>
      <c r="C84" s="155" t="s">
        <v>153</v>
      </c>
      <c r="D84" s="98" t="s">
        <v>888</v>
      </c>
    </row>
    <row r="85" spans="1:4">
      <c r="A85" s="95"/>
      <c r="B85" s="96" t="s">
        <v>983</v>
      </c>
      <c r="C85" s="155"/>
      <c r="D85" s="98"/>
    </row>
    <row r="86" spans="1:4">
      <c r="A86" s="95"/>
      <c r="B86" s="96" t="s">
        <v>148</v>
      </c>
      <c r="C86" s="155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5" t="s">
        <v>151</v>
      </c>
      <c r="D87" s="98"/>
    </row>
    <row r="88" spans="1:4">
      <c r="A88" s="95"/>
      <c r="B88" s="96" t="s">
        <v>188</v>
      </c>
      <c r="C88" s="155" t="s">
        <v>153</v>
      </c>
      <c r="D88" s="98" t="s">
        <v>151</v>
      </c>
    </row>
    <row r="89" spans="1:4">
      <c r="A89" s="95"/>
      <c r="B89" s="96" t="s">
        <v>255</v>
      </c>
      <c r="C89" s="155" t="s">
        <v>1051</v>
      </c>
      <c r="D89" s="98"/>
    </row>
    <row r="90" spans="1:4">
      <c r="A90" s="95"/>
      <c r="B90" s="96" t="s">
        <v>148</v>
      </c>
      <c r="C90" s="155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5"/>
      <c r="D91" s="98"/>
    </row>
    <row r="92" spans="1:4">
      <c r="A92" s="95"/>
      <c r="B92" s="96" t="s">
        <v>879</v>
      </c>
      <c r="C92" s="155" t="s">
        <v>147</v>
      </c>
      <c r="D92" s="98"/>
    </row>
    <row r="93" spans="1:4">
      <c r="A93" s="95"/>
      <c r="B93" s="96" t="s">
        <v>879</v>
      </c>
      <c r="C93" s="155" t="s">
        <v>1037</v>
      </c>
      <c r="D93" s="98"/>
    </row>
    <row r="94" spans="1:4">
      <c r="A94" s="95"/>
      <c r="B94" s="96" t="s">
        <v>164</v>
      </c>
      <c r="C94" s="155" t="s">
        <v>302</v>
      </c>
      <c r="D94" s="98"/>
    </row>
    <row r="95" spans="1:4">
      <c r="A95" s="95"/>
      <c r="B95" s="96" t="s">
        <v>255</v>
      </c>
      <c r="C95" s="155" t="s">
        <v>1058</v>
      </c>
      <c r="D95" s="98"/>
    </row>
    <row r="96" spans="1:4">
      <c r="A96" s="95"/>
      <c r="B96" s="96" t="s">
        <v>150</v>
      </c>
      <c r="C96" s="155" t="s">
        <v>166</v>
      </c>
      <c r="D96" s="98"/>
    </row>
    <row r="97" spans="1:4">
      <c r="A97" s="95"/>
      <c r="B97" s="96" t="s">
        <v>148</v>
      </c>
      <c r="C97" s="155" t="s">
        <v>153</v>
      </c>
      <c r="D97" s="98" t="s">
        <v>238</v>
      </c>
    </row>
    <row r="98" spans="1:4">
      <c r="A98" s="95"/>
      <c r="B98" s="96" t="s">
        <v>879</v>
      </c>
      <c r="C98" s="155" t="s">
        <v>1057</v>
      </c>
      <c r="D98" s="98"/>
    </row>
    <row r="99" spans="1:4">
      <c r="A99" s="95"/>
      <c r="B99" s="96" t="s">
        <v>282</v>
      </c>
      <c r="C99" s="155" t="s">
        <v>166</v>
      </c>
      <c r="D99" s="98"/>
    </row>
    <row r="100" spans="1:4">
      <c r="A100" s="95"/>
      <c r="B100" s="96" t="s">
        <v>354</v>
      </c>
      <c r="C100" s="155" t="s">
        <v>1028</v>
      </c>
      <c r="D100" s="98"/>
    </row>
    <row r="101" spans="1:4">
      <c r="A101" s="95"/>
      <c r="B101" s="96"/>
      <c r="C101" s="155"/>
      <c r="D101" s="98"/>
    </row>
    <row r="102" spans="1:4">
      <c r="A102" s="95" t="s">
        <v>1058</v>
      </c>
      <c r="B102" s="96" t="s">
        <v>150</v>
      </c>
      <c r="C102" s="155" t="s">
        <v>166</v>
      </c>
      <c r="D102" s="98"/>
    </row>
    <row r="103" spans="1:4">
      <c r="A103" s="95"/>
      <c r="B103" s="96" t="s">
        <v>148</v>
      </c>
      <c r="C103" s="155" t="s">
        <v>153</v>
      </c>
      <c r="D103" s="98" t="s">
        <v>238</v>
      </c>
    </row>
    <row r="104" spans="1:4">
      <c r="A104" s="95"/>
      <c r="B104" s="96" t="s">
        <v>879</v>
      </c>
      <c r="C104" s="155" t="s">
        <v>1057</v>
      </c>
      <c r="D104" s="98"/>
    </row>
    <row r="105" spans="1:4">
      <c r="A105" s="95"/>
      <c r="B105" s="96" t="s">
        <v>282</v>
      </c>
      <c r="C105" s="155" t="s">
        <v>166</v>
      </c>
      <c r="D105" s="98"/>
    </row>
    <row r="106" spans="1:4">
      <c r="A106" s="95"/>
      <c r="B106" s="96" t="s">
        <v>354</v>
      </c>
      <c r="C106" s="155" t="s">
        <v>1056</v>
      </c>
      <c r="D106" s="98"/>
    </row>
    <row r="107" spans="1:4">
      <c r="A107" s="95"/>
      <c r="B107" s="96"/>
      <c r="C107" s="155"/>
      <c r="D107" s="98"/>
    </row>
    <row r="108" spans="1:4">
      <c r="A108" s="95" t="s">
        <v>1051</v>
      </c>
      <c r="B108" s="96" t="s">
        <v>296</v>
      </c>
      <c r="C108" s="155" t="s">
        <v>310</v>
      </c>
      <c r="D108" s="98" t="s">
        <v>1061</v>
      </c>
    </row>
    <row r="109" spans="1:4">
      <c r="A109" s="95"/>
      <c r="B109" s="96" t="s">
        <v>148</v>
      </c>
      <c r="C109" s="155" t="s">
        <v>153</v>
      </c>
      <c r="D109" s="98" t="s">
        <v>888</v>
      </c>
    </row>
    <row r="110" spans="1:4">
      <c r="A110" s="95"/>
      <c r="B110" s="96" t="s">
        <v>983</v>
      </c>
      <c r="C110" s="155"/>
      <c r="D110" s="98"/>
    </row>
    <row r="111" spans="1:4">
      <c r="A111" s="95"/>
      <c r="B111" s="96" t="s">
        <v>191</v>
      </c>
      <c r="C111" s="155"/>
      <c r="D111" s="98"/>
    </row>
    <row r="112" spans="1:4">
      <c r="A112" s="95" t="s">
        <v>1060</v>
      </c>
      <c r="B112" s="96" t="s">
        <v>299</v>
      </c>
      <c r="C112" s="155" t="s">
        <v>1062</v>
      </c>
      <c r="D112" s="98"/>
    </row>
    <row r="113" spans="1:4">
      <c r="A113" s="95" t="s">
        <v>1061</v>
      </c>
      <c r="B113" s="96" t="s">
        <v>299</v>
      </c>
      <c r="C113" s="155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92</vt:i4>
      </vt:variant>
    </vt:vector>
  </HeadingPairs>
  <TitlesOfParts>
    <vt:vector size="100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2026-03-05T18:31:36Z</dcterms:modified>
</cp:coreProperties>
</file>