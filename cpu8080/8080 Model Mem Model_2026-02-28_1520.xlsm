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90A24538-F311-4C12-A2CC-9D2065FA0D02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Sheet1" sheetId="7" r:id="rId3"/>
    <sheet name="8080 Op to Hex" sheetId="6" r:id="rId4"/>
    <sheet name="8080 Op Codes" sheetId="1" r:id="rId5"/>
    <sheet name="Flag Rules" sheetId="4" r:id="rId6"/>
    <sheet name="Other Programs" sheetId="8" r:id="rId7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83" i="5" l="1"/>
  <c r="B583" i="5" s="1"/>
  <c r="C582" i="5"/>
  <c r="B582" i="5"/>
  <c r="C566" i="5"/>
  <c r="C567" i="5" s="1"/>
  <c r="B566" i="5"/>
  <c r="B565" i="5"/>
  <c r="N564" i="5"/>
  <c r="M564" i="5"/>
  <c r="J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AB22" i="2" a="1"/>
  <c r="AB22" i="2" s="1"/>
  <c r="Q62" i="5"/>
  <c r="Q61" i="5"/>
  <c r="Q60" i="5"/>
  <c r="C554" i="5"/>
  <c r="C555" i="5" s="1"/>
  <c r="B554" i="5"/>
  <c r="C547" i="5"/>
  <c r="C548" i="5" s="1"/>
  <c r="B547" i="5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0" i="6"/>
  <c r="C251" i="6"/>
  <c r="C249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1" i="2" a="1"/>
  <c r="AB20" i="2" a="1"/>
  <c r="AB19" i="2" a="1"/>
  <c r="AB18" i="2" a="1"/>
  <c r="AB17" i="2" a="1"/>
  <c r="AB16" i="2" a="1"/>
  <c r="AB15" i="2" a="1"/>
  <c r="J236" i="5" a="1"/>
  <c r="J261" i="5" a="1"/>
  <c r="J197" i="5" a="1"/>
  <c r="J267" i="5" a="1"/>
  <c r="J384" i="5" a="1"/>
  <c r="J472" i="5" a="1"/>
  <c r="J333" i="5" a="1"/>
  <c r="J260" i="5" a="1"/>
  <c r="J492" i="5" a="1"/>
  <c r="J143" i="5" a="1"/>
  <c r="J369" i="5" a="1"/>
  <c r="J449" i="5" a="1"/>
  <c r="J311" i="5" a="1"/>
  <c r="J408" i="5" a="1"/>
  <c r="J358" i="5" a="1"/>
  <c r="J178" i="5" a="1"/>
  <c r="J464" i="5" a="1"/>
  <c r="J191" i="5" a="1"/>
  <c r="J266" i="5" a="1"/>
  <c r="J166" i="5" a="1"/>
  <c r="J332" i="5" a="1"/>
  <c r="J340" i="5" a="1"/>
  <c r="J171" i="5" a="1"/>
  <c r="J381" i="5" a="1"/>
  <c r="J347" i="5" a="1"/>
  <c r="J196" i="5" a="1"/>
  <c r="J558" i="5" a="1"/>
  <c r="J393" i="5" a="1"/>
  <c r="J339" i="5" a="1"/>
  <c r="J548" i="5" a="1"/>
  <c r="J247" i="5" a="1"/>
  <c r="J128" i="5" a="1"/>
  <c r="J212" i="5" a="1"/>
  <c r="J294" i="5" a="1"/>
  <c r="J338" i="5" a="1"/>
  <c r="J242" i="5" a="1"/>
  <c r="J349" i="5" a="1"/>
  <c r="J562" i="5" a="1"/>
  <c r="J249" i="5" a="1"/>
  <c r="J453" i="5" a="1"/>
  <c r="J403" i="5" a="1"/>
  <c r="J227" i="5" a="1"/>
  <c r="J170" i="5" a="1"/>
  <c r="J322" i="5" a="1"/>
  <c r="J320" i="5" a="1"/>
  <c r="J377" i="5" a="1"/>
  <c r="J276" i="5" a="1"/>
  <c r="J187" i="5" a="1"/>
  <c r="J446" i="5" a="1"/>
  <c r="J176" i="5" a="1"/>
  <c r="J248" i="5" a="1"/>
  <c r="J293" i="5" a="1"/>
  <c r="J312" i="5" a="1"/>
  <c r="J206" i="5" a="1"/>
  <c r="J198" i="5" a="1"/>
  <c r="J228" i="5" a="1"/>
  <c r="J372" i="5" a="1"/>
  <c r="J303" i="5" a="1"/>
  <c r="J555" i="5" a="1"/>
  <c r="J306" i="5" a="1"/>
  <c r="J284" i="5" a="1"/>
  <c r="J350" i="5" a="1"/>
  <c r="J215" i="5" a="1"/>
  <c r="J283" i="5" a="1"/>
  <c r="J480" i="5" a="1"/>
  <c r="J321" i="5" a="1"/>
  <c r="J269" i="5" a="1"/>
  <c r="J132" i="5" a="1"/>
  <c r="J374" i="5" a="1"/>
  <c r="J387" i="5" a="1"/>
  <c r="J376" i="5" a="1"/>
  <c r="J195" i="5" a="1"/>
  <c r="J310" i="5" a="1"/>
  <c r="J331" i="5" a="1"/>
  <c r="J274" i="5" a="1"/>
  <c r="J365" i="5" a="1"/>
  <c r="J546" i="5" a="1"/>
  <c r="J151" i="5" a="1"/>
  <c r="J392" i="5" a="1"/>
  <c r="J385" i="5" a="1"/>
  <c r="J431" i="5" a="1"/>
  <c r="J282" i="5" a="1"/>
  <c r="J285" i="5" a="1"/>
  <c r="J44" i="5" a="1"/>
  <c r="J324" i="5" a="1"/>
  <c r="J304" i="5" a="1"/>
  <c r="J288" i="5" a="1"/>
  <c r="J357" i="5" a="1"/>
  <c r="J327" i="5" a="1"/>
  <c r="J168" i="5" a="1"/>
  <c r="J348" i="5" a="1"/>
  <c r="J137" i="5" a="1"/>
  <c r="J275" i="5" a="1"/>
  <c r="J263" i="5" a="1"/>
  <c r="J256" i="5" a="1"/>
  <c r="J336" i="5" a="1"/>
  <c r="J404" i="5" a="1"/>
  <c r="J396" i="5" a="1"/>
  <c r="J315" i="5" a="1"/>
  <c r="J235" i="5" a="1"/>
  <c r="J473" i="5" a="1"/>
  <c r="J345" i="5" a="1"/>
  <c r="J341" i="5" a="1"/>
  <c r="J553" i="5" a="1"/>
  <c r="J218" i="5" a="1"/>
  <c r="J560" i="5" a="1"/>
  <c r="J359" i="5" a="1"/>
  <c r="J153" i="5" a="1"/>
  <c r="J559" i="5" a="1"/>
  <c r="J129" i="5" a="1"/>
  <c r="J474" i="5" a="1"/>
  <c r="J360" i="5" a="1"/>
  <c r="J366" i="5" a="1"/>
  <c r="J554" i="5" a="1"/>
  <c r="J557" i="5" a="1"/>
  <c r="J246" i="5" a="1"/>
  <c r="J394" i="5" a="1"/>
  <c r="J463" i="5" a="1"/>
  <c r="J556" i="5" a="1"/>
  <c r="J138" i="5" a="1"/>
  <c r="J165" i="5" a="1"/>
  <c r="J142" i="5" a="1"/>
  <c r="J131" i="5" a="1"/>
  <c r="J314" i="5" a="1"/>
  <c r="J152" i="5" a="1"/>
  <c r="J378" i="5" a="1"/>
  <c r="J188" i="5" a="1"/>
  <c r="J286" i="5" a="1"/>
  <c r="J351" i="5" a="1"/>
  <c r="J167" i="5" a="1"/>
  <c r="J375" i="5" a="1"/>
  <c r="J127" i="5" a="1"/>
  <c r="J297" i="5" a="1"/>
  <c r="J295" i="5" a="1"/>
  <c r="J150" i="5" a="1"/>
  <c r="J189" i="5" a="1"/>
  <c r="J270" i="5" a="1"/>
  <c r="J291" i="5" a="1"/>
  <c r="J323" i="5" a="1"/>
  <c r="J438" i="5" a="1"/>
  <c r="J245" i="5" a="1"/>
  <c r="J277" i="5" a="1"/>
  <c r="J342" i="5" a="1"/>
  <c r="J390" i="5" a="1"/>
  <c r="J552" i="5" a="1"/>
  <c r="J226" i="5" a="1"/>
  <c r="J413" i="5" a="1"/>
  <c r="J156" i="5" a="1"/>
  <c r="J354" i="5" a="1"/>
  <c r="J186" i="5" a="1"/>
  <c r="J279" i="5" a="1"/>
  <c r="J200" i="5" a="1"/>
  <c r="J237" i="5" a="1"/>
  <c r="J487" i="5" a="1"/>
  <c r="J219" i="5" a="1"/>
  <c r="J551" i="5" a="1"/>
  <c r="J368" i="5" a="1"/>
  <c r="J305" i="5" a="1"/>
  <c r="J391" i="5" a="1"/>
  <c r="J475" i="5" a="1"/>
  <c r="J493" i="5" a="1"/>
  <c r="J46" i="5" a="1"/>
  <c r="J155" i="5" a="1"/>
  <c r="J201" i="5" a="1"/>
  <c r="J144" i="5" a="1"/>
  <c r="J158" i="5" a="1"/>
  <c r="J179" i="5" a="1"/>
  <c r="J550" i="5" a="1"/>
  <c r="J417" i="5" a="1"/>
  <c r="J185" i="5" a="1"/>
  <c r="J130" i="5" a="1"/>
  <c r="J356" i="5" a="1"/>
  <c r="J494" i="5" a="1"/>
  <c r="J401" i="5" a="1"/>
  <c r="J300" i="5" a="1"/>
  <c r="J547" i="5" a="1"/>
  <c r="J241" i="5" a="1"/>
  <c r="J302" i="5" a="1"/>
  <c r="J225" i="5" a="1"/>
  <c r="J405" i="5" a="1"/>
  <c r="J402" i="5" a="1"/>
  <c r="J313" i="5" a="1"/>
  <c r="J234" i="5" a="1"/>
  <c r="J329" i="5" a="1"/>
  <c r="J330" i="5" a="1"/>
  <c r="J262" i="5" a="1"/>
  <c r="J395" i="5" a="1"/>
  <c r="J292" i="5" a="1"/>
  <c r="J136" i="5" a="1"/>
  <c r="J447" i="5" a="1"/>
  <c r="J424" i="5" a="1"/>
  <c r="J177" i="5" a="1"/>
  <c r="J243" i="5" a="1"/>
  <c r="J367" i="5" a="1"/>
  <c r="J278" i="5" a="1"/>
  <c r="J496" i="5" a="1"/>
  <c r="J268" i="5" a="1"/>
  <c r="J271" i="5" a="1"/>
  <c r="J181" i="5" a="1"/>
  <c r="J126" i="5" a="1"/>
  <c r="J386" i="5" a="1"/>
  <c r="J383" i="5" a="1"/>
  <c r="J561" i="5" a="1"/>
  <c r="J145" i="5" a="1"/>
  <c r="J309" i="5" a="1"/>
  <c r="J428" i="5" a="1"/>
  <c r="J399" i="5" a="1"/>
  <c r="J199" i="5" a="1"/>
  <c r="J296" i="5" a="1"/>
  <c r="J318" i="5" a="1"/>
  <c r="J175" i="5" a="1"/>
  <c r="J363" i="5" a="1"/>
  <c r="J287" i="5" a="1"/>
  <c r="J549" i="5" a="1"/>
  <c r="J448" i="5" a="1"/>
  <c r="J141" i="5" a="1"/>
  <c r="J255" i="5" a="1"/>
  <c r="C568" i="5" l="1"/>
  <c r="B567" i="5"/>
  <c r="AB21" i="2"/>
  <c r="AB17" i="2"/>
  <c r="AB18" i="2"/>
  <c r="AB19" i="2"/>
  <c r="AB20" i="2"/>
  <c r="AB16" i="2"/>
  <c r="AB15" i="2"/>
  <c r="C556" i="5"/>
  <c r="B555" i="5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B448" i="5"/>
  <c r="B447" i="5"/>
  <c r="J530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87" i="5" a="1"/>
  <c r="J85" i="5" a="1"/>
  <c r="J110" i="5" a="1"/>
  <c r="J84" i="5" a="1"/>
  <c r="J86" i="5" a="1"/>
  <c r="J102" i="5" a="1"/>
  <c r="J80" i="5" a="1"/>
  <c r="J108" i="5" a="1"/>
  <c r="J91" i="5" a="1"/>
  <c r="J99" i="5" a="1"/>
  <c r="J88" i="5" a="1"/>
  <c r="J107" i="5" a="1"/>
  <c r="J89" i="5" a="1"/>
  <c r="J101" i="5" a="1"/>
  <c r="J100" i="5" a="1"/>
  <c r="J90" i="5" a="1"/>
  <c r="C569" i="5" l="1"/>
  <c r="B568" i="5"/>
  <c r="B556" i="5"/>
  <c r="C557" i="5"/>
  <c r="J545" i="5"/>
  <c r="C550" i="5"/>
  <c r="B549" i="5"/>
  <c r="B534" i="5"/>
  <c r="C535" i="5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7" i="5" a="1"/>
  <c r="J19" i="5" a="1"/>
  <c r="J31" i="5" a="1"/>
  <c r="J60" i="5" a="1"/>
  <c r="J51" i="5" a="1"/>
  <c r="J63" i="5" a="1"/>
  <c r="J26" i="5" a="1"/>
  <c r="J70" i="5" a="1"/>
  <c r="J59" i="5" a="1"/>
  <c r="J78" i="5" a="1"/>
  <c r="J42" i="5" a="1"/>
  <c r="J69" i="5" a="1"/>
  <c r="J33" i="5" a="1"/>
  <c r="J72" i="5" a="1"/>
  <c r="J35" i="5" a="1"/>
  <c r="J52" i="5" a="1"/>
  <c r="J61" i="5" a="1"/>
  <c r="J22" i="5" a="1"/>
  <c r="J40" i="5" a="1"/>
  <c r="J12" i="5" a="1"/>
  <c r="J71" i="5" a="1"/>
  <c r="J79" i="5" a="1"/>
  <c r="B569" i="5" l="1"/>
  <c r="C570" i="5"/>
  <c r="C558" i="5"/>
  <c r="B557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71" i="5" l="1"/>
  <c r="B570" i="5"/>
  <c r="C559" i="5"/>
  <c r="B558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7" i="5" a="1"/>
  <c r="J5" i="5" a="1"/>
  <c r="C572" i="5" l="1"/>
  <c r="B571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560" i="5"/>
  <c r="B559" i="5"/>
  <c r="B552" i="5"/>
  <c r="C553" i="5"/>
  <c r="B553" i="5" s="1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573" i="5" l="1"/>
  <c r="B572" i="5"/>
  <c r="C561" i="5"/>
  <c r="B560" i="5"/>
  <c r="B454" i="5"/>
  <c r="C455" i="5"/>
  <c r="B538" i="5"/>
  <c r="C539" i="5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74" i="5" l="1"/>
  <c r="B573" i="5"/>
  <c r="C562" i="5"/>
  <c r="B562" i="5" s="1"/>
  <c r="B561" i="5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75" i="5" l="1"/>
  <c r="B574" i="5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75" i="5" l="1"/>
  <c r="C576" i="5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77" i="5" l="1"/>
  <c r="B576" i="5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78" i="5" l="1"/>
  <c r="B577" i="5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79" i="5" l="1"/>
  <c r="B578" i="5"/>
  <c r="C516" i="5"/>
  <c r="B515" i="5"/>
  <c r="C94" i="5"/>
  <c r="B93" i="5"/>
  <c r="L16" i="2"/>
  <c r="M15" i="2"/>
  <c r="C580" i="5" l="1"/>
  <c r="B579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81" i="5" l="1"/>
  <c r="B581" i="5" s="1"/>
  <c r="B580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<sst xmlns="http://schemas.openxmlformats.org/spreadsheetml/2006/main" count="3425" uniqueCount="1047">
  <si>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</si>
  <si>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</si>
  <si>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</si>
  <si>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</si>
  <si>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</si>
  <si>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</si>
  <si>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</si>
  <si>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</si>
  <si>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</si>
  <si>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</si>
  <si>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</si>
  <si>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</si>
  <si>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</si>
  <si>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</si>
  <si>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</si>
  <si>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</si>
  <si>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</si>
  <si>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</si>
  <si>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</si>
  <si>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</si>
  <si>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</si>
  <si>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</si>
  <si>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</si>
  <si>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</si>
  <si>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</si>
  <si>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</si>
  <si>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</si>
  <si>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</si>
  <si>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</si>
  <si>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</si>
  <si>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</si>
  <si>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</si>
  <si>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</si>
  <si>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</si>
  <si>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</si>
  <si>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</si>
  <si>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</si>
  <si>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</si>
  <si>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</si>
  <si>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</si>
  <si>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</si>
  <si>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</si>
  <si>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</si>
  <si>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</si>
  <si>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</si>
  <si>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</si>
  <si>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</si>
  <si>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</si>
  <si>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</si>
  <si>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</si>
  <si>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</si>
  <si>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</si>
  <si>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</si>
  <si>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</si>
  <si>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</si>
  <si>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</si>
  <si>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</si>
  <si>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</si>
  <si>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</si>
  <si>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</si>
  <si>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</si>
  <si>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</si>
  <si>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</si>
  <si>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</si>
  <si>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</si>
  <si>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</si>
  <si>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</si>
  <si>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</si>
  <si>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</si>
  <si>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</si>
  <si>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</si>
  <si>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</si>
  <si>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</si>
  <si>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</si>
  <si>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</si>
  <si>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</si>
  <si>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</si>
  <si>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</si>
  <si>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</si>
  <si>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</si>
  <si>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</si>
  <si>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</si>
  <si>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</si>
  <si>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</si>
  <si>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</si>
  <si>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</si>
  <si>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</si>
  <si>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</si>
  <si>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</si>
  <si>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</si>
  <si>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</si>
  <si>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</si>
  <si>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</si>
  <si>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</si>
  <si>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</si>
  <si>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</si>
  <si>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</si>
  <si>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</si>
  <si>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</si>
  <si>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</si>
  <si>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</si>
  <si>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</si>
  <si>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</si>
  <si>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</si>
  <si>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</si>
  <si>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</si>
  <si>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</si>
  <si>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</si>
  <si>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</si>
  <si>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</si>
  <si>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</si>
  <si>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</si>
  <si>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</si>
  <si>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</si>
  <si>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</si>
  <si>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</si>
  <si>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</si>
  <si>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</si>
  <si>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</si>
  <si>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</si>
  <si>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</si>
  <si>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</si>
  <si>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</si>
  <si>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</si>
  <si>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</si>
  <si>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</si>
  <si>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</si>
  <si>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</si>
  <si>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</si>
  <si>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</si>
  <si>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</si>
  <si>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</si>
  <si>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</si>
  <si>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</si>
  <si>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</si>
  <si>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</si>
  <si>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</si>
  <si>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</si>
  <si>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</si>
  <si>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</si>
  <si>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</si>
  <si>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</si>
  <si>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</si>
  <si>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</si>
  <si>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</si>
  <si>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</si>
  <si>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</si>
  <si>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</si>
  <si>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</si>
  <si>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</si>
  <si>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</si>
  <si>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</si>
  <si>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</si>
  <si>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</si>
  <si>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</si>
  <si>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</si>
  <si>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</si>
  <si>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</si>
  <si>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</si>
  <si>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</si>
  <si>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</si>
  <si>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</si>
  <si>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</si>
  <si>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</si>
  <si>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</si>
  <si>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</si>
  <si>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</si>
  <si>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</si>
  <si>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</si>
  <si>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</si>
  <si>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</si>
  <si>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</si>
  <si>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</si>
  <si>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</si>
  <si>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</si>
  <si>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</si>
  <si>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</si>
  <si>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</si>
  <si>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</si>
  <si>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</si>
  <si>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</si>
  <si>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</si>
  <si>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</si>
  <si>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</si>
  <si>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</si>
  <si>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</si>
  <si>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</si>
  <si>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</si>
  <si>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</si>
  <si>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</si>
  <si>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</si>
  <si>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</si>
  <si>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</si>
  <si>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</si>
  <si>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</si>
  <si>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</si>
  <si>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</si>
  <si>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</si>
  <si>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</si>
  <si>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</si>
  <si>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</si>
  <si>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</si>
  <si>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</si>
  <si>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</si>
  <si>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</si>
  <si>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</si>
  <si>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</si>
  <si>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</si>
  <si>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</si>
  <si>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</si>
  <si>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</si>
  <si>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</si>
  <si>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</si>
  <si>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</si>
  <si>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</si>
  <si>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</si>
  <si>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</si>
  <si>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</si>
  <si>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</si>
  <si>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</si>
  <si>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</si>
  <si>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</si>
  <si>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</si>
  <si>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</si>
  <si>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</si>
  <si>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</si>
  <si>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</si>
  <si>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</si>
  <si>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</si>
  <si>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</si>
  <si>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</si>
  <si>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</si>
  <si>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</si>
  <si>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</si>
  <si>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</si>
  <si>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</si>
  <si>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</si>
  <si>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</si>
  <si>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</si>
  <si>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</si>
  <si>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</si>
  <si>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</si>
  <si>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</si>
  <si>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</si>
  <si>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</si>
  <si>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</si>
  <si>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</si>
  <si>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</si>
  <si>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</si>
  <si>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</si>
  <si>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</si>
  <si>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</si>
  <si>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</si>
  <si>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</si>
  <si>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</si>
  <si>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</si>
  <si>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</si>
  <si>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</si>
  <si>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</si>
  <si>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</si>
  <si>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</si>
  <si>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</si>
  <si>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</si>
  <si>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</si>
  <si>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</si>
  <si>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</si>
  <si>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</si>
  <si>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</si>
  <si>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</si>
  <si>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</si>
  <si>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</si>
  <si>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</si>
  <si>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</si>
  <si>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</si>
  <si>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</si>
  <si>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</si>
  <si>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</si>
  <si>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</si>
  <si>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</si>
  <si>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</si>
  <si>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</si>
  <si>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</si>
  <si>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</si>
  <si>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</si>
  <si>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</si>
  <si>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</si>
  <si>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</si>
  <si>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</si>
  <si>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</si>
  <si>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</si>
  <si>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</si>
  <si>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</si>
  <si>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</si>
  <si>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</si>
  <si>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</si>
  <si>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</si>
  <si>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</si>
  <si>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</si>
  <si>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</si>
  <si>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</si>
  <si>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</si>
  <si>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</si>
  <si>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</si>
  <si>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</si>
  <si>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</si>
  <si>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</si>
  <si>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</si>
  <si>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</si>
  <si>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</si>
  <si>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</si>
  <si>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</si>
  <si>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</si>
  <si>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</si>
  <si>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</si>
  <si>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</si>
  <si>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</si>
  <si>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</si>
  <si>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</si>
  <si>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</si>
  <si>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</si>
  <si>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</si>
  <si>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</si>
  <si>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</si>
  <si>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</si>
  <si>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</si>
  <si>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</si>
  <si>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</si>
  <si>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</si>
  <si>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</si>
  <si>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</si>
  <si>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</si>
  <si>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</si>
  <si>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</si>
  <si>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</si>
  <si>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</si>
  <si>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</si>
  <si>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</si>
  <si>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</si>
  <si>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</si>
  <si>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</si>
  <si>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</si>
  <si>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</si>
  <si>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</si>
  <si>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</si>
  <si>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</si>
  <si>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</si>
  <si>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</si>
  <si>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</si>
  <si>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</si>
  <si>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</si>
  <si>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</si>
  <si>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</si>
  <si>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</si>
  <si>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</si>
  <si>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</si>
  <si>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</si>
  <si>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</si>
  <si>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</si>
  <si>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</si>
  <si>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</si>
  <si>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</si>
  <si>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</si>
  <si>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</si>
  <si>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</si>
  <si>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</si>
  <si>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</si>
  <si>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</si>
  <si>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</si>
  <si>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</si>
  <si>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</si>
  <si>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</si>
  <si>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</si>
  <si>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</si>
  <si>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</si>
  <si>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</si>
  <si>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</si>
  <si>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</si>
  <si>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</si>
  <si>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</si>
  <si>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</si>
  <si>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</si>
  <si>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</si>
  <si>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</si>
  <si>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</si>
  <si>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</si>
  <si>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</si>
  <si>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</si>
  <si>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</si>
  <si>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</si>
  <si>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</si>
  <si>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</si>
  <si>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</si>
  <si>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</si>
  <si>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</si>
  <si>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</si>
  <si>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</si>
  <si>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</si>
  <si>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</si>
  <si>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</si>
  <si>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</si>
  <si>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</si>
  <si>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</si>
  <si>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</si>
  <si>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</si>
  <si>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</si>
  <si>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</si>
  <si>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</si>
  <si>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</si>
  <si>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</si>
  <si>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</si>
  <si>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</si>
  <si>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</si>
  <si>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</si>
  <si>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</si>
  <si>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</si>
  <si>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</si>
  <si>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</si>
  <si>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</si>
  <si>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</si>
  <si>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</si>
  <si>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</si>
  <si>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</si>
  <si>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</si>
  <si>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</si>
  <si>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</si>
  <si>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</si>
  <si>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</si>
  <si>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</si>
  <si>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</si>
  <si>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</si>
  <si>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</si>
  <si>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</si>
  <si>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</si>
  <si>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</si>
  <si>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</si>
  <si>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</si>
  <si>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</si>
  <si>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</si>
  <si>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</si>
  <si>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</si>
  <si>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</si>
  <si>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</si>
  <si>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</si>
  <si>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</si>
  <si>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</si>
  <si>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</si>
  <si>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</si>
  <si>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</si>
  <si>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</si>
  <si>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</si>
  <si>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</si>
  <si>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</si>
  <si>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</si>
  <si>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</si>
  <si>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</si>
  <si>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</si>
  <si>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</si>
  <si>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</si>
  <si>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</si>
  <si>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</si>
  <si>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</si>
  <si>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</si>
  <si>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</si>
  <si>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</si>
  <si>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</si>
  <si>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</si>
  <si>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</si>
  <si>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</si>
  <si>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</si>
  <si>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</si>
  <si>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</si>
  <si>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</si>
  <si>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</si>
  <si>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</si>
  <si>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</si>
  <si>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</si>
  <si>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</si>
  <si>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</si>
  <si>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</si>
  <si>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</si>
  <si>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</si>
  <si>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</si>
  <si>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</si>
  <si>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</si>
  <si>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</si>
  <si>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</si>
  <si>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</si>
  <si>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</si>
  <si>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</si>
  <si>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</si>
  <si>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</si>
  <si>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</si>
  <si>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</si>
  <si>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</si>
  <si>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</si>
  <si>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</si>
  <si>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</si>
  <si>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</si>
  <si>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</si>
  <si>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</si>
  <si>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</si>
  <si>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</si>
  <si>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</si>
  <si>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</si>
  <si>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</si>
  <si>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</si>
  <si>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</si>
  <si>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</si>
  <si>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</si>
  <si>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</si>
  <si>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</si>
  <si>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</si>
  <si>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</si>
  <si>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</si>
  <si>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</si>
  <si>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</si>
  <si>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</si>
  <si>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</si>
  <si>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</si>
  <si>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</si>
  <si>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</si>
  <si>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</si>
  <si>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</si>
  <si>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</si>
  <si>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</si>
  <si>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</si>
  <si>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</si>
  <si>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</si>
  <si>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</si>
  <si>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</si>
  <si>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</si>
  <si>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</si>
  <si>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</si>
  <si>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</si>
  <si>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</si>
  <si>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</si>
  <si>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</si>
  <si>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</si>
  <si>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</si>
  <si>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</si>
  <si>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</si>
  <si>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</si>
  <si>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</si>
  <si>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</si>
  <si>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</si>
  <si>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</si>
  <si>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</si>
  <si>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</si>
  <si>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</si>
  <si>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</si>
  <si>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</si>
  <si>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</si>
  <si>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</si>
  <si>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</si>
  <si>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</si>
  <si>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</si>
  <si>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</si>
  <si>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</si>
  <si>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</si>
  <si>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</si>
  <si>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</si>
  <si>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</si>
  <si>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</si>
  <si>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</si>
  <si>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</si>
  <si>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</si>
  <si>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</si>
  <si>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</si>
  <si>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</si>
  <si>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</si>
  <si>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</si>
  <si>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</si>
  <si>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</si>
  <si>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</si>
  <si>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</si>
  <si>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</si>
  <si>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</si>
  <si>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</si>
  <si>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</si>
  <si>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</si>
  <si>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</si>
  <si>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</si>
  <si>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</si>
  <si>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</si>
  <si>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</si>
  <si>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</si>
  <si>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</si>
  <si>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</si>
  <si>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</si>
  <si>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</si>
  <si>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</si>
  <si>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</si>
  <si>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</si>
  <si>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</si>
  <si>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</si>
  <si>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</si>
  <si>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</si>
  <si>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</si>
  <si>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</si>
  <si>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</si>
  <si>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</si>
  <si>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</si>
  <si>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</si>
  <si>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</si>
  <si>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</si>
  <si>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</si>
  <si>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</si>
  <si>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</si>
  <si>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</si>
  <si>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</si>
  <si>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</si>
  <si>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</si>
  <si>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</si>
  <si>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</si>
  <si>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</si>
  <si>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</si>
  <si>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</si>
  <si>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</si>
  <si>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</si>
  <si>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</si>
  <si>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</si>
  <si>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</si>
  <si>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</si>
  <si>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</si>
  <si>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</si>
  <si>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</si>
  <si>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</si>
  <si>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</si>
  <si>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</si>
  <si>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</si>
  <si>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</si>
  <si>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</si>
  <si>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</si>
  <si>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</si>
  <si>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</si>
  <si>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</si>
  <si>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</si>
  <si>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</si>
  <si>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</si>
  <si>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</si>
  <si>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</si>
  <si>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</si>
  <si>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</si>
  <si>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</si>
  <si>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</si>
  <si>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</si>
  <si>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</si>
  <si>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</si>
  <si>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</si>
  <si>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</si>
  <si>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</si>
  <si>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</si>
  <si>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</si>
  <si>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</si>
  <si>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</si>
  <si>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</si>
  <si>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</si>
  <si>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</si>
  <si>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</si>
  <si>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</si>
  <si>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</si>
  <si>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</si>
  <si>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</si>
  <si>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</si>
  <si>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</si>
  <si>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</si>
  <si>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</si>
  <si>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</si>
  <si>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</si>
  <si>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</si>
  <si>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</si>
  <si>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</si>
  <si>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</si>
  <si>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</si>
  <si>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</si>
  <si>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</si>
  <si>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</si>
  <si>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</si>
  <si>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</si>
  <si>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</si>
  <si>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</si>
  <si>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</si>
  <si>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</si>
  <si>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</si>
  <si>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</si>
  <si>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</si>
  <si>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</si>
  <si>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</si>
  <si>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</si>
  <si>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</si>
  <si>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</si>
  <si>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</si>
  <si>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</si>
  <si>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</si>
  <si>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</si>
  <si>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</si>
  <si>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</si>
  <si>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</si>
  <si>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</si>
  <si>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</si>
  <si>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</si>
  <si>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</si>
  <si>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</si>
  <si>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</si>
  <si>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</si>
  <si>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</si>
  <si>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</si>
  <si>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</si>
  <si>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</si>
  <si>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</si>
  <si>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</si>
  <si>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</si>
  <si>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</si>
  <si>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</si>
  <si>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</si>
  <si>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</si>
  <si>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</si>
  <si>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</si>
  <si>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</si>
  <si>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</si>
  <si>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</si>
  <si>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</si>
  <si>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</si>
  <si>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</si>
  <si>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</si>
  <si>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</si>
  <si>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</si>
  <si>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</si>
  <si>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</si>
  <si>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</si>
  <si>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</si>
  <si>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</si>
  <si>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</si>
  <si>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</si>
  <si>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</si>
  <si>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</si>
  <si>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</si>
  <si>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</si>
  <si>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</si>
  <si>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</si>
  <si>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</si>
  <si>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</si>
  <si>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</si>
  <si>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</si>
  <si>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</si>
  <si>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</si>
  <si>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</si>
  <si>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</si>
  <si>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</si>
  <si>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</si>
  <si>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</si>
  <si>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</si>
  <si>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</si>
  <si>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</si>
  <si>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</si>
  <si>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</si>
  <si>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</si>
  <si>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</si>
  <si>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</si>
  <si>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</si>
  <si>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</si>
  <si>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</si>
  <si>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</si>
  <si>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</si>
  <si>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</si>
  <si>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</si>
  <si>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</si>
  <si>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</si>
  <si>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</si>
  <si>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</si>
  <si>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</si>
  <si>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</si>
  <si>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</si>
  <si>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</si>
  <si>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</si>
  <si>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</si>
  <si>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</si>
  <si>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</si>
  <si>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</si>
  <si>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</si>
  <si>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</si>
  <si>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</si>
  <si>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</si>
  <si>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</si>
  <si>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</si>
  <si>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</si>
  <si>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</si>
  <si>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</si>
  <si>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</si>
  <si>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</si>
  <si>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</si>
  <si>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</si>
  <si>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</si>
  <si>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</si>
  <si>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</si>
  <si>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</si>
  <si>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</si>
  <si>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</si>
  <si>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</si>
  <si>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</si>
  <si>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</si>
  <si>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</si>
  <si>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</si>
  <si>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</si>
  <si>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</si>
  <si>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</si>
  <si>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</si>
  <si>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</si>
  <si>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</si>
  <si>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</si>
  <si>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</si>
  <si>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</si>
  <si>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</si>
  <si>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</si>
  <si>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</si>
  <si>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</si>
  <si>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</si>
  <si>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</si>
  <si>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</si>
  <si>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</si>
  <si>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</si>
  <si>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</si>
  <si>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</si>
  <si>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</si>
  <si>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</si>
  <si>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</si>
  <si>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</si>
  <si>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</si>
  <si>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</si>
  <si>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</si>
  <si>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</si>
  <si>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</si>
  <si>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</si>
  <si>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</si>
  <si>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</si>
  <si>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</si>
  <si>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</si>
  <si>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</si>
  <si>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</si>
  <si>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</si>
  <si>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</si>
  <si>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</si>
  <si>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</si>
  <si>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</si>
  <si>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</si>
  <si>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</si>
  <si>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</si>
  <si>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</si>
  <si>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</si>
  <si>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</si>
  <si>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</si>
  <si>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</si>
  <si>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</si>
  <si>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</si>
  <si>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</si>
  <si>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</si>
  <si>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</si>
  <si>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</si>
  <si>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</si>
  <si>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</si>
  <si>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</si>
  <si>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</si>
  <si>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</si>
  <si>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</si>
  <si>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</si>
  <si>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</si>
  <si>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</si>
  <si>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</si>
  <si>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</si>
  <si>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</si>
  <si>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</si>
  <si>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</si>
  <si>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</si>
  <si>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</si>
  <si>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</si>
  <si>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</si>
  <si>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</si>
  <si>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</si>
  <si>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</si>
  <si>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</si>
  <si>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</si>
  <si>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</si>
  <si>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</si>
  <si>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</si>
  <si>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</si>
  <si>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</si>
  <si>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</si>
  <si>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</si>
  <si>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</si>
  <si>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</si>
  <si>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</si>
  <si>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</si>
  <si>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</si>
  <si>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</si>
  <si>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</si>
  <si>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</si>
  <si>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</si>
  <si>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</si>
  <si>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</si>
  <si>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</si>
  <si>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</si>
  <si>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</si>
  <si>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</si>
  <si>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</si>
  <si>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</si>
  <si>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</si>
  <si>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</si>
  <si>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</si>
  <si>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</si>
  <si>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</si>
  <si>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</si>
  <si>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</si>
  <si>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</si>
  <si>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</si>
  <si>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</si>
  <si>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</si>
  <si>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</si>
  <si>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</si>
  <si>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</si>
  <si>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</si>
  <si>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</si>
  <si>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</si>
  <si>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</si>
  <si>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</si>
  <si>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</si>
  <si>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</si>
  <si>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</si>
  <si>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</si>
  <si>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</si>
  <si>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</si>
  <si>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</si>
  <si>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</si>
  <si>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</si>
  <si>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</si>
  <si>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</si>
  <si>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</si>
  <si>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</si>
  <si>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</si>
  <si>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</si>
  <si>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</si>
  <si>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</si>
  <si>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</si>
  <si>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</si>
  <si>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</si>
  <si>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</si>
  <si>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</si>
  <si>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</si>
  <si>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</si>
  <si>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</si>
  <si>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</si>
  <si>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</si>
  <si>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</si>
  <si>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</si>
  <si>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</si>
  <si>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</si>
  <si>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</si>
  <si>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</si>
  <si>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</si>
  <si>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</si>
  <si>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</si>
  <si>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</si>
  <si>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</si>
  <si>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</si>
  <si>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</si>
  <si>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</si>
  <si>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</si>
  <si>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</si>
  <si>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</si>
  <si>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</si>
  <si>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</si>
  <si>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</si>
  <si>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</si>
  <si>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</si>
  <si>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</si>
  <si>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</si>
  <si>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</si>
  <si>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</si>
  <si>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</si>
  <si>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</si>
  <si>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</si>
  <si>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</si>
  <si>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</si>
  <si>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</si>
  <si>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</si>
  <si>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</si>
  <si>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</si>
  <si>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</si>
  <si>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</si>
  <si>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</si>
  <si>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</si>
  <si>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</si>
  <si>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</si>
  <si>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</si>
  <si>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</si>
  <si>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</si>
  <si>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</si>
  <si>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</si>
  <si>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</si>
  <si>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</si>
  <si>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</si>
  <si>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</si>
  <si>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</si>
  <si>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</si>
  <si>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</si>
  <si>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</si>
  <si>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</si>
  <si>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</si>
  <si>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</si>
  <si>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</si>
  <si>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</si>
  <si>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</si>
  <si>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</si>
  <si>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</si>
  <si>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</si>
  <si>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</si>
  <si>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</si>
  <si>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</si>
  <si>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</si>
  <si>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</si>
  <si>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</si>
  <si>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</si>
  <si>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</si>
  <si>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</si>
  <si>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</si>
  <si>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</si>
  <si>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</si>
  <si>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</si>
  <si>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</si>
  <si>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</si>
  <si>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</si>
  <si>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</si>
  <si>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0114</t>
  </si>
  <si>
    <t>Loop and Lights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</si>
  <si>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</si>
  <si>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</si>
  <si>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</si>
  <si>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</si>
  <si>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</si>
  <si>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</si>
  <si>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</si>
  <si>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0200</t>
  </si>
  <si>
    <t>MSG</t>
  </si>
  <si>
    <t>Execution Complete</t>
  </si>
  <si>
    <t>FC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</si>
  <si>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_x000D_
</t>
  </si>
  <si>
    <t>Hello world!</t>
  </si>
  <si>
    <t>Console Open and 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</si>
</sst>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</cellXfs>
  <cellStyles count="1">
    <cellStyle name="Normal" xfId="0" builtinId="0"/>
  </cellStyles>
  <dxfs count="355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10" sqref="N1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64" t="s">
        <v>1042</v>
      </c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6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227</v>
      </c>
      <c r="AD4" s="112">
        <f t="shared" ref="AD4:AK4" si="0">AC4-AD5*AD6</f>
        <v>99</v>
      </c>
      <c r="AE4" s="104">
        <f t="shared" si="0"/>
        <v>35</v>
      </c>
      <c r="AF4" s="104">
        <f t="shared" si="0"/>
        <v>3</v>
      </c>
      <c r="AG4" s="104">
        <f t="shared" si="0"/>
        <v>3</v>
      </c>
      <c r="AH4" s="104">
        <f t="shared" si="0"/>
        <v>3</v>
      </c>
      <c r="AI4" s="104">
        <f t="shared" si="0"/>
        <v>3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832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1</v>
      </c>
      <c r="AK5" s="118">
        <f t="shared" si="1"/>
        <v>1</v>
      </c>
      <c r="AL5" s="119">
        <f>SUM(AD5:AK5)</f>
        <v>5</v>
      </c>
      <c r="AM5" s="120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832</v>
      </c>
      <c r="D6" s="34" t="str">
        <f>IF(AND(E6&gt;=32,E6&lt;=126),CHAR(E6),".")</f>
        <v>.</v>
      </c>
      <c r="E6" s="35">
        <f>HEX2DEC(C6)</f>
        <v>227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893</v>
      </c>
      <c r="D7" s="34" t="str">
        <f t="shared" ref="D7:D14" si="3">IF(AND(E7&gt;=32,E7&lt;=126),CHAR(E7),".")</f>
        <v>.</v>
      </c>
      <c r="E7" s="35">
        <f t="shared" ref="E7:E14" si="4">HEX2DEC(C7)</f>
        <v>8</v>
      </c>
      <c r="G7" s="16" t="s">
        <v>116</v>
      </c>
      <c r="H7" s="18">
        <v>1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227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2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537</v>
      </c>
      <c r="D8" s="34" t="str">
        <f t="shared" si="3"/>
        <v>.</v>
      </c>
      <c r="E8" s="35">
        <f t="shared" si="4"/>
        <v>28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1026</v>
      </c>
      <c r="Q8" s="156">
        <v>100</v>
      </c>
      <c r="R8" s="98"/>
      <c r="S8" s="153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5"/>
      <c r="P9" s="96"/>
      <c r="Q9" s="156"/>
      <c r="R9" s="98"/>
      <c r="S9" s="154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5" t="str">
        <f>DEC2HEX(AC10)</f>
        <v>1C</v>
      </c>
      <c r="AD9" s="121">
        <f>1-AD5</f>
        <v>0</v>
      </c>
      <c r="AE9" s="121">
        <f t="shared" ref="AE9:AK9" si="14">1-AE5</f>
        <v>0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1</v>
      </c>
      <c r="AJ9" s="121">
        <f t="shared" si="14"/>
        <v>0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>L</v>
      </c>
      <c r="M10" s="38" t="str">
        <f t="shared" si="12"/>
        <v>0100</v>
      </c>
      <c r="N10" s="69">
        <f t="shared" ref="N10:N73" si="15">N9+S9</f>
        <v>256</v>
      </c>
      <c r="O10" s="95" t="s">
        <v>1027</v>
      </c>
      <c r="P10" s="96" t="s">
        <v>148</v>
      </c>
      <c r="Q10" s="156" t="s">
        <v>151</v>
      </c>
      <c r="R10" s="98" t="s">
        <v>222</v>
      </c>
      <c r="S10" s="154">
        <f>IF(P10="",0,IF(OR(O10=";",P10="EQU",P10="ORG"),0,IF(P10="DS",HEX2DEC(Q10),IF(P10="DB",LEN(Q10)+1,VLOOKUP(TRIM(P10),'8080 Op to Hex'!$A:$F,6,0)))))</f>
        <v>2</v>
      </c>
      <c r="V10" s="48"/>
      <c r="W10" s="16"/>
      <c r="X10" s="34"/>
      <c r="Y10" s="35"/>
      <c r="AB10" s="8" t="s">
        <v>405</v>
      </c>
      <c r="AC10" s="126">
        <f>SUM(AD10:AK10)</f>
        <v>28</v>
      </c>
      <c r="AD10" s="123">
        <f t="shared" ref="AD10" si="16">AD9*AD6</f>
        <v>0</v>
      </c>
      <c r="AE10" s="123">
        <f t="shared" ref="AE10" si="17">AE9*AE6</f>
        <v>0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4</v>
      </c>
      <c r="AJ10" s="123">
        <f t="shared" ref="AJ10" si="22">AJ9*AJ6</f>
        <v>0</v>
      </c>
      <c r="AK10" s="124">
        <f t="shared" ref="AK10" si="23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0102</v>
      </c>
      <c r="N11" s="69">
        <f t="shared" si="15"/>
        <v>258</v>
      </c>
      <c r="O11" s="95"/>
      <c r="P11" s="96" t="s">
        <v>148</v>
      </c>
      <c r="Q11" s="156" t="s">
        <v>153</v>
      </c>
      <c r="R11" s="98" t="s">
        <v>222</v>
      </c>
      <c r="S11" s="154">
        <f>IF(P11="",0,IF(OR(O11=";",P11="EQU",P11="ORG"),0,IF(P11="DS",HEX2DEC(Q11),IF(P11="DB",LEN(Q11)+1,VLOOKUP(TRIM(P11),'8080 Op to Hex'!$A:$F,6,0)))))</f>
        <v>2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5"/>
      <c r="P12" s="96" t="s">
        <v>148</v>
      </c>
      <c r="Q12" s="156" t="s">
        <v>189</v>
      </c>
      <c r="R12" s="98" t="s">
        <v>222</v>
      </c>
      <c r="S12" s="154">
        <f>IF(P12="",0,IF(OR(O12=";",P12="EQU",P12="ORG"),0,IF(P12="DS",HEX2DEC(Q12),IF(P12="DB",LEN(Q12)+1,VLOOKUP(TRIM(P12),'8080 Op to Hex'!$A:$F,6,0)))))</f>
        <v>2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1031</v>
      </c>
      <c r="D13" s="34" t="str">
        <f t="shared" si="3"/>
        <v>.</v>
      </c>
      <c r="E13" s="35">
        <f t="shared" si="4"/>
        <v>276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0106</v>
      </c>
      <c r="N13" s="69">
        <f t="shared" si="15"/>
        <v>262</v>
      </c>
      <c r="O13" s="95"/>
      <c r="P13" s="96"/>
      <c r="Q13" s="156"/>
      <c r="R13" s="98"/>
      <c r="S13" s="154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1040</v>
      </c>
      <c r="D14" s="36" t="str">
        <f t="shared" si="3"/>
        <v>.</v>
      </c>
      <c r="E14" s="37">
        <f t="shared" si="4"/>
        <v>512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5"/>
      <c r="P14" s="96"/>
      <c r="Q14" s="156"/>
      <c r="R14" s="98"/>
      <c r="S14" s="154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>L</v>
      </c>
      <c r="M15" s="38" t="str">
        <f t="shared" si="12"/>
        <v>0106</v>
      </c>
      <c r="N15" s="69">
        <f t="shared" si="15"/>
        <v>262</v>
      </c>
      <c r="O15" s="95" t="s">
        <v>1028</v>
      </c>
      <c r="P15" s="96" t="s">
        <v>188</v>
      </c>
      <c r="Q15" s="156" t="s">
        <v>153</v>
      </c>
      <c r="R15" s="98" t="s">
        <v>189</v>
      </c>
      <c r="S15" s="154">
        <f>IF(P15="",0,IF(OR(O15=";",P15="EQU",P15="ORG"),0,IF(P15="DS",HEX2DEC(Q15),IF(P15="DB",LEN(Q15)+1,VLOOKUP(TRIM(P15),'8080 Op to Hex'!$A:$F,6,0)))))</f>
        <v>1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40" t="s">
        <v>578</v>
      </c>
      <c r="AD15" s="141" t="s">
        <v>222</v>
      </c>
      <c r="AE15" s="141" t="s">
        <v>910</v>
      </c>
      <c r="AF15" s="141" t="s">
        <v>911</v>
      </c>
      <c r="AG15" s="141" t="s">
        <v>401</v>
      </c>
      <c r="AH15" s="141" t="s">
        <v>469</v>
      </c>
      <c r="AI15" s="141" t="s">
        <v>912</v>
      </c>
      <c r="AJ15" s="142" t="s">
        <v>222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0107</v>
      </c>
      <c r="N16" s="69">
        <f t="shared" si="15"/>
        <v>263</v>
      </c>
      <c r="O16" s="95"/>
      <c r="P16" s="96" t="s">
        <v>399</v>
      </c>
      <c r="Q16" s="156" t="s">
        <v>151</v>
      </c>
      <c r="R16" s="98"/>
      <c r="S16" s="154">
        <f>IF(P16="",0,IF(OR(O16=";",P16="EQU",P16="ORG"),0,IF(P16="DS",HEX2DEC(Q16),IF(P16="DB",LEN(Q16)+1,VLOOKUP(TRIM(P16),'8080 Op to Hex'!$A:$F,6,0)))))</f>
        <v>1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3" t="s">
        <v>901</v>
      </c>
      <c r="AD16" s="144" t="s">
        <v>888</v>
      </c>
      <c r="AE16" s="144" t="s">
        <v>302</v>
      </c>
      <c r="AF16" s="144" t="s">
        <v>893</v>
      </c>
      <c r="AG16" s="144" t="s">
        <v>913</v>
      </c>
      <c r="AH16" s="144" t="s">
        <v>914</v>
      </c>
      <c r="AI16" s="144" t="s">
        <v>915</v>
      </c>
      <c r="AJ16" s="145" t="s">
        <v>916</v>
      </c>
    </row>
    <row r="17" spans="1:36">
      <c r="K17" s="85"/>
      <c r="L17" s="54" t="str">
        <f t="shared" si="13"/>
        <v/>
      </c>
      <c r="M17" s="38" t="str">
        <f t="shared" si="12"/>
        <v>0108</v>
      </c>
      <c r="N17" s="69">
        <f t="shared" si="15"/>
        <v>264</v>
      </c>
      <c r="O17" s="95"/>
      <c r="P17" s="96" t="s">
        <v>188</v>
      </c>
      <c r="Q17" s="156" t="s">
        <v>189</v>
      </c>
      <c r="R17" s="98" t="s">
        <v>153</v>
      </c>
      <c r="S17" s="154">
        <f>IF(P17="",0,IF(OR(O17=";",P17="EQU",P17="ORG"),0,IF(P17="DS",HEX2DEC(Q17),IF(P17="DB",LEN(Q17)+1,VLOOKUP(TRIM(P17),'8080 Op to Hex'!$A:$F,6,0)))))</f>
        <v>1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3" t="s">
        <v>909</v>
      </c>
      <c r="AD17" s="144" t="s">
        <v>222</v>
      </c>
      <c r="AE17" s="144" t="s">
        <v>578</v>
      </c>
      <c r="AF17" s="144" t="s">
        <v>371</v>
      </c>
      <c r="AG17" s="144" t="s">
        <v>901</v>
      </c>
      <c r="AH17" s="144" t="s">
        <v>403</v>
      </c>
      <c r="AI17" s="144" t="s">
        <v>302</v>
      </c>
      <c r="AJ17" s="145" t="s">
        <v>893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0109</v>
      </c>
      <c r="N18" s="69">
        <f t="shared" si="15"/>
        <v>265</v>
      </c>
      <c r="O18" s="95"/>
      <c r="P18" s="96" t="s">
        <v>215</v>
      </c>
      <c r="Q18" s="156" t="s">
        <v>151</v>
      </c>
      <c r="R18" s="98"/>
      <c r="S18" s="154">
        <f>IF(P18="",0,IF(OR(O18=";",P18="EQU",P18="ORG"),0,IF(P18="DS",HEX2DEC(Q18),IF(P18="DB",LEN(Q18)+1,VLOOKUP(TRIM(P18),'8080 Op to Hex'!$A:$F,6,0)))))</f>
        <v>1</v>
      </c>
      <c r="V18" s="48"/>
      <c r="W18" s="16"/>
      <c r="X18" s="34"/>
      <c r="Y18" s="35"/>
      <c r="AA18" s="74">
        <v>118</v>
      </c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3" t="s">
        <v>578</v>
      </c>
      <c r="AD18" s="144" t="s">
        <v>888</v>
      </c>
      <c r="AE18" s="144" t="s">
        <v>918</v>
      </c>
      <c r="AF18" s="144" t="s">
        <v>492</v>
      </c>
      <c r="AG18" s="144" t="s">
        <v>919</v>
      </c>
      <c r="AH18" s="144" t="s">
        <v>920</v>
      </c>
      <c r="AI18" s="144" t="s">
        <v>921</v>
      </c>
      <c r="AJ18" s="145" t="s">
        <v>222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010A</v>
      </c>
      <c r="N19" s="69">
        <f t="shared" si="15"/>
        <v>266</v>
      </c>
      <c r="O19" s="95"/>
      <c r="P19" s="96" t="s">
        <v>188</v>
      </c>
      <c r="Q19" s="156" t="s">
        <v>153</v>
      </c>
      <c r="R19" s="98" t="s">
        <v>151</v>
      </c>
      <c r="S19" s="154">
        <f>IF(P19="",0,IF(OR(O19=";",P19="EQU",P19="ORG"),0,IF(P19="DS",HEX2DEC(Q19),IF(P19="DB",LEN(Q19)+1,VLOOKUP(TRIM(P19),'8080 Op to Hex'!$A:$F,6,0)))))</f>
        <v>1</v>
      </c>
      <c r="V19" s="48"/>
      <c r="W19" s="16"/>
      <c r="X19" s="34"/>
      <c r="Y19" s="35"/>
      <c r="AA19" s="74">
        <v>120</v>
      </c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3" t="s">
        <v>901</v>
      </c>
      <c r="AD19" s="144" t="s">
        <v>533</v>
      </c>
      <c r="AE19" s="144" t="s">
        <v>302</v>
      </c>
      <c r="AF19" s="144" t="s">
        <v>893</v>
      </c>
      <c r="AG19" s="144" t="s">
        <v>915</v>
      </c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010B</v>
      </c>
      <c r="N20" s="69">
        <f t="shared" si="15"/>
        <v>267</v>
      </c>
      <c r="O20" s="95"/>
      <c r="P20" s="96" t="s">
        <v>164</v>
      </c>
      <c r="Q20" s="156">
        <v>8</v>
      </c>
      <c r="R20" s="98"/>
      <c r="S20" s="154">
        <f>IF(P20="",0,IF(OR(O20=";",P20="EQU",P20="ORG"),0,IF(P20="DS",HEX2DEC(Q20),IF(P20="DB",LEN(Q20)+1,VLOOKUP(TRIM(P20),'8080 Op to Hex'!$A:$F,6,0)))))</f>
        <v>2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 t="s">
        <v>359</v>
      </c>
      <c r="Q21" s="156" t="s">
        <v>1028</v>
      </c>
      <c r="R21" s="98"/>
      <c r="S21" s="154">
        <f>IF(P21="",0,IF(OR(O21=";",P21="EQU",P21="ORG"),0,IF(P21="DS",HEX2DEC(Q21),IF(P21="DB",LEN(Q21)+1,VLOOKUP(TRIM(P21),'8080 Op to Hex'!$A:$F,6,0)))))</f>
        <v>3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0110</v>
      </c>
      <c r="N22" s="69">
        <f t="shared" si="15"/>
        <v>272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>L</v>
      </c>
      <c r="M23" s="38" t="str">
        <f t="shared" si="12"/>
        <v>0110</v>
      </c>
      <c r="N23" s="69">
        <f t="shared" si="15"/>
        <v>272</v>
      </c>
      <c r="O23" s="95" t="s">
        <v>1029</v>
      </c>
      <c r="P23" s="96" t="s">
        <v>188</v>
      </c>
      <c r="Q23" s="156" t="s">
        <v>153</v>
      </c>
      <c r="R23" s="98" t="s">
        <v>189</v>
      </c>
      <c r="S23" s="154">
        <f>IF(P23="",0,IF(OR(O23=";",P23="EQU",P23="ORG"),0,IF(P23="DS",HEX2DEC(Q23),IF(P23="DB",LEN(Q23)+1,VLOOKUP(TRIM(P23),'8080 Op to Hex'!$A:$F,6,0)))))</f>
        <v>1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0111</v>
      </c>
      <c r="N24" s="69">
        <f t="shared" si="15"/>
        <v>273</v>
      </c>
      <c r="O24" s="95"/>
      <c r="P24" s="96" t="s">
        <v>68</v>
      </c>
      <c r="Q24" s="156"/>
      <c r="R24" s="98"/>
      <c r="S24" s="154">
        <f>IF(P24="",0,IF(OR(O24=";",P24="EQU",P24="ORG"),0,IF(P24="DS",HEX2DEC(Q24),IF(P24="DB",LEN(Q24)+1,VLOOKUP(TRIM(P24),'8080 Op to Hex'!$A:$F,6,0)))))</f>
        <v>1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0112</v>
      </c>
      <c r="N25" s="69">
        <f t="shared" si="15"/>
        <v>274</v>
      </c>
      <c r="O25" s="95"/>
      <c r="P25" s="96" t="s">
        <v>879</v>
      </c>
      <c r="Q25" s="156" t="s">
        <v>147</v>
      </c>
      <c r="R25" s="98"/>
      <c r="S25" s="154">
        <f>IF(P25="",0,IF(OR(O25=";",P25="EQU",P25="ORG"),0,IF(P25="DS",HEX2DEC(Q25),IF(P25="DB",LEN(Q25)+1,VLOOKUP(TRIM(P25),'8080 Op to Hex'!$A:$F,6,0)))))</f>
        <v>2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0114</v>
      </c>
      <c r="N26" s="69">
        <f t="shared" si="15"/>
        <v>276</v>
      </c>
      <c r="O26" s="95"/>
      <c r="P26" s="96" t="s">
        <v>191</v>
      </c>
      <c r="Q26" s="156"/>
      <c r="R26" s="98"/>
      <c r="S26" s="154">
        <f>IF(P26="",0,IF(OR(O26=";",P26="EQU",P26="ORG"),0,IF(P26="DS",HEX2DEC(Q26),IF(P26="DB",LEN(Q26)+1,VLOOKUP(TRIM(P26),'8080 Op to Hex'!$A:$F,6,0)))))</f>
        <v>1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 t="shared" si="13"/>
        <v/>
      </c>
      <c r="M27" s="38" t="str">
        <f t="shared" si="12"/>
        <v>0115</v>
      </c>
      <c r="N27" s="69">
        <f t="shared" si="15"/>
        <v>277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0115</v>
      </c>
      <c r="N28" s="69">
        <f t="shared" si="15"/>
        <v>277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0115</v>
      </c>
      <c r="N30" s="69">
        <f t="shared" si="15"/>
        <v>277</v>
      </c>
      <c r="O30" s="95"/>
      <c r="P30" s="96"/>
      <c r="Q30" s="97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0115</v>
      </c>
      <c r="N31" s="69">
        <f t="shared" si="15"/>
        <v>277</v>
      </c>
      <c r="O31" s="95"/>
      <c r="P31" s="96"/>
      <c r="Q31" s="97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0115</v>
      </c>
      <c r="N32" s="69">
        <f t="shared" si="15"/>
        <v>277</v>
      </c>
      <c r="O32" s="95"/>
      <c r="P32" s="96"/>
      <c r="Q32" s="97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11:36">
      <c r="K33" s="85"/>
      <c r="L33" s="54" t="str">
        <f t="shared" si="13"/>
        <v/>
      </c>
      <c r="M33" s="38" t="str">
        <f t="shared" si="25"/>
        <v>0115</v>
      </c>
      <c r="N33" s="69">
        <f t="shared" si="15"/>
        <v>277</v>
      </c>
      <c r="O33" s="95"/>
      <c r="P33" s="96"/>
      <c r="Q33" s="97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11:36">
      <c r="K34" s="85"/>
      <c r="L34" s="54" t="str">
        <f t="shared" si="13"/>
        <v/>
      </c>
      <c r="M34" s="38" t="str">
        <f t="shared" si="25"/>
        <v>0115</v>
      </c>
      <c r="N34" s="69">
        <f t="shared" si="15"/>
        <v>277</v>
      </c>
      <c r="O34" s="95"/>
      <c r="P34" s="96"/>
      <c r="Q34" s="97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11:36">
      <c r="K35" s="85"/>
      <c r="L35" s="54" t="str">
        <f t="shared" si="13"/>
        <v/>
      </c>
      <c r="M35" s="38" t="str">
        <f t="shared" si="25"/>
        <v>0115</v>
      </c>
      <c r="N35" s="69">
        <f t="shared" si="15"/>
        <v>277</v>
      </c>
      <c r="O35" s="95"/>
      <c r="P35" s="96"/>
      <c r="Q35" s="97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11:36">
      <c r="K36" s="85"/>
      <c r="L36" s="54" t="str">
        <f t="shared" si="13"/>
        <v/>
      </c>
      <c r="M36" s="38" t="str">
        <f t="shared" si="25"/>
        <v>0115</v>
      </c>
      <c r="N36" s="69">
        <f t="shared" si="15"/>
        <v>277</v>
      </c>
      <c r="O36" s="95"/>
      <c r="P36" s="96"/>
      <c r="Q36" s="97"/>
      <c r="R36" s="150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11:36">
      <c r="K37" s="85"/>
      <c r="L37" s="54" t="str">
        <f t="shared" si="13"/>
        <v/>
      </c>
      <c r="M37" s="38" t="str">
        <f t="shared" si="25"/>
        <v>0115</v>
      </c>
      <c r="N37" s="69">
        <f t="shared" si="15"/>
        <v>277</v>
      </c>
      <c r="O37" s="95"/>
      <c r="P37" s="96"/>
      <c r="Q37" s="97"/>
      <c r="R37" s="150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11:36">
      <c r="K38" s="85"/>
      <c r="L38" s="54" t="str">
        <f t="shared" si="13"/>
        <v/>
      </c>
      <c r="M38" s="38" t="str">
        <f t="shared" si="25"/>
        <v>0115</v>
      </c>
      <c r="N38" s="69">
        <f t="shared" si="15"/>
        <v>277</v>
      </c>
      <c r="O38" s="95"/>
      <c r="P38" s="96"/>
      <c r="Q38" s="97"/>
      <c r="R38" s="150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11:36">
      <c r="K39" s="85"/>
      <c r="L39" s="54" t="str">
        <f t="shared" si="13"/>
        <v/>
      </c>
      <c r="M39" s="38" t="str">
        <f t="shared" si="25"/>
        <v>0115</v>
      </c>
      <c r="N39" s="69">
        <f t="shared" si="15"/>
        <v>277</v>
      </c>
      <c r="O39" s="95"/>
      <c r="P39" s="96"/>
      <c r="Q39" s="97"/>
      <c r="R39" s="150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11:36">
      <c r="K40" s="85"/>
      <c r="L40" s="54" t="str">
        <f t="shared" si="13"/>
        <v/>
      </c>
      <c r="M40" s="38" t="str">
        <f t="shared" si="25"/>
        <v>0115</v>
      </c>
      <c r="N40" s="69">
        <f t="shared" si="15"/>
        <v>277</v>
      </c>
      <c r="O40" s="95"/>
      <c r="P40" s="96"/>
      <c r="Q40" s="97"/>
      <c r="R40" s="150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11:36">
      <c r="K41" s="85"/>
      <c r="L41" s="54" t="str">
        <f t="shared" si="13"/>
        <v/>
      </c>
      <c r="M41" s="38" t="str">
        <f t="shared" si="25"/>
        <v>0115</v>
      </c>
      <c r="N41" s="69">
        <f t="shared" si="15"/>
        <v>277</v>
      </c>
      <c r="O41" s="95"/>
      <c r="P41" s="96"/>
      <c r="Q41" s="97"/>
      <c r="R41" s="150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11:36">
      <c r="K42" s="85"/>
      <c r="L42" s="54" t="str">
        <f t="shared" si="13"/>
        <v/>
      </c>
      <c r="M42" s="38" t="str">
        <f t="shared" si="25"/>
        <v>0115</v>
      </c>
      <c r="N42" s="69">
        <f t="shared" si="15"/>
        <v>277</v>
      </c>
      <c r="O42" s="95"/>
      <c r="P42" s="96"/>
      <c r="Q42" s="97"/>
      <c r="R42" s="150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11:36">
      <c r="K43" s="85"/>
      <c r="L43" s="54" t="str">
        <f t="shared" si="13"/>
        <v/>
      </c>
      <c r="M43" s="38" t="str">
        <f t="shared" si="25"/>
        <v>0115</v>
      </c>
      <c r="N43" s="69">
        <f t="shared" si="15"/>
        <v>277</v>
      </c>
      <c r="O43" s="95"/>
      <c r="P43" s="96"/>
      <c r="Q43" s="97"/>
      <c r="R43" s="150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11:36">
      <c r="K44" s="85"/>
      <c r="L44" s="54" t="str">
        <f t="shared" si="13"/>
        <v/>
      </c>
      <c r="M44" s="38" t="str">
        <f t="shared" si="25"/>
        <v>0115</v>
      </c>
      <c r="N44" s="69">
        <f t="shared" si="15"/>
        <v>277</v>
      </c>
      <c r="O44" s="95"/>
      <c r="P44" s="96"/>
      <c r="Q44" s="97"/>
      <c r="R44" s="150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11:36">
      <c r="K45" s="85"/>
      <c r="L45" s="54" t="str">
        <f t="shared" si="13"/>
        <v/>
      </c>
      <c r="M45" s="38" t="str">
        <f t="shared" si="25"/>
        <v>0115</v>
      </c>
      <c r="N45" s="69">
        <f t="shared" si="15"/>
        <v>277</v>
      </c>
      <c r="O45" s="95"/>
      <c r="P45" s="96"/>
      <c r="Q45" s="97"/>
      <c r="R45" s="150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11:36">
      <c r="K46" s="85"/>
      <c r="L46" s="54" t="str">
        <f t="shared" si="13"/>
        <v/>
      </c>
      <c r="M46" s="38" t="str">
        <f t="shared" si="25"/>
        <v>0115</v>
      </c>
      <c r="N46" s="69">
        <f t="shared" si="15"/>
        <v>277</v>
      </c>
      <c r="O46" s="95"/>
      <c r="P46" s="96"/>
      <c r="Q46" s="97"/>
      <c r="R46" s="150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11:36">
      <c r="K47" s="85"/>
      <c r="L47" s="54" t="str">
        <f t="shared" si="13"/>
        <v/>
      </c>
      <c r="M47" s="38" t="str">
        <f t="shared" si="25"/>
        <v>0115</v>
      </c>
      <c r="N47" s="69">
        <f t="shared" si="15"/>
        <v>277</v>
      </c>
      <c r="O47" s="95"/>
      <c r="P47" s="96"/>
      <c r="Q47" s="97"/>
      <c r="R47" s="150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11:36">
      <c r="K48" s="85"/>
      <c r="L48" s="54" t="str">
        <f t="shared" si="13"/>
        <v/>
      </c>
      <c r="M48" s="38" t="str">
        <f t="shared" si="25"/>
        <v>0115</v>
      </c>
      <c r="N48" s="69">
        <f t="shared" si="15"/>
        <v>277</v>
      </c>
      <c r="O48" s="95"/>
      <c r="P48" s="96"/>
      <c r="Q48" s="97"/>
      <c r="R48" s="150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0115</v>
      </c>
      <c r="N49" s="69">
        <f t="shared" si="15"/>
        <v>277</v>
      </c>
      <c r="O49" s="95"/>
      <c r="P49" s="96"/>
      <c r="Q49" s="97"/>
      <c r="R49" s="150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0115</v>
      </c>
      <c r="N50" s="69">
        <f t="shared" si="15"/>
        <v>277</v>
      </c>
      <c r="O50" s="95"/>
      <c r="P50" s="96"/>
      <c r="Q50" s="97"/>
      <c r="R50" s="150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0115</v>
      </c>
      <c r="N51" s="69">
        <f t="shared" si="15"/>
        <v>277</v>
      </c>
      <c r="O51" s="95"/>
      <c r="P51" s="96"/>
      <c r="Q51" s="97"/>
      <c r="R51" s="150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0115</v>
      </c>
      <c r="N52" s="69">
        <f t="shared" si="15"/>
        <v>277</v>
      </c>
      <c r="O52" s="95"/>
      <c r="P52" s="96"/>
      <c r="Q52" s="97"/>
      <c r="R52" s="150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0115</v>
      </c>
      <c r="N53" s="69">
        <f t="shared" si="15"/>
        <v>277</v>
      </c>
      <c r="O53" s="95"/>
      <c r="P53" s="96"/>
      <c r="Q53" s="97"/>
      <c r="R53" s="150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0115</v>
      </c>
      <c r="N54" s="69">
        <f t="shared" si="15"/>
        <v>277</v>
      </c>
      <c r="O54" s="95"/>
      <c r="P54" s="96"/>
      <c r="Q54" s="97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0115</v>
      </c>
      <c r="N55" s="69">
        <f t="shared" si="15"/>
        <v>277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0115</v>
      </c>
      <c r="N56" s="69">
        <f t="shared" si="15"/>
        <v>277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0115</v>
      </c>
      <c r="N57" s="69">
        <f t="shared" si="15"/>
        <v>277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0115</v>
      </c>
      <c r="N58" s="69">
        <f t="shared" si="15"/>
        <v>277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0115</v>
      </c>
      <c r="N59" s="69">
        <f t="shared" si="15"/>
        <v>277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0115</v>
      </c>
      <c r="N60" s="69">
        <f t="shared" si="15"/>
        <v>277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0115</v>
      </c>
      <c r="N61" s="69">
        <f t="shared" si="15"/>
        <v>277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0115</v>
      </c>
      <c r="N62" s="69">
        <f t="shared" si="15"/>
        <v>277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0115</v>
      </c>
      <c r="N63" s="69">
        <f t="shared" si="15"/>
        <v>277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0115</v>
      </c>
      <c r="N64" s="69">
        <f t="shared" si="15"/>
        <v>277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0115</v>
      </c>
      <c r="N65" s="69">
        <f t="shared" si="15"/>
        <v>277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0115</v>
      </c>
      <c r="N66" s="69">
        <f t="shared" si="15"/>
        <v>277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0115</v>
      </c>
      <c r="N67" s="69">
        <f t="shared" si="15"/>
        <v>277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0115</v>
      </c>
      <c r="N68" s="69">
        <f t="shared" si="15"/>
        <v>277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0115</v>
      </c>
      <c r="N69" s="69">
        <f t="shared" si="15"/>
        <v>277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0115</v>
      </c>
      <c r="N70" s="69">
        <f t="shared" si="15"/>
        <v>277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0115</v>
      </c>
      <c r="N71" s="69">
        <f t="shared" si="15"/>
        <v>277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0115</v>
      </c>
      <c r="N72" s="69">
        <f t="shared" si="15"/>
        <v>277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0115</v>
      </c>
      <c r="N73" s="69">
        <f t="shared" si="15"/>
        <v>277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0115</v>
      </c>
      <c r="N74" s="69">
        <f t="shared" ref="N74:N137" si="29">N73+S73</f>
        <v>277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0115</v>
      </c>
      <c r="N75" s="69">
        <f t="shared" si="29"/>
        <v>277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0115</v>
      </c>
      <c r="N76" s="69">
        <f t="shared" si="29"/>
        <v>277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0115</v>
      </c>
      <c r="N77" s="69">
        <f t="shared" si="29"/>
        <v>277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0115</v>
      </c>
      <c r="N78" s="69">
        <f t="shared" si="29"/>
        <v>277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0115</v>
      </c>
      <c r="N79" s="69">
        <f t="shared" si="29"/>
        <v>277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0115</v>
      </c>
      <c r="N80" s="69">
        <f t="shared" si="29"/>
        <v>277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0115</v>
      </c>
      <c r="N81" s="69">
        <f t="shared" si="29"/>
        <v>277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0115</v>
      </c>
      <c r="N82" s="69">
        <f t="shared" si="29"/>
        <v>277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0115</v>
      </c>
      <c r="N83" s="69">
        <f t="shared" si="29"/>
        <v>277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0115</v>
      </c>
      <c r="N84" s="69">
        <f t="shared" si="29"/>
        <v>277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0115</v>
      </c>
      <c r="N85" s="69">
        <f t="shared" si="29"/>
        <v>277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0115</v>
      </c>
      <c r="N86" s="69">
        <f t="shared" si="29"/>
        <v>277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0115</v>
      </c>
      <c r="N87" s="69">
        <f t="shared" si="29"/>
        <v>277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0115</v>
      </c>
      <c r="N88" s="69">
        <f t="shared" si="29"/>
        <v>277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0115</v>
      </c>
      <c r="N89" s="69">
        <f t="shared" si="29"/>
        <v>277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0115</v>
      </c>
      <c r="N90" s="69">
        <f t="shared" si="29"/>
        <v>277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0115</v>
      </c>
      <c r="N91" s="69">
        <f t="shared" si="29"/>
        <v>277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0115</v>
      </c>
      <c r="N92" s="69">
        <f t="shared" si="29"/>
        <v>277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0115</v>
      </c>
      <c r="N93" s="69">
        <f t="shared" si="29"/>
        <v>277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0115</v>
      </c>
      <c r="N94" s="69">
        <f t="shared" si="29"/>
        <v>277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0115</v>
      </c>
      <c r="N95" s="69">
        <f t="shared" si="29"/>
        <v>277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0115</v>
      </c>
      <c r="N96" s="69">
        <f t="shared" si="29"/>
        <v>277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0115</v>
      </c>
      <c r="N97" s="69">
        <f t="shared" si="29"/>
        <v>277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0115</v>
      </c>
      <c r="N98" s="69">
        <f t="shared" si="29"/>
        <v>277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0115</v>
      </c>
      <c r="N99" s="69">
        <f t="shared" si="29"/>
        <v>277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0115</v>
      </c>
      <c r="N100" s="69">
        <f t="shared" si="29"/>
        <v>277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0115</v>
      </c>
      <c r="N101" s="69">
        <f t="shared" si="29"/>
        <v>277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0115</v>
      </c>
      <c r="N102" s="69">
        <f t="shared" si="29"/>
        <v>277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0115</v>
      </c>
      <c r="N103" s="69">
        <f t="shared" si="29"/>
        <v>277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0115</v>
      </c>
      <c r="N104" s="69">
        <f t="shared" si="29"/>
        <v>277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0115</v>
      </c>
      <c r="N105" s="69">
        <f t="shared" si="29"/>
        <v>277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0115</v>
      </c>
      <c r="N106" s="69">
        <f t="shared" si="29"/>
        <v>277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0115</v>
      </c>
      <c r="N107" s="69">
        <f t="shared" si="29"/>
        <v>277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0115</v>
      </c>
      <c r="N108" s="69">
        <f t="shared" si="29"/>
        <v>277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0115</v>
      </c>
      <c r="N109" s="69">
        <f t="shared" si="29"/>
        <v>277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0115</v>
      </c>
      <c r="N110" s="69">
        <f t="shared" si="29"/>
        <v>277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0115</v>
      </c>
      <c r="N111" s="69">
        <f t="shared" si="29"/>
        <v>277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0115</v>
      </c>
      <c r="N112" s="69">
        <f t="shared" si="29"/>
        <v>277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0115</v>
      </c>
      <c r="N113" s="69">
        <f t="shared" si="29"/>
        <v>277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0115</v>
      </c>
      <c r="N114" s="69">
        <f t="shared" si="29"/>
        <v>277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0115</v>
      </c>
      <c r="N115" s="69">
        <f t="shared" si="29"/>
        <v>277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0115</v>
      </c>
      <c r="N116" s="69">
        <f t="shared" si="29"/>
        <v>277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0115</v>
      </c>
      <c r="N117" s="69">
        <f t="shared" si="29"/>
        <v>277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0115</v>
      </c>
      <c r="N118" s="69">
        <f t="shared" si="29"/>
        <v>277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0115</v>
      </c>
      <c r="N119" s="69">
        <f t="shared" si="29"/>
        <v>277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0115</v>
      </c>
      <c r="N120" s="69">
        <f t="shared" si="29"/>
        <v>277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0115</v>
      </c>
      <c r="N121" s="69">
        <f t="shared" si="29"/>
        <v>277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0115</v>
      </c>
      <c r="N122" s="69">
        <f t="shared" si="29"/>
        <v>277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0115</v>
      </c>
      <c r="N123" s="69">
        <f t="shared" si="29"/>
        <v>277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0115</v>
      </c>
      <c r="N124" s="69">
        <f t="shared" si="29"/>
        <v>277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0115</v>
      </c>
      <c r="N125" s="69">
        <f t="shared" si="29"/>
        <v>277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0115</v>
      </c>
      <c r="N126" s="69">
        <f t="shared" si="29"/>
        <v>277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0115</v>
      </c>
      <c r="N127" s="69">
        <f t="shared" si="29"/>
        <v>277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0115</v>
      </c>
      <c r="N128" s="69">
        <f t="shared" si="29"/>
        <v>277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0115</v>
      </c>
      <c r="N129" s="69">
        <f t="shared" si="29"/>
        <v>277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0115</v>
      </c>
      <c r="N130" s="69">
        <f t="shared" si="29"/>
        <v>277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0115</v>
      </c>
      <c r="N131" s="69">
        <f t="shared" si="29"/>
        <v>277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0115</v>
      </c>
      <c r="N132" s="69">
        <f t="shared" si="29"/>
        <v>277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0115</v>
      </c>
      <c r="N133" s="69">
        <f t="shared" si="29"/>
        <v>277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0115</v>
      </c>
      <c r="N134" s="69">
        <f t="shared" si="29"/>
        <v>277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0115</v>
      </c>
      <c r="N135" s="69">
        <f t="shared" si="29"/>
        <v>277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0115</v>
      </c>
      <c r="N136" s="69">
        <f t="shared" si="29"/>
        <v>277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0115</v>
      </c>
      <c r="N137" s="69">
        <f t="shared" si="29"/>
        <v>277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0115</v>
      </c>
      <c r="N138" s="69">
        <f t="shared" ref="N138:N201" si="33">N137+S137</f>
        <v>277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0115</v>
      </c>
      <c r="N139" s="69">
        <f t="shared" si="33"/>
        <v>277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0115</v>
      </c>
      <c r="N140" s="69">
        <f t="shared" si="33"/>
        <v>277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0115</v>
      </c>
      <c r="N141" s="69">
        <f t="shared" si="33"/>
        <v>277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0115</v>
      </c>
      <c r="N142" s="69">
        <f t="shared" si="33"/>
        <v>277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0115</v>
      </c>
      <c r="N143" s="69">
        <f t="shared" si="33"/>
        <v>277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0115</v>
      </c>
      <c r="N144" s="69">
        <f t="shared" si="33"/>
        <v>277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0115</v>
      </c>
      <c r="N145" s="69">
        <f t="shared" si="33"/>
        <v>277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0115</v>
      </c>
      <c r="N146" s="69">
        <f t="shared" si="33"/>
        <v>277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0115</v>
      </c>
      <c r="N147" s="69">
        <f t="shared" si="33"/>
        <v>277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0115</v>
      </c>
      <c r="N148" s="69">
        <f t="shared" si="33"/>
        <v>277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0115</v>
      </c>
      <c r="N149" s="69">
        <f t="shared" si="33"/>
        <v>277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0115</v>
      </c>
      <c r="N150" s="69">
        <f t="shared" si="33"/>
        <v>277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0115</v>
      </c>
      <c r="N151" s="69">
        <f t="shared" si="33"/>
        <v>277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0115</v>
      </c>
      <c r="N152" s="69">
        <f t="shared" si="33"/>
        <v>277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0115</v>
      </c>
      <c r="N153" s="69">
        <f t="shared" si="33"/>
        <v>277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0115</v>
      </c>
      <c r="N154" s="69">
        <f t="shared" si="33"/>
        <v>277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0115</v>
      </c>
      <c r="N155" s="69">
        <f t="shared" si="33"/>
        <v>277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0115</v>
      </c>
      <c r="N156" s="69">
        <f t="shared" si="33"/>
        <v>277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0115</v>
      </c>
      <c r="N157" s="69">
        <f t="shared" si="33"/>
        <v>277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0115</v>
      </c>
      <c r="N158" s="69">
        <f t="shared" si="33"/>
        <v>277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0115</v>
      </c>
      <c r="N159" s="69">
        <f t="shared" si="33"/>
        <v>277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0115</v>
      </c>
      <c r="N160" s="69">
        <f t="shared" si="33"/>
        <v>277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0115</v>
      </c>
      <c r="N161" s="69">
        <f t="shared" si="33"/>
        <v>277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0115</v>
      </c>
      <c r="N162" s="69">
        <f t="shared" si="33"/>
        <v>277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0115</v>
      </c>
      <c r="N163" s="69">
        <f t="shared" si="33"/>
        <v>277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0115</v>
      </c>
      <c r="N164" s="69">
        <f t="shared" si="33"/>
        <v>277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0115</v>
      </c>
      <c r="N165" s="69">
        <f t="shared" si="33"/>
        <v>277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0115</v>
      </c>
      <c r="N166" s="69">
        <f t="shared" si="33"/>
        <v>277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0115</v>
      </c>
      <c r="N167" s="69">
        <f t="shared" si="33"/>
        <v>277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0115</v>
      </c>
      <c r="N168" s="69">
        <f t="shared" si="33"/>
        <v>277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0115</v>
      </c>
      <c r="N169" s="69">
        <f t="shared" si="33"/>
        <v>277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0115</v>
      </c>
      <c r="N170" s="69">
        <f t="shared" si="33"/>
        <v>277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0115</v>
      </c>
      <c r="N171" s="69">
        <f t="shared" si="33"/>
        <v>277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0115</v>
      </c>
      <c r="N172" s="69">
        <f t="shared" si="33"/>
        <v>277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0115</v>
      </c>
      <c r="N173" s="69">
        <f t="shared" si="33"/>
        <v>277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0115</v>
      </c>
      <c r="N174" s="69">
        <f t="shared" si="33"/>
        <v>277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0115</v>
      </c>
      <c r="N175" s="69">
        <f t="shared" si="33"/>
        <v>277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0115</v>
      </c>
      <c r="N176" s="69">
        <f t="shared" si="33"/>
        <v>277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0115</v>
      </c>
      <c r="N177" s="69">
        <f t="shared" si="33"/>
        <v>277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0115</v>
      </c>
      <c r="N178" s="69">
        <f t="shared" si="33"/>
        <v>277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0115</v>
      </c>
      <c r="N179" s="69">
        <f t="shared" si="33"/>
        <v>277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0115</v>
      </c>
      <c r="N180" s="69">
        <f t="shared" si="33"/>
        <v>277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0115</v>
      </c>
      <c r="N181" s="69">
        <f t="shared" si="33"/>
        <v>277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0115</v>
      </c>
      <c r="N182" s="69">
        <f t="shared" si="33"/>
        <v>277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0115</v>
      </c>
      <c r="N183" s="69">
        <f t="shared" si="33"/>
        <v>277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0115</v>
      </c>
      <c r="N184" s="69">
        <f t="shared" si="33"/>
        <v>277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0115</v>
      </c>
      <c r="N185" s="69">
        <f t="shared" si="33"/>
        <v>277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0115</v>
      </c>
      <c r="N186" s="69">
        <f t="shared" si="33"/>
        <v>277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0115</v>
      </c>
      <c r="N187" s="69">
        <f t="shared" si="33"/>
        <v>277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0115</v>
      </c>
      <c r="N188" s="69">
        <f t="shared" si="33"/>
        <v>277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0115</v>
      </c>
      <c r="N189" s="69">
        <f t="shared" si="33"/>
        <v>277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0115</v>
      </c>
      <c r="N190" s="69">
        <f t="shared" si="33"/>
        <v>277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0115</v>
      </c>
      <c r="N191" s="69">
        <f t="shared" si="33"/>
        <v>277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0115</v>
      </c>
      <c r="N192" s="69">
        <f t="shared" si="33"/>
        <v>277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0115</v>
      </c>
      <c r="N193" s="69">
        <f t="shared" si="33"/>
        <v>277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0115</v>
      </c>
      <c r="N194" s="69">
        <f t="shared" si="33"/>
        <v>277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0115</v>
      </c>
      <c r="N195" s="69">
        <f t="shared" si="33"/>
        <v>277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0115</v>
      </c>
      <c r="N196" s="69">
        <f t="shared" si="33"/>
        <v>277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0115</v>
      </c>
      <c r="N197" s="69">
        <f t="shared" si="33"/>
        <v>277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0115</v>
      </c>
      <c r="N198" s="69">
        <f t="shared" si="33"/>
        <v>277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0115</v>
      </c>
      <c r="N199" s="69">
        <f t="shared" si="33"/>
        <v>277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0115</v>
      </c>
      <c r="N200" s="69">
        <f t="shared" si="33"/>
        <v>277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0115</v>
      </c>
      <c r="N201" s="69">
        <f t="shared" si="33"/>
        <v>277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0115</v>
      </c>
      <c r="N202" s="69">
        <f t="shared" ref="N202:N265" si="37">N201+S201</f>
        <v>277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0115</v>
      </c>
      <c r="N203" s="69">
        <f t="shared" si="37"/>
        <v>277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0115</v>
      </c>
      <c r="N204" s="69">
        <f t="shared" si="37"/>
        <v>277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0115</v>
      </c>
      <c r="N205" s="69">
        <f t="shared" si="37"/>
        <v>277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0115</v>
      </c>
      <c r="N206" s="69">
        <f t="shared" si="37"/>
        <v>277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0115</v>
      </c>
      <c r="N207" s="69">
        <f t="shared" si="37"/>
        <v>277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0115</v>
      </c>
      <c r="N208" s="69">
        <f t="shared" si="37"/>
        <v>277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0115</v>
      </c>
      <c r="N209" s="69">
        <f t="shared" si="37"/>
        <v>277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0115</v>
      </c>
      <c r="N210" s="69">
        <f t="shared" si="37"/>
        <v>277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0115</v>
      </c>
      <c r="N211" s="69">
        <f t="shared" si="37"/>
        <v>277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0115</v>
      </c>
      <c r="N212" s="69">
        <f t="shared" si="37"/>
        <v>277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0115</v>
      </c>
      <c r="N213" s="69">
        <f t="shared" si="37"/>
        <v>277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0115</v>
      </c>
      <c r="N214" s="69">
        <f t="shared" si="37"/>
        <v>277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0115</v>
      </c>
      <c r="N215" s="69">
        <f t="shared" si="37"/>
        <v>277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0115</v>
      </c>
      <c r="N216" s="69">
        <f t="shared" si="37"/>
        <v>277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0115</v>
      </c>
      <c r="N217" s="69">
        <f t="shared" si="37"/>
        <v>277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0115</v>
      </c>
      <c r="N218" s="69">
        <f t="shared" si="37"/>
        <v>277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0115</v>
      </c>
      <c r="N219" s="69">
        <f t="shared" si="37"/>
        <v>277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0115</v>
      </c>
      <c r="N220" s="69">
        <f t="shared" si="37"/>
        <v>277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0115</v>
      </c>
      <c r="N221" s="69">
        <f t="shared" si="37"/>
        <v>277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0115</v>
      </c>
      <c r="N222" s="69">
        <f t="shared" si="37"/>
        <v>277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0115</v>
      </c>
      <c r="N223" s="69">
        <f t="shared" si="37"/>
        <v>277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0115</v>
      </c>
      <c r="N224" s="69">
        <f t="shared" si="37"/>
        <v>277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0115</v>
      </c>
      <c r="N225" s="69">
        <f t="shared" si="37"/>
        <v>277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0115</v>
      </c>
      <c r="N226" s="69">
        <f t="shared" si="37"/>
        <v>277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0115</v>
      </c>
      <c r="N227" s="69">
        <f t="shared" si="37"/>
        <v>277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0115</v>
      </c>
      <c r="N228" s="69">
        <f t="shared" si="37"/>
        <v>277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0115</v>
      </c>
      <c r="N229" s="69">
        <f t="shared" si="37"/>
        <v>277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0115</v>
      </c>
      <c r="N230" s="69">
        <f t="shared" si="37"/>
        <v>277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0115</v>
      </c>
      <c r="N231" s="69">
        <f t="shared" si="37"/>
        <v>277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0115</v>
      </c>
      <c r="N232" s="69">
        <f t="shared" si="37"/>
        <v>277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0115</v>
      </c>
      <c r="N233" s="69">
        <f t="shared" si="37"/>
        <v>277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0115</v>
      </c>
      <c r="N234" s="69">
        <f t="shared" si="37"/>
        <v>277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0115</v>
      </c>
      <c r="N235" s="69">
        <f t="shared" si="37"/>
        <v>277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0115</v>
      </c>
      <c r="N236" s="69">
        <f t="shared" si="37"/>
        <v>277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0115</v>
      </c>
      <c r="N237" s="69">
        <f t="shared" si="37"/>
        <v>277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0115</v>
      </c>
      <c r="N238" s="69">
        <f t="shared" si="37"/>
        <v>277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0115</v>
      </c>
      <c r="N239" s="69">
        <f t="shared" si="37"/>
        <v>277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0115</v>
      </c>
      <c r="N240" s="69">
        <f t="shared" si="37"/>
        <v>277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0115</v>
      </c>
      <c r="N241" s="69">
        <f t="shared" si="37"/>
        <v>277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0115</v>
      </c>
      <c r="N242" s="69">
        <f t="shared" si="37"/>
        <v>277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0115</v>
      </c>
      <c r="N243" s="69">
        <f t="shared" si="37"/>
        <v>277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0115</v>
      </c>
      <c r="N244" s="69">
        <f t="shared" si="37"/>
        <v>277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0115</v>
      </c>
      <c r="N245" s="69">
        <f t="shared" si="37"/>
        <v>277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0115</v>
      </c>
      <c r="N246" s="69">
        <f t="shared" si="37"/>
        <v>277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0115</v>
      </c>
      <c r="N247" s="69">
        <f t="shared" si="37"/>
        <v>277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0115</v>
      </c>
      <c r="N248" s="69">
        <f t="shared" si="37"/>
        <v>277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0115</v>
      </c>
      <c r="N249" s="69">
        <f t="shared" si="37"/>
        <v>277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0115</v>
      </c>
      <c r="N250" s="69">
        <f t="shared" si="37"/>
        <v>277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0115</v>
      </c>
      <c r="N251" s="69">
        <f t="shared" si="37"/>
        <v>277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0115</v>
      </c>
      <c r="N252" s="69">
        <f t="shared" si="37"/>
        <v>277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0115</v>
      </c>
      <c r="N253" s="69">
        <f t="shared" si="37"/>
        <v>277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0115</v>
      </c>
      <c r="N254" s="69">
        <f t="shared" si="37"/>
        <v>277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0115</v>
      </c>
      <c r="N255" s="69">
        <f t="shared" si="37"/>
        <v>277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0115</v>
      </c>
      <c r="N256" s="69">
        <f t="shared" si="37"/>
        <v>277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0115</v>
      </c>
      <c r="N257" s="69">
        <f t="shared" si="37"/>
        <v>277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0115</v>
      </c>
      <c r="N258" s="69">
        <f t="shared" si="37"/>
        <v>277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0115</v>
      </c>
      <c r="N259" s="69">
        <f t="shared" si="37"/>
        <v>277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0115</v>
      </c>
      <c r="N260" s="69">
        <f t="shared" si="37"/>
        <v>277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0115</v>
      </c>
      <c r="N261" s="69">
        <f t="shared" si="37"/>
        <v>277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0115</v>
      </c>
      <c r="N262" s="69">
        <f t="shared" si="37"/>
        <v>277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0115</v>
      </c>
      <c r="N263" s="69">
        <f t="shared" si="37"/>
        <v>277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0115</v>
      </c>
      <c r="N264" s="69">
        <f t="shared" si="37"/>
        <v>277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0115</v>
      </c>
      <c r="N265" s="69">
        <f t="shared" si="37"/>
        <v>277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0115</v>
      </c>
      <c r="N266" s="69">
        <f t="shared" ref="N266:N329" si="41">N265+S265</f>
        <v>277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0115</v>
      </c>
      <c r="N267" s="69">
        <f t="shared" si="41"/>
        <v>277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0115</v>
      </c>
      <c r="N268" s="69">
        <f t="shared" si="41"/>
        <v>277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0115</v>
      </c>
      <c r="N269" s="69">
        <f t="shared" si="41"/>
        <v>277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0115</v>
      </c>
      <c r="N270" s="69">
        <f t="shared" si="41"/>
        <v>277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0115</v>
      </c>
      <c r="N271" s="69">
        <f t="shared" si="41"/>
        <v>277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0115</v>
      </c>
      <c r="N272" s="69">
        <f t="shared" si="41"/>
        <v>277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0115</v>
      </c>
      <c r="N273" s="69">
        <f t="shared" si="41"/>
        <v>277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0115</v>
      </c>
      <c r="N274" s="69">
        <f t="shared" si="41"/>
        <v>277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0115</v>
      </c>
      <c r="N275" s="69">
        <f t="shared" si="41"/>
        <v>277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0115</v>
      </c>
      <c r="N276" s="69">
        <f t="shared" si="41"/>
        <v>277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0115</v>
      </c>
      <c r="N277" s="69">
        <f t="shared" si="41"/>
        <v>277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0115</v>
      </c>
      <c r="N278" s="69">
        <f t="shared" si="41"/>
        <v>277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0115</v>
      </c>
      <c r="N279" s="69">
        <f t="shared" si="41"/>
        <v>277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0115</v>
      </c>
      <c r="N280" s="69">
        <f t="shared" si="41"/>
        <v>277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0115</v>
      </c>
      <c r="N281" s="69">
        <f t="shared" si="41"/>
        <v>277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0115</v>
      </c>
      <c r="N282" s="69">
        <f t="shared" si="41"/>
        <v>277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0115</v>
      </c>
      <c r="N283" s="69">
        <f t="shared" si="41"/>
        <v>277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0115</v>
      </c>
      <c r="N284" s="69">
        <f t="shared" si="41"/>
        <v>277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0115</v>
      </c>
      <c r="N285" s="69">
        <f t="shared" si="41"/>
        <v>277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0115</v>
      </c>
      <c r="N286" s="69">
        <f t="shared" si="41"/>
        <v>277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0115</v>
      </c>
      <c r="N287" s="69">
        <f t="shared" si="41"/>
        <v>277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0115</v>
      </c>
      <c r="N288" s="69">
        <f t="shared" si="41"/>
        <v>277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0115</v>
      </c>
      <c r="N289" s="69">
        <f t="shared" si="41"/>
        <v>277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0115</v>
      </c>
      <c r="N290" s="69">
        <f t="shared" si="41"/>
        <v>277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0115</v>
      </c>
      <c r="N291" s="69">
        <f t="shared" si="41"/>
        <v>277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0115</v>
      </c>
      <c r="N292" s="69">
        <f t="shared" si="41"/>
        <v>277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0115</v>
      </c>
      <c r="N293" s="69">
        <f t="shared" si="41"/>
        <v>277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0115</v>
      </c>
      <c r="N294" s="69">
        <f t="shared" si="41"/>
        <v>277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0115</v>
      </c>
      <c r="N295" s="69">
        <f t="shared" si="41"/>
        <v>277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0115</v>
      </c>
      <c r="N296" s="69">
        <f t="shared" si="41"/>
        <v>277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0115</v>
      </c>
      <c r="N297" s="69">
        <f t="shared" si="41"/>
        <v>277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0115</v>
      </c>
      <c r="N298" s="69">
        <f t="shared" si="41"/>
        <v>277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0115</v>
      </c>
      <c r="N299" s="69">
        <f t="shared" si="41"/>
        <v>277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0115</v>
      </c>
      <c r="N300" s="69">
        <f t="shared" si="41"/>
        <v>277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0115</v>
      </c>
      <c r="N301" s="69">
        <f t="shared" si="41"/>
        <v>277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0115</v>
      </c>
      <c r="N302" s="69">
        <f t="shared" si="41"/>
        <v>277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0115</v>
      </c>
      <c r="N303" s="69">
        <f t="shared" si="41"/>
        <v>277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0115</v>
      </c>
      <c r="N304" s="69">
        <f t="shared" si="41"/>
        <v>277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0115</v>
      </c>
      <c r="N305" s="69">
        <f t="shared" si="41"/>
        <v>277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0115</v>
      </c>
      <c r="N306" s="69">
        <f t="shared" si="41"/>
        <v>277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0115</v>
      </c>
      <c r="N307" s="69">
        <f t="shared" si="41"/>
        <v>277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0115</v>
      </c>
      <c r="N308" s="69">
        <f t="shared" si="41"/>
        <v>277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0115</v>
      </c>
      <c r="N309" s="69">
        <f t="shared" si="41"/>
        <v>277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0115</v>
      </c>
      <c r="N310" s="69">
        <f t="shared" si="41"/>
        <v>277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0115</v>
      </c>
      <c r="N311" s="69">
        <f t="shared" si="41"/>
        <v>277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0115</v>
      </c>
      <c r="N312" s="69">
        <f t="shared" si="41"/>
        <v>277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0115</v>
      </c>
      <c r="N313" s="69">
        <f t="shared" si="41"/>
        <v>277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0115</v>
      </c>
      <c r="N314" s="69">
        <f t="shared" si="41"/>
        <v>277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0115</v>
      </c>
      <c r="N315" s="69">
        <f t="shared" si="41"/>
        <v>277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0115</v>
      </c>
      <c r="N316" s="69">
        <f t="shared" si="41"/>
        <v>277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0115</v>
      </c>
      <c r="N317" s="69">
        <f t="shared" si="41"/>
        <v>277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0115</v>
      </c>
      <c r="N318" s="69">
        <f t="shared" si="41"/>
        <v>277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0115</v>
      </c>
      <c r="N319" s="69">
        <f t="shared" si="41"/>
        <v>277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0115</v>
      </c>
      <c r="N320" s="69">
        <f t="shared" si="41"/>
        <v>277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0115</v>
      </c>
      <c r="N321" s="69">
        <f t="shared" si="41"/>
        <v>277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0115</v>
      </c>
      <c r="N322" s="69">
        <f t="shared" si="41"/>
        <v>277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0115</v>
      </c>
      <c r="N323" s="69">
        <f t="shared" si="41"/>
        <v>277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0115</v>
      </c>
      <c r="N324" s="69">
        <f t="shared" si="41"/>
        <v>277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0115</v>
      </c>
      <c r="N325" s="69">
        <f t="shared" si="41"/>
        <v>277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0115</v>
      </c>
      <c r="N326" s="69">
        <f t="shared" si="41"/>
        <v>277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0115</v>
      </c>
      <c r="N327" s="69">
        <f t="shared" si="41"/>
        <v>277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0115</v>
      </c>
      <c r="N328" s="69">
        <f t="shared" si="41"/>
        <v>277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0115</v>
      </c>
      <c r="N329" s="69">
        <f t="shared" si="41"/>
        <v>277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0115</v>
      </c>
      <c r="N330" s="69">
        <f t="shared" ref="N330:N393" si="45">N329+S329</f>
        <v>277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0115</v>
      </c>
      <c r="N331" s="69">
        <f t="shared" si="45"/>
        <v>277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0115</v>
      </c>
      <c r="N332" s="69">
        <f t="shared" si="45"/>
        <v>277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0115</v>
      </c>
      <c r="N333" s="69">
        <f t="shared" si="45"/>
        <v>277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0115</v>
      </c>
      <c r="N334" s="69">
        <f t="shared" si="45"/>
        <v>277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0115</v>
      </c>
      <c r="N335" s="69">
        <f t="shared" si="45"/>
        <v>277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0115</v>
      </c>
      <c r="N336" s="69">
        <f t="shared" si="45"/>
        <v>277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0115</v>
      </c>
      <c r="N337" s="69">
        <f t="shared" si="45"/>
        <v>277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0115</v>
      </c>
      <c r="N338" s="69">
        <f t="shared" si="45"/>
        <v>277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0115</v>
      </c>
      <c r="N339" s="69">
        <f t="shared" si="45"/>
        <v>277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0115</v>
      </c>
      <c r="N340" s="69">
        <f t="shared" si="45"/>
        <v>277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0115</v>
      </c>
      <c r="N341" s="69">
        <f t="shared" si="45"/>
        <v>277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0115</v>
      </c>
      <c r="N342" s="69">
        <f t="shared" si="45"/>
        <v>277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0115</v>
      </c>
      <c r="N343" s="69">
        <f t="shared" si="45"/>
        <v>277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0115</v>
      </c>
      <c r="N344" s="69">
        <f t="shared" si="45"/>
        <v>277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0115</v>
      </c>
      <c r="N345" s="69">
        <f t="shared" si="45"/>
        <v>277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0115</v>
      </c>
      <c r="N346" s="69">
        <f t="shared" si="45"/>
        <v>277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0115</v>
      </c>
      <c r="N347" s="69">
        <f t="shared" si="45"/>
        <v>277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0115</v>
      </c>
      <c r="N348" s="69">
        <f t="shared" si="45"/>
        <v>277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0115</v>
      </c>
      <c r="N349" s="69">
        <f t="shared" si="45"/>
        <v>277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0115</v>
      </c>
      <c r="N350" s="69">
        <f t="shared" si="45"/>
        <v>277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0115</v>
      </c>
      <c r="N351" s="69">
        <f t="shared" si="45"/>
        <v>277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0115</v>
      </c>
      <c r="N352" s="69">
        <f t="shared" si="45"/>
        <v>277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0115</v>
      </c>
      <c r="N353" s="69">
        <f t="shared" si="45"/>
        <v>277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0115</v>
      </c>
      <c r="N354" s="69">
        <f t="shared" si="45"/>
        <v>277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0115</v>
      </c>
      <c r="N355" s="69">
        <f t="shared" si="45"/>
        <v>277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0115</v>
      </c>
      <c r="N356" s="69">
        <f t="shared" si="45"/>
        <v>277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0115</v>
      </c>
      <c r="N357" s="69">
        <f t="shared" si="45"/>
        <v>277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0115</v>
      </c>
      <c r="N358" s="69">
        <f t="shared" si="45"/>
        <v>277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0115</v>
      </c>
      <c r="N359" s="69">
        <f t="shared" si="45"/>
        <v>277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0115</v>
      </c>
      <c r="N360" s="69">
        <f t="shared" si="45"/>
        <v>277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0115</v>
      </c>
      <c r="N361" s="69">
        <f t="shared" si="45"/>
        <v>277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0115</v>
      </c>
      <c r="N362" s="69">
        <f t="shared" si="45"/>
        <v>277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0115</v>
      </c>
      <c r="N363" s="69">
        <f t="shared" si="45"/>
        <v>277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0115</v>
      </c>
      <c r="N364" s="69">
        <f t="shared" si="45"/>
        <v>277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0115</v>
      </c>
      <c r="N365" s="69">
        <f t="shared" si="45"/>
        <v>277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0115</v>
      </c>
      <c r="N366" s="69">
        <f t="shared" si="45"/>
        <v>277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0115</v>
      </c>
      <c r="N367" s="69">
        <f t="shared" si="45"/>
        <v>277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0115</v>
      </c>
      <c r="N368" s="69">
        <f t="shared" si="45"/>
        <v>277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0115</v>
      </c>
      <c r="N369" s="69">
        <f t="shared" si="45"/>
        <v>277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0115</v>
      </c>
      <c r="N370" s="69">
        <f t="shared" si="45"/>
        <v>277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0115</v>
      </c>
      <c r="N371" s="69">
        <f t="shared" si="45"/>
        <v>277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0115</v>
      </c>
      <c r="N372" s="69">
        <f t="shared" si="45"/>
        <v>277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0115</v>
      </c>
      <c r="N373" s="69">
        <f t="shared" si="45"/>
        <v>277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0115</v>
      </c>
      <c r="N374" s="69">
        <f t="shared" si="45"/>
        <v>277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0115</v>
      </c>
      <c r="N375" s="69">
        <f t="shared" si="45"/>
        <v>277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0115</v>
      </c>
      <c r="N376" s="69">
        <f t="shared" si="45"/>
        <v>277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0115</v>
      </c>
      <c r="N377" s="69">
        <f t="shared" si="45"/>
        <v>277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0115</v>
      </c>
      <c r="N378" s="69">
        <f t="shared" si="45"/>
        <v>277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0115</v>
      </c>
      <c r="N379" s="69">
        <f t="shared" si="45"/>
        <v>277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0115</v>
      </c>
      <c r="N380" s="69">
        <f t="shared" si="45"/>
        <v>277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0115</v>
      </c>
      <c r="N381" s="69">
        <f t="shared" si="45"/>
        <v>277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0115</v>
      </c>
      <c r="N382" s="69">
        <f t="shared" si="45"/>
        <v>277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0115</v>
      </c>
      <c r="N383" s="69">
        <f t="shared" si="45"/>
        <v>277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0115</v>
      </c>
      <c r="N384" s="69">
        <f t="shared" si="45"/>
        <v>277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0115</v>
      </c>
      <c r="N385" s="69">
        <f t="shared" si="45"/>
        <v>277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0115</v>
      </c>
      <c r="N386" s="69">
        <f t="shared" si="45"/>
        <v>277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0115</v>
      </c>
      <c r="N387" s="69">
        <f t="shared" si="45"/>
        <v>277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0115</v>
      </c>
      <c r="N388" s="69">
        <f t="shared" si="45"/>
        <v>277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0115</v>
      </c>
      <c r="N389" s="69">
        <f t="shared" si="45"/>
        <v>277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0115</v>
      </c>
      <c r="N390" s="69">
        <f t="shared" si="45"/>
        <v>277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0115</v>
      </c>
      <c r="N391" s="69">
        <f t="shared" si="45"/>
        <v>277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0115</v>
      </c>
      <c r="N392" s="69">
        <f t="shared" si="45"/>
        <v>277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0115</v>
      </c>
      <c r="N393" s="69">
        <f t="shared" si="45"/>
        <v>277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0115</v>
      </c>
      <c r="N394" s="69">
        <f t="shared" ref="N394:N457" si="49">N393+S393</f>
        <v>277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0115</v>
      </c>
      <c r="N395" s="69">
        <f t="shared" si="49"/>
        <v>277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0115</v>
      </c>
      <c r="N396" s="69">
        <f t="shared" si="49"/>
        <v>277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0115</v>
      </c>
      <c r="N397" s="69">
        <f t="shared" si="49"/>
        <v>277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0115</v>
      </c>
      <c r="N398" s="69">
        <f t="shared" si="49"/>
        <v>277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0115</v>
      </c>
      <c r="N399" s="69">
        <f t="shared" si="49"/>
        <v>277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0115</v>
      </c>
      <c r="N400" s="69">
        <f t="shared" si="49"/>
        <v>277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0115</v>
      </c>
      <c r="N401" s="69">
        <f t="shared" si="49"/>
        <v>277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0115</v>
      </c>
      <c r="N402" s="69">
        <f t="shared" si="49"/>
        <v>277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0115</v>
      </c>
      <c r="N403" s="69">
        <f t="shared" si="49"/>
        <v>277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0115</v>
      </c>
      <c r="N404" s="69">
        <f t="shared" si="49"/>
        <v>277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0115</v>
      </c>
      <c r="N405" s="69">
        <f t="shared" si="49"/>
        <v>277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0115</v>
      </c>
      <c r="N406" s="69">
        <f t="shared" si="49"/>
        <v>277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0115</v>
      </c>
      <c r="N407" s="69">
        <f t="shared" si="49"/>
        <v>277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0115</v>
      </c>
      <c r="N408" s="69">
        <f t="shared" si="49"/>
        <v>277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0115</v>
      </c>
      <c r="N409" s="69">
        <f t="shared" si="49"/>
        <v>277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0115</v>
      </c>
      <c r="N410" s="69">
        <f t="shared" si="49"/>
        <v>277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0115</v>
      </c>
      <c r="N411" s="69">
        <f t="shared" si="49"/>
        <v>277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0115</v>
      </c>
      <c r="N412" s="69">
        <f t="shared" si="49"/>
        <v>277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0115</v>
      </c>
      <c r="N413" s="69">
        <f t="shared" si="49"/>
        <v>277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0115</v>
      </c>
      <c r="N414" s="69">
        <f t="shared" si="49"/>
        <v>277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0115</v>
      </c>
      <c r="N415" s="69">
        <f t="shared" si="49"/>
        <v>277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0115</v>
      </c>
      <c r="N416" s="69">
        <f t="shared" si="49"/>
        <v>277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0115</v>
      </c>
      <c r="N417" s="69">
        <f t="shared" si="49"/>
        <v>277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0115</v>
      </c>
      <c r="N418" s="69">
        <f t="shared" si="49"/>
        <v>277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0115</v>
      </c>
      <c r="N419" s="69">
        <f t="shared" si="49"/>
        <v>277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0115</v>
      </c>
      <c r="N420" s="69">
        <f t="shared" si="49"/>
        <v>277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0115</v>
      </c>
      <c r="N421" s="69">
        <f t="shared" si="49"/>
        <v>277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0115</v>
      </c>
      <c r="N422" s="69">
        <f t="shared" si="49"/>
        <v>277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0115</v>
      </c>
      <c r="N423" s="69">
        <f t="shared" si="49"/>
        <v>277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0115</v>
      </c>
      <c r="N424" s="69">
        <f t="shared" si="49"/>
        <v>277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0115</v>
      </c>
      <c r="N425" s="69">
        <f t="shared" si="49"/>
        <v>277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0115</v>
      </c>
      <c r="N426" s="69">
        <f t="shared" si="49"/>
        <v>277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0115</v>
      </c>
      <c r="N427" s="69">
        <f t="shared" si="49"/>
        <v>277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0115</v>
      </c>
      <c r="N428" s="69">
        <f t="shared" si="49"/>
        <v>277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0115</v>
      </c>
      <c r="N429" s="69">
        <f t="shared" si="49"/>
        <v>277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0115</v>
      </c>
      <c r="N430" s="69">
        <f t="shared" si="49"/>
        <v>277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0115</v>
      </c>
      <c r="N431" s="69">
        <f t="shared" si="49"/>
        <v>277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0115</v>
      </c>
      <c r="N432" s="69">
        <f t="shared" si="49"/>
        <v>277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0115</v>
      </c>
      <c r="N433" s="69">
        <f t="shared" si="49"/>
        <v>277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0115</v>
      </c>
      <c r="N434" s="69">
        <f t="shared" si="49"/>
        <v>277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0115</v>
      </c>
      <c r="N435" s="69">
        <f t="shared" si="49"/>
        <v>277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0115</v>
      </c>
      <c r="N436" s="69">
        <f t="shared" si="49"/>
        <v>277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0115</v>
      </c>
      <c r="N437" s="69">
        <f t="shared" si="49"/>
        <v>277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0115</v>
      </c>
      <c r="N438" s="69">
        <f t="shared" si="49"/>
        <v>277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0115</v>
      </c>
      <c r="N439" s="69">
        <f t="shared" si="49"/>
        <v>277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0115</v>
      </c>
      <c r="N440" s="69">
        <f t="shared" si="49"/>
        <v>277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0115</v>
      </c>
      <c r="N441" s="69">
        <f t="shared" si="49"/>
        <v>277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0115</v>
      </c>
      <c r="N442" s="69">
        <f t="shared" si="49"/>
        <v>277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0115</v>
      </c>
      <c r="N443" s="69">
        <f t="shared" si="49"/>
        <v>277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0115</v>
      </c>
      <c r="N444" s="69">
        <f t="shared" si="49"/>
        <v>277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0115</v>
      </c>
      <c r="N445" s="69">
        <f t="shared" si="49"/>
        <v>277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0115</v>
      </c>
      <c r="N446" s="69">
        <f t="shared" si="49"/>
        <v>277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0115</v>
      </c>
      <c r="N447" s="69">
        <f t="shared" si="49"/>
        <v>277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0115</v>
      </c>
      <c r="N448" s="69">
        <f t="shared" si="49"/>
        <v>277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0115</v>
      </c>
      <c r="N449" s="69">
        <f t="shared" si="49"/>
        <v>277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0115</v>
      </c>
      <c r="N450" s="69">
        <f t="shared" si="49"/>
        <v>277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0115</v>
      </c>
      <c r="N451" s="69">
        <f t="shared" si="49"/>
        <v>277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0115</v>
      </c>
      <c r="N452" s="69">
        <f t="shared" si="49"/>
        <v>277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0115</v>
      </c>
      <c r="N453" s="69">
        <f t="shared" si="49"/>
        <v>277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0115</v>
      </c>
      <c r="N454" s="69">
        <f t="shared" si="49"/>
        <v>277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0115</v>
      </c>
      <c r="N455" s="69">
        <f t="shared" si="49"/>
        <v>277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0115</v>
      </c>
      <c r="N456" s="69">
        <f t="shared" si="49"/>
        <v>277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0115</v>
      </c>
      <c r="N457" s="69">
        <f t="shared" si="49"/>
        <v>277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0115</v>
      </c>
      <c r="N458" s="69">
        <f t="shared" ref="N458:N521" si="53">N457+S457</f>
        <v>277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0115</v>
      </c>
      <c r="N459" s="69">
        <f t="shared" si="53"/>
        <v>277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0115</v>
      </c>
      <c r="N460" s="69">
        <f t="shared" si="53"/>
        <v>277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0115</v>
      </c>
      <c r="N461" s="69">
        <f t="shared" si="53"/>
        <v>277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0115</v>
      </c>
      <c r="N462" s="69">
        <f t="shared" si="53"/>
        <v>277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0115</v>
      </c>
      <c r="N463" s="69">
        <f t="shared" si="53"/>
        <v>277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0115</v>
      </c>
      <c r="N464" s="69">
        <f t="shared" si="53"/>
        <v>277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0115</v>
      </c>
      <c r="N465" s="69">
        <f t="shared" si="53"/>
        <v>277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0115</v>
      </c>
      <c r="N466" s="69">
        <f t="shared" si="53"/>
        <v>277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0115</v>
      </c>
      <c r="N467" s="69">
        <f t="shared" si="53"/>
        <v>277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0115</v>
      </c>
      <c r="N468" s="69">
        <f t="shared" si="53"/>
        <v>277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0115</v>
      </c>
      <c r="N469" s="69">
        <f t="shared" si="53"/>
        <v>277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0115</v>
      </c>
      <c r="N470" s="69">
        <f t="shared" si="53"/>
        <v>277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0115</v>
      </c>
      <c r="N471" s="69">
        <f t="shared" si="53"/>
        <v>277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0115</v>
      </c>
      <c r="N472" s="69">
        <f t="shared" si="53"/>
        <v>277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0115</v>
      </c>
      <c r="N473" s="69">
        <f t="shared" si="53"/>
        <v>277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0115</v>
      </c>
      <c r="N474" s="69">
        <f t="shared" si="53"/>
        <v>277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0115</v>
      </c>
      <c r="N475" s="69">
        <f t="shared" si="53"/>
        <v>277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0115</v>
      </c>
      <c r="N476" s="69">
        <f t="shared" si="53"/>
        <v>277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0115</v>
      </c>
      <c r="N477" s="69">
        <f t="shared" si="53"/>
        <v>277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0115</v>
      </c>
      <c r="N478" s="69">
        <f t="shared" si="53"/>
        <v>277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0115</v>
      </c>
      <c r="N479" s="69">
        <f t="shared" si="53"/>
        <v>277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0115</v>
      </c>
      <c r="N480" s="69">
        <f t="shared" si="53"/>
        <v>277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0115</v>
      </c>
      <c r="N481" s="69">
        <f t="shared" si="53"/>
        <v>277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0115</v>
      </c>
      <c r="N482" s="69">
        <f t="shared" si="53"/>
        <v>277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0115</v>
      </c>
      <c r="N483" s="69">
        <f t="shared" si="53"/>
        <v>277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0115</v>
      </c>
      <c r="N484" s="69">
        <f t="shared" si="53"/>
        <v>277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0115</v>
      </c>
      <c r="N485" s="69">
        <f t="shared" si="53"/>
        <v>277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0115</v>
      </c>
      <c r="N486" s="69">
        <f t="shared" si="53"/>
        <v>277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0115</v>
      </c>
      <c r="N487" s="69">
        <f t="shared" si="53"/>
        <v>277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0115</v>
      </c>
      <c r="N488" s="69">
        <f t="shared" si="53"/>
        <v>277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0115</v>
      </c>
      <c r="N489" s="69">
        <f t="shared" si="53"/>
        <v>277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0115</v>
      </c>
      <c r="N490" s="69">
        <f t="shared" si="53"/>
        <v>277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0115</v>
      </c>
      <c r="N491" s="69">
        <f t="shared" si="53"/>
        <v>277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0115</v>
      </c>
      <c r="N492" s="69">
        <f t="shared" si="53"/>
        <v>277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0115</v>
      </c>
      <c r="N493" s="69">
        <f t="shared" si="53"/>
        <v>277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0115</v>
      </c>
      <c r="N494" s="69">
        <f t="shared" si="53"/>
        <v>277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0115</v>
      </c>
      <c r="N495" s="69">
        <f t="shared" si="53"/>
        <v>277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0115</v>
      </c>
      <c r="N496" s="69">
        <f t="shared" si="53"/>
        <v>277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0115</v>
      </c>
      <c r="N497" s="69">
        <f t="shared" si="53"/>
        <v>277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0115</v>
      </c>
      <c r="N498" s="69">
        <f t="shared" si="53"/>
        <v>277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0115</v>
      </c>
      <c r="N499" s="69">
        <f t="shared" si="53"/>
        <v>277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0115</v>
      </c>
      <c r="N500" s="69">
        <f t="shared" si="53"/>
        <v>277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0115</v>
      </c>
      <c r="N501" s="69">
        <f t="shared" si="53"/>
        <v>277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0115</v>
      </c>
      <c r="N502" s="69">
        <f t="shared" si="53"/>
        <v>277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0115</v>
      </c>
      <c r="N503" s="69">
        <f t="shared" si="53"/>
        <v>277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0115</v>
      </c>
      <c r="N504" s="69">
        <f t="shared" si="53"/>
        <v>277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0115</v>
      </c>
      <c r="N505" s="69">
        <f t="shared" si="53"/>
        <v>277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0115</v>
      </c>
      <c r="N506" s="69">
        <f t="shared" si="53"/>
        <v>277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0115</v>
      </c>
      <c r="N507" s="69">
        <f t="shared" si="53"/>
        <v>277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0115</v>
      </c>
      <c r="N508" s="69">
        <f t="shared" si="53"/>
        <v>277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0115</v>
      </c>
      <c r="N509" s="69">
        <f t="shared" si="53"/>
        <v>277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0115</v>
      </c>
      <c r="N510" s="69">
        <f t="shared" si="53"/>
        <v>277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0115</v>
      </c>
      <c r="N511" s="69">
        <f t="shared" si="53"/>
        <v>277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0115</v>
      </c>
      <c r="N512" s="69">
        <f t="shared" si="53"/>
        <v>277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0115</v>
      </c>
      <c r="N513" s="69">
        <f t="shared" si="53"/>
        <v>277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0115</v>
      </c>
      <c r="N514" s="69">
        <f t="shared" si="53"/>
        <v>277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0115</v>
      </c>
      <c r="N515" s="69">
        <f t="shared" si="53"/>
        <v>277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0115</v>
      </c>
      <c r="N516" s="69">
        <f t="shared" si="53"/>
        <v>277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0115</v>
      </c>
      <c r="N517" s="69">
        <f t="shared" si="53"/>
        <v>277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0115</v>
      </c>
      <c r="N518" s="69">
        <f t="shared" si="53"/>
        <v>277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0115</v>
      </c>
      <c r="N519" s="69">
        <f t="shared" si="53"/>
        <v>277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0115</v>
      </c>
      <c r="N520" s="69">
        <f t="shared" si="53"/>
        <v>277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0115</v>
      </c>
      <c r="N521" s="69">
        <f t="shared" si="53"/>
        <v>277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0115</v>
      </c>
      <c r="N522" s="69">
        <f t="shared" ref="N522:N585" si="57">N521+S521</f>
        <v>277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0115</v>
      </c>
      <c r="N523" s="69">
        <f t="shared" si="57"/>
        <v>277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0115</v>
      </c>
      <c r="N524" s="69">
        <f t="shared" si="57"/>
        <v>277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0115</v>
      </c>
      <c r="N525" s="69">
        <f t="shared" si="57"/>
        <v>277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0115</v>
      </c>
      <c r="N526" s="69">
        <f t="shared" si="57"/>
        <v>277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0115</v>
      </c>
      <c r="N527" s="69">
        <f t="shared" si="57"/>
        <v>277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0115</v>
      </c>
      <c r="N528" s="69">
        <f t="shared" si="57"/>
        <v>277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0115</v>
      </c>
      <c r="N529" s="69">
        <f t="shared" si="57"/>
        <v>277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0115</v>
      </c>
      <c r="N530" s="69">
        <f t="shared" si="57"/>
        <v>277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0115</v>
      </c>
      <c r="N531" s="69">
        <f t="shared" si="57"/>
        <v>277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0115</v>
      </c>
      <c r="N532" s="69">
        <f t="shared" si="57"/>
        <v>277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0115</v>
      </c>
      <c r="N533" s="69">
        <f t="shared" si="57"/>
        <v>277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0115</v>
      </c>
      <c r="N534" s="69">
        <f t="shared" si="57"/>
        <v>277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0115</v>
      </c>
      <c r="N535" s="69">
        <f t="shared" si="57"/>
        <v>277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0115</v>
      </c>
      <c r="N536" s="69">
        <f t="shared" si="57"/>
        <v>277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0115</v>
      </c>
      <c r="N537" s="69">
        <f t="shared" si="57"/>
        <v>277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0115</v>
      </c>
      <c r="N538" s="69">
        <f t="shared" si="57"/>
        <v>277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0115</v>
      </c>
      <c r="N539" s="69">
        <f t="shared" si="57"/>
        <v>277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0115</v>
      </c>
      <c r="N540" s="69">
        <f t="shared" si="57"/>
        <v>277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0115</v>
      </c>
      <c r="N541" s="69">
        <f t="shared" si="57"/>
        <v>277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0115</v>
      </c>
      <c r="N542" s="69">
        <f t="shared" si="57"/>
        <v>277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0115</v>
      </c>
      <c r="N543" s="69">
        <f t="shared" si="57"/>
        <v>277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0115</v>
      </c>
      <c r="N544" s="69">
        <f t="shared" si="57"/>
        <v>277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0115</v>
      </c>
      <c r="N545" s="69">
        <f t="shared" si="57"/>
        <v>277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0115</v>
      </c>
      <c r="N546" s="69">
        <f t="shared" si="57"/>
        <v>277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0115</v>
      </c>
      <c r="N547" s="69">
        <f t="shared" si="57"/>
        <v>277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0115</v>
      </c>
      <c r="N548" s="69">
        <f t="shared" si="57"/>
        <v>277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0115</v>
      </c>
      <c r="N549" s="69">
        <f t="shared" si="57"/>
        <v>277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0115</v>
      </c>
      <c r="N550" s="69">
        <f t="shared" si="57"/>
        <v>277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0115</v>
      </c>
      <c r="N551" s="69">
        <f t="shared" si="57"/>
        <v>277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0115</v>
      </c>
      <c r="N552" s="69">
        <f t="shared" si="57"/>
        <v>277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0115</v>
      </c>
      <c r="N553" s="69">
        <f t="shared" si="57"/>
        <v>277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0115</v>
      </c>
      <c r="N554" s="69">
        <f t="shared" si="57"/>
        <v>277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0115</v>
      </c>
      <c r="N555" s="69">
        <f t="shared" si="57"/>
        <v>277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0115</v>
      </c>
      <c r="N556" s="69">
        <f t="shared" si="57"/>
        <v>277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0115</v>
      </c>
      <c r="N557" s="69">
        <f t="shared" si="57"/>
        <v>277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0115</v>
      </c>
      <c r="N558" s="69">
        <f t="shared" si="57"/>
        <v>277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0115</v>
      </c>
      <c r="N559" s="69">
        <f t="shared" si="57"/>
        <v>277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0115</v>
      </c>
      <c r="N560" s="69">
        <f t="shared" si="57"/>
        <v>277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0115</v>
      </c>
      <c r="N561" s="69">
        <f t="shared" si="57"/>
        <v>277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0115</v>
      </c>
      <c r="N562" s="69">
        <f t="shared" si="57"/>
        <v>277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0115</v>
      </c>
      <c r="N563" s="69">
        <f t="shared" si="57"/>
        <v>277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0115</v>
      </c>
      <c r="N564" s="69">
        <f t="shared" si="57"/>
        <v>277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0115</v>
      </c>
      <c r="N565" s="69">
        <f t="shared" si="57"/>
        <v>277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0115</v>
      </c>
      <c r="N566" s="69">
        <f t="shared" si="57"/>
        <v>277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0115</v>
      </c>
      <c r="N567" s="69">
        <f t="shared" si="57"/>
        <v>277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0115</v>
      </c>
      <c r="N568" s="69">
        <f t="shared" si="57"/>
        <v>277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0115</v>
      </c>
      <c r="N569" s="69">
        <f t="shared" si="57"/>
        <v>277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0115</v>
      </c>
      <c r="N570" s="69">
        <f t="shared" si="57"/>
        <v>277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0115</v>
      </c>
      <c r="N571" s="69">
        <f t="shared" si="57"/>
        <v>277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0115</v>
      </c>
      <c r="N572" s="69">
        <f t="shared" si="57"/>
        <v>277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0115</v>
      </c>
      <c r="N573" s="69">
        <f t="shared" si="57"/>
        <v>277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0115</v>
      </c>
      <c r="N574" s="69">
        <f t="shared" si="57"/>
        <v>277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0115</v>
      </c>
      <c r="N575" s="69">
        <f t="shared" si="57"/>
        <v>277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0115</v>
      </c>
      <c r="N576" s="69">
        <f t="shared" si="57"/>
        <v>277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0115</v>
      </c>
      <c r="N577" s="69">
        <f t="shared" si="57"/>
        <v>277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0115</v>
      </c>
      <c r="N578" s="69">
        <f t="shared" si="57"/>
        <v>277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0115</v>
      </c>
      <c r="N579" s="69">
        <f t="shared" si="57"/>
        <v>277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0115</v>
      </c>
      <c r="N580" s="69">
        <f t="shared" si="57"/>
        <v>277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0115</v>
      </c>
      <c r="N581" s="69">
        <f t="shared" si="57"/>
        <v>277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0115</v>
      </c>
      <c r="N582" s="69">
        <f t="shared" si="57"/>
        <v>277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0115</v>
      </c>
      <c r="N583" s="69">
        <f t="shared" si="57"/>
        <v>277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0115</v>
      </c>
      <c r="N584" s="69">
        <f t="shared" si="57"/>
        <v>277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0115</v>
      </c>
      <c r="N585" s="69">
        <f t="shared" si="57"/>
        <v>277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0115</v>
      </c>
      <c r="N586" s="69">
        <f t="shared" ref="N586:N649" si="61">N585+S585</f>
        <v>277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0115</v>
      </c>
      <c r="N587" s="69">
        <f t="shared" si="61"/>
        <v>277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0115</v>
      </c>
      <c r="N588" s="69">
        <f t="shared" si="61"/>
        <v>277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0115</v>
      </c>
      <c r="N589" s="69">
        <f t="shared" si="61"/>
        <v>277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0115</v>
      </c>
      <c r="N590" s="69">
        <f t="shared" si="61"/>
        <v>277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0115</v>
      </c>
      <c r="N591" s="69">
        <f t="shared" si="61"/>
        <v>277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0115</v>
      </c>
      <c r="N592" s="69">
        <f t="shared" si="61"/>
        <v>277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0115</v>
      </c>
      <c r="N593" s="69">
        <f t="shared" si="61"/>
        <v>277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0115</v>
      </c>
      <c r="N594" s="69">
        <f t="shared" si="61"/>
        <v>277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0115</v>
      </c>
      <c r="N595" s="69">
        <f t="shared" si="61"/>
        <v>277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0115</v>
      </c>
      <c r="N596" s="69">
        <f t="shared" si="61"/>
        <v>277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0115</v>
      </c>
      <c r="N597" s="69">
        <f t="shared" si="61"/>
        <v>277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0115</v>
      </c>
      <c r="N598" s="69">
        <f t="shared" si="61"/>
        <v>277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0115</v>
      </c>
      <c r="N599" s="69">
        <f t="shared" si="61"/>
        <v>277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0115</v>
      </c>
      <c r="N600" s="69">
        <f t="shared" si="61"/>
        <v>277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0115</v>
      </c>
      <c r="N601" s="69">
        <f t="shared" si="61"/>
        <v>277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0115</v>
      </c>
      <c r="N602" s="69">
        <f t="shared" si="61"/>
        <v>277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0115</v>
      </c>
      <c r="N603" s="69">
        <f t="shared" si="61"/>
        <v>277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0115</v>
      </c>
      <c r="N604" s="69">
        <f t="shared" si="61"/>
        <v>277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0115</v>
      </c>
      <c r="N605" s="69">
        <f t="shared" si="61"/>
        <v>277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0115</v>
      </c>
      <c r="N606" s="69">
        <f t="shared" si="61"/>
        <v>277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0115</v>
      </c>
      <c r="N607" s="69">
        <f t="shared" si="61"/>
        <v>277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0115</v>
      </c>
      <c r="N608" s="69">
        <f t="shared" si="61"/>
        <v>277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0115</v>
      </c>
      <c r="N609" s="69">
        <f t="shared" si="61"/>
        <v>277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0115</v>
      </c>
      <c r="N610" s="69">
        <f t="shared" si="61"/>
        <v>277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0115</v>
      </c>
      <c r="N611" s="69">
        <f t="shared" si="61"/>
        <v>277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0115</v>
      </c>
      <c r="N612" s="69">
        <f t="shared" si="61"/>
        <v>277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0115</v>
      </c>
      <c r="N613" s="69">
        <f t="shared" si="61"/>
        <v>277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0115</v>
      </c>
      <c r="N614" s="69">
        <f t="shared" si="61"/>
        <v>277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0115</v>
      </c>
      <c r="N615" s="69">
        <f t="shared" si="61"/>
        <v>277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0115</v>
      </c>
      <c r="N616" s="69">
        <f t="shared" si="61"/>
        <v>277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0115</v>
      </c>
      <c r="N617" s="69">
        <f t="shared" si="61"/>
        <v>277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0115</v>
      </c>
      <c r="N618" s="69">
        <f t="shared" si="61"/>
        <v>277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0115</v>
      </c>
      <c r="N619" s="69">
        <f t="shared" si="61"/>
        <v>277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0115</v>
      </c>
      <c r="N620" s="69">
        <f t="shared" si="61"/>
        <v>277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0115</v>
      </c>
      <c r="N621" s="69">
        <f t="shared" si="61"/>
        <v>277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0115</v>
      </c>
      <c r="N622" s="69">
        <f t="shared" si="61"/>
        <v>277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0115</v>
      </c>
      <c r="N623" s="69">
        <f t="shared" si="61"/>
        <v>277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0115</v>
      </c>
      <c r="N624" s="69">
        <f t="shared" si="61"/>
        <v>277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0115</v>
      </c>
      <c r="N625" s="69">
        <f t="shared" si="61"/>
        <v>277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0115</v>
      </c>
      <c r="N626" s="69">
        <f t="shared" si="61"/>
        <v>277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0115</v>
      </c>
      <c r="N627" s="69">
        <f t="shared" si="61"/>
        <v>277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0115</v>
      </c>
      <c r="N628" s="69">
        <f t="shared" si="61"/>
        <v>277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0115</v>
      </c>
      <c r="N629" s="69">
        <f t="shared" si="61"/>
        <v>277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0115</v>
      </c>
      <c r="N630" s="69">
        <f t="shared" si="61"/>
        <v>277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0115</v>
      </c>
      <c r="N631" s="69">
        <f t="shared" si="61"/>
        <v>277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0115</v>
      </c>
      <c r="N632" s="69">
        <f t="shared" si="61"/>
        <v>277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0115</v>
      </c>
      <c r="N633" s="69">
        <f t="shared" si="61"/>
        <v>277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0115</v>
      </c>
      <c r="N634" s="69">
        <f t="shared" si="61"/>
        <v>277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0115</v>
      </c>
      <c r="N635" s="69">
        <f t="shared" si="61"/>
        <v>277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0115</v>
      </c>
      <c r="N636" s="69">
        <f t="shared" si="61"/>
        <v>277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0115</v>
      </c>
      <c r="N637" s="69">
        <f t="shared" si="61"/>
        <v>277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0115</v>
      </c>
      <c r="N638" s="69">
        <f t="shared" si="61"/>
        <v>277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0115</v>
      </c>
      <c r="N639" s="69">
        <f t="shared" si="61"/>
        <v>277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0115</v>
      </c>
      <c r="N640" s="69">
        <f t="shared" si="61"/>
        <v>277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0115</v>
      </c>
      <c r="N641" s="69">
        <f t="shared" si="61"/>
        <v>277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0115</v>
      </c>
      <c r="N642" s="69">
        <f t="shared" si="61"/>
        <v>277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0115</v>
      </c>
      <c r="N643" s="69">
        <f t="shared" si="61"/>
        <v>277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0115</v>
      </c>
      <c r="N644" s="69">
        <f t="shared" si="61"/>
        <v>277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0115</v>
      </c>
      <c r="N645" s="69">
        <f t="shared" si="61"/>
        <v>277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0115</v>
      </c>
      <c r="N646" s="69">
        <f t="shared" si="61"/>
        <v>277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0115</v>
      </c>
      <c r="N647" s="69">
        <f t="shared" si="61"/>
        <v>277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0115</v>
      </c>
      <c r="N648" s="69">
        <f t="shared" si="61"/>
        <v>277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0115</v>
      </c>
      <c r="N649" s="69">
        <f t="shared" si="61"/>
        <v>277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0115</v>
      </c>
      <c r="N650" s="69">
        <f t="shared" ref="N650:N713" si="65">N649+S649</f>
        <v>277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0115</v>
      </c>
      <c r="N651" s="69">
        <f t="shared" si="65"/>
        <v>277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0115</v>
      </c>
      <c r="N652" s="69">
        <f t="shared" si="65"/>
        <v>277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0115</v>
      </c>
      <c r="N653" s="69">
        <f t="shared" si="65"/>
        <v>277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0115</v>
      </c>
      <c r="N654" s="69">
        <f t="shared" si="65"/>
        <v>277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0115</v>
      </c>
      <c r="N655" s="69">
        <f t="shared" si="65"/>
        <v>277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0115</v>
      </c>
      <c r="N656" s="69">
        <f t="shared" si="65"/>
        <v>277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0115</v>
      </c>
      <c r="N657" s="69">
        <f t="shared" si="65"/>
        <v>277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0115</v>
      </c>
      <c r="N658" s="69">
        <f t="shared" si="65"/>
        <v>277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0115</v>
      </c>
      <c r="N659" s="69">
        <f t="shared" si="65"/>
        <v>277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0115</v>
      </c>
      <c r="N660" s="69">
        <f t="shared" si="65"/>
        <v>277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0115</v>
      </c>
      <c r="N661" s="69">
        <f t="shared" si="65"/>
        <v>277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0115</v>
      </c>
      <c r="N662" s="69">
        <f t="shared" si="65"/>
        <v>277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0115</v>
      </c>
      <c r="N663" s="69">
        <f t="shared" si="65"/>
        <v>277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0115</v>
      </c>
      <c r="N664" s="69">
        <f t="shared" si="65"/>
        <v>277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0115</v>
      </c>
      <c r="N665" s="69">
        <f t="shared" si="65"/>
        <v>277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0115</v>
      </c>
      <c r="N666" s="69">
        <f t="shared" si="65"/>
        <v>277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0115</v>
      </c>
      <c r="N667" s="69">
        <f t="shared" si="65"/>
        <v>277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0115</v>
      </c>
      <c r="N668" s="69">
        <f t="shared" si="65"/>
        <v>277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0115</v>
      </c>
      <c r="N669" s="69">
        <f t="shared" si="65"/>
        <v>277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0115</v>
      </c>
      <c r="N670" s="69">
        <f t="shared" si="65"/>
        <v>277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0115</v>
      </c>
      <c r="N671" s="69">
        <f t="shared" si="65"/>
        <v>277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0115</v>
      </c>
      <c r="N672" s="69">
        <f t="shared" si="65"/>
        <v>277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0115</v>
      </c>
      <c r="N673" s="69">
        <f t="shared" si="65"/>
        <v>277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0115</v>
      </c>
      <c r="N674" s="69">
        <f t="shared" si="65"/>
        <v>277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0115</v>
      </c>
      <c r="N675" s="69">
        <f t="shared" si="65"/>
        <v>277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0115</v>
      </c>
      <c r="N676" s="69">
        <f t="shared" si="65"/>
        <v>277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0115</v>
      </c>
      <c r="N677" s="69">
        <f t="shared" si="65"/>
        <v>277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0115</v>
      </c>
      <c r="N678" s="69">
        <f t="shared" si="65"/>
        <v>277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0115</v>
      </c>
      <c r="N679" s="69">
        <f t="shared" si="65"/>
        <v>277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0115</v>
      </c>
      <c r="N680" s="69">
        <f t="shared" si="65"/>
        <v>277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0115</v>
      </c>
      <c r="N681" s="69">
        <f t="shared" si="65"/>
        <v>277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0115</v>
      </c>
      <c r="N682" s="69">
        <f t="shared" si="65"/>
        <v>277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0115</v>
      </c>
      <c r="N683" s="69">
        <f t="shared" si="65"/>
        <v>277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0115</v>
      </c>
      <c r="N684" s="69">
        <f t="shared" si="65"/>
        <v>277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0115</v>
      </c>
      <c r="N685" s="69">
        <f t="shared" si="65"/>
        <v>277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0115</v>
      </c>
      <c r="N686" s="69">
        <f t="shared" si="65"/>
        <v>277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0115</v>
      </c>
      <c r="N687" s="69">
        <f t="shared" si="65"/>
        <v>277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0115</v>
      </c>
      <c r="N688" s="69">
        <f t="shared" si="65"/>
        <v>277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0115</v>
      </c>
      <c r="N689" s="69">
        <f t="shared" si="65"/>
        <v>277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0115</v>
      </c>
      <c r="N690" s="69">
        <f t="shared" si="65"/>
        <v>277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0115</v>
      </c>
      <c r="N691" s="69">
        <f t="shared" si="65"/>
        <v>277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0115</v>
      </c>
      <c r="N692" s="69">
        <f t="shared" si="65"/>
        <v>277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0115</v>
      </c>
      <c r="N693" s="69">
        <f t="shared" si="65"/>
        <v>277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0115</v>
      </c>
      <c r="N694" s="69">
        <f t="shared" si="65"/>
        <v>277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0115</v>
      </c>
      <c r="N695" s="69">
        <f t="shared" si="65"/>
        <v>277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0115</v>
      </c>
      <c r="N696" s="69">
        <f t="shared" si="65"/>
        <v>277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0115</v>
      </c>
      <c r="N697" s="69">
        <f t="shared" si="65"/>
        <v>277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0115</v>
      </c>
      <c r="N698" s="69">
        <f t="shared" si="65"/>
        <v>277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0115</v>
      </c>
      <c r="N699" s="69">
        <f t="shared" si="65"/>
        <v>277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0115</v>
      </c>
      <c r="N700" s="69">
        <f t="shared" si="65"/>
        <v>277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0115</v>
      </c>
      <c r="N701" s="69">
        <f t="shared" si="65"/>
        <v>277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0115</v>
      </c>
      <c r="N702" s="69">
        <f t="shared" si="65"/>
        <v>277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0115</v>
      </c>
      <c r="N703" s="69">
        <f t="shared" si="65"/>
        <v>277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0115</v>
      </c>
      <c r="N704" s="69">
        <f t="shared" si="65"/>
        <v>277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0115</v>
      </c>
      <c r="N705" s="69">
        <f t="shared" si="65"/>
        <v>277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0115</v>
      </c>
      <c r="N706" s="69">
        <f t="shared" si="65"/>
        <v>277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0115</v>
      </c>
      <c r="N707" s="69">
        <f t="shared" si="65"/>
        <v>277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0115</v>
      </c>
      <c r="N708" s="69">
        <f t="shared" si="65"/>
        <v>277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0115</v>
      </c>
      <c r="N709" s="69">
        <f t="shared" si="65"/>
        <v>277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0115</v>
      </c>
      <c r="N710" s="69">
        <f t="shared" si="65"/>
        <v>277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0115</v>
      </c>
      <c r="N711" s="69">
        <f t="shared" si="65"/>
        <v>277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0115</v>
      </c>
      <c r="N712" s="69">
        <f t="shared" si="65"/>
        <v>277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0115</v>
      </c>
      <c r="N713" s="69">
        <f t="shared" si="65"/>
        <v>277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0115</v>
      </c>
      <c r="N714" s="69">
        <f t="shared" ref="N714:N777" si="69">N713+S713</f>
        <v>277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0115</v>
      </c>
      <c r="N715" s="69">
        <f t="shared" si="69"/>
        <v>277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0115</v>
      </c>
      <c r="N716" s="69">
        <f t="shared" si="69"/>
        <v>277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0115</v>
      </c>
      <c r="N717" s="69">
        <f t="shared" si="69"/>
        <v>277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0115</v>
      </c>
      <c r="N718" s="69">
        <f t="shared" si="69"/>
        <v>277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0115</v>
      </c>
      <c r="N719" s="69">
        <f t="shared" si="69"/>
        <v>277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0115</v>
      </c>
      <c r="N720" s="69">
        <f t="shared" si="69"/>
        <v>277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0115</v>
      </c>
      <c r="N721" s="69">
        <f t="shared" si="69"/>
        <v>277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0115</v>
      </c>
      <c r="N722" s="69">
        <f t="shared" si="69"/>
        <v>277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0115</v>
      </c>
      <c r="N723" s="69">
        <f t="shared" si="69"/>
        <v>277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0115</v>
      </c>
      <c r="N724" s="69">
        <f t="shared" si="69"/>
        <v>277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0115</v>
      </c>
      <c r="N725" s="69">
        <f t="shared" si="69"/>
        <v>277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0115</v>
      </c>
      <c r="N726" s="69">
        <f t="shared" si="69"/>
        <v>277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0115</v>
      </c>
      <c r="N727" s="69">
        <f t="shared" si="69"/>
        <v>277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0115</v>
      </c>
      <c r="N728" s="69">
        <f t="shared" si="69"/>
        <v>277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0115</v>
      </c>
      <c r="N729" s="69">
        <f t="shared" si="69"/>
        <v>277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0115</v>
      </c>
      <c r="N730" s="69">
        <f t="shared" si="69"/>
        <v>277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0115</v>
      </c>
      <c r="N731" s="69">
        <f t="shared" si="69"/>
        <v>277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0115</v>
      </c>
      <c r="N732" s="69">
        <f t="shared" si="69"/>
        <v>277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0115</v>
      </c>
      <c r="N733" s="69">
        <f t="shared" si="69"/>
        <v>277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0115</v>
      </c>
      <c r="N734" s="69">
        <f t="shared" si="69"/>
        <v>277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0115</v>
      </c>
      <c r="N735" s="69">
        <f t="shared" si="69"/>
        <v>277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0115</v>
      </c>
      <c r="N736" s="69">
        <f t="shared" si="69"/>
        <v>277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0115</v>
      </c>
      <c r="N737" s="69">
        <f t="shared" si="69"/>
        <v>277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0115</v>
      </c>
      <c r="N738" s="69">
        <f t="shared" si="69"/>
        <v>277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0115</v>
      </c>
      <c r="N739" s="69">
        <f t="shared" si="69"/>
        <v>277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0115</v>
      </c>
      <c r="N740" s="69">
        <f t="shared" si="69"/>
        <v>277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0115</v>
      </c>
      <c r="N741" s="69">
        <f t="shared" si="69"/>
        <v>277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0115</v>
      </c>
      <c r="N742" s="69">
        <f t="shared" si="69"/>
        <v>277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0115</v>
      </c>
      <c r="N743" s="69">
        <f t="shared" si="69"/>
        <v>277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0115</v>
      </c>
      <c r="N744" s="69">
        <f t="shared" si="69"/>
        <v>277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0115</v>
      </c>
      <c r="N745" s="69">
        <f t="shared" si="69"/>
        <v>277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0115</v>
      </c>
      <c r="N746" s="69">
        <f t="shared" si="69"/>
        <v>277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0115</v>
      </c>
      <c r="N747" s="69">
        <f t="shared" si="69"/>
        <v>277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0115</v>
      </c>
      <c r="N748" s="69">
        <f t="shared" si="69"/>
        <v>277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0115</v>
      </c>
      <c r="N749" s="69">
        <f t="shared" si="69"/>
        <v>277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0115</v>
      </c>
      <c r="N750" s="69">
        <f t="shared" si="69"/>
        <v>277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0115</v>
      </c>
      <c r="N751" s="69">
        <f t="shared" si="69"/>
        <v>277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0115</v>
      </c>
      <c r="N752" s="69">
        <f t="shared" si="69"/>
        <v>277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0115</v>
      </c>
      <c r="N753" s="69">
        <f t="shared" si="69"/>
        <v>277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0115</v>
      </c>
      <c r="N754" s="69">
        <f t="shared" si="69"/>
        <v>277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0115</v>
      </c>
      <c r="N755" s="69">
        <f t="shared" si="69"/>
        <v>277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0115</v>
      </c>
      <c r="N756" s="69">
        <f t="shared" si="69"/>
        <v>277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0115</v>
      </c>
      <c r="N757" s="69">
        <f t="shared" si="69"/>
        <v>277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0115</v>
      </c>
      <c r="N758" s="69">
        <f t="shared" si="69"/>
        <v>277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0115</v>
      </c>
      <c r="N759" s="69">
        <f t="shared" si="69"/>
        <v>277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0115</v>
      </c>
      <c r="N760" s="69">
        <f t="shared" si="69"/>
        <v>277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0115</v>
      </c>
      <c r="N761" s="69">
        <f t="shared" si="69"/>
        <v>277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0115</v>
      </c>
      <c r="N762" s="69">
        <f t="shared" si="69"/>
        <v>277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0115</v>
      </c>
      <c r="N763" s="69">
        <f t="shared" si="69"/>
        <v>277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0115</v>
      </c>
      <c r="N764" s="69">
        <f t="shared" si="69"/>
        <v>277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0115</v>
      </c>
      <c r="N765" s="69">
        <f t="shared" si="69"/>
        <v>277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0115</v>
      </c>
      <c r="N766" s="69">
        <f t="shared" si="69"/>
        <v>277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0115</v>
      </c>
      <c r="N767" s="69">
        <f t="shared" si="69"/>
        <v>277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0115</v>
      </c>
      <c r="N768" s="69">
        <f t="shared" si="69"/>
        <v>277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0115</v>
      </c>
      <c r="N769" s="69">
        <f t="shared" si="69"/>
        <v>277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0115</v>
      </c>
      <c r="N770" s="69">
        <f t="shared" si="69"/>
        <v>277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0115</v>
      </c>
      <c r="N771" s="69">
        <f t="shared" si="69"/>
        <v>277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0115</v>
      </c>
      <c r="N772" s="69">
        <f t="shared" si="69"/>
        <v>277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0115</v>
      </c>
      <c r="N773" s="69">
        <f t="shared" si="69"/>
        <v>277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0115</v>
      </c>
      <c r="N774" s="69">
        <f t="shared" si="69"/>
        <v>277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0115</v>
      </c>
      <c r="N775" s="69">
        <f t="shared" si="69"/>
        <v>277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0115</v>
      </c>
      <c r="N776" s="69">
        <f t="shared" si="69"/>
        <v>277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0115</v>
      </c>
      <c r="N777" s="69">
        <f t="shared" si="69"/>
        <v>277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0115</v>
      </c>
      <c r="N778" s="69">
        <f t="shared" ref="N778:N841" si="73">N777+S777</f>
        <v>277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0115</v>
      </c>
      <c r="N779" s="69">
        <f t="shared" si="73"/>
        <v>277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0115</v>
      </c>
      <c r="N780" s="69">
        <f t="shared" si="73"/>
        <v>277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0115</v>
      </c>
      <c r="N781" s="69">
        <f t="shared" si="73"/>
        <v>277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0115</v>
      </c>
      <c r="N782" s="69">
        <f t="shared" si="73"/>
        <v>277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0115</v>
      </c>
      <c r="N783" s="69">
        <f t="shared" si="73"/>
        <v>277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0115</v>
      </c>
      <c r="N784" s="69">
        <f t="shared" si="73"/>
        <v>277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0115</v>
      </c>
      <c r="N785" s="69">
        <f t="shared" si="73"/>
        <v>277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0115</v>
      </c>
      <c r="N786" s="69">
        <f t="shared" si="73"/>
        <v>277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0115</v>
      </c>
      <c r="N787" s="69">
        <f t="shared" si="73"/>
        <v>277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0115</v>
      </c>
      <c r="N788" s="69">
        <f t="shared" si="73"/>
        <v>277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0115</v>
      </c>
      <c r="N789" s="69">
        <f t="shared" si="73"/>
        <v>277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0115</v>
      </c>
      <c r="N790" s="69">
        <f t="shared" si="73"/>
        <v>277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0115</v>
      </c>
      <c r="N791" s="69">
        <f t="shared" si="73"/>
        <v>277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0115</v>
      </c>
      <c r="N792" s="69">
        <f t="shared" si="73"/>
        <v>277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0115</v>
      </c>
      <c r="N793" s="69">
        <f t="shared" si="73"/>
        <v>277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0115</v>
      </c>
      <c r="N794" s="69">
        <f t="shared" si="73"/>
        <v>277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0115</v>
      </c>
      <c r="N795" s="69">
        <f t="shared" si="73"/>
        <v>277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0115</v>
      </c>
      <c r="N796" s="69">
        <f t="shared" si="73"/>
        <v>277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0115</v>
      </c>
      <c r="N797" s="69">
        <f t="shared" si="73"/>
        <v>277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0115</v>
      </c>
      <c r="N798" s="69">
        <f t="shared" si="73"/>
        <v>277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0115</v>
      </c>
      <c r="N799" s="69">
        <f t="shared" si="73"/>
        <v>277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0115</v>
      </c>
      <c r="N800" s="69">
        <f t="shared" si="73"/>
        <v>277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0115</v>
      </c>
      <c r="N801" s="69">
        <f t="shared" si="73"/>
        <v>277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0115</v>
      </c>
      <c r="N802" s="69">
        <f t="shared" si="73"/>
        <v>277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0115</v>
      </c>
      <c r="N803" s="69">
        <f t="shared" si="73"/>
        <v>277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0115</v>
      </c>
      <c r="N804" s="69">
        <f t="shared" si="73"/>
        <v>277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0115</v>
      </c>
      <c r="N805" s="69">
        <f t="shared" si="73"/>
        <v>277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0115</v>
      </c>
      <c r="N806" s="69">
        <f t="shared" si="73"/>
        <v>277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0115</v>
      </c>
      <c r="N807" s="69">
        <f t="shared" si="73"/>
        <v>277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0115</v>
      </c>
      <c r="N808" s="69">
        <f t="shared" si="73"/>
        <v>277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0115</v>
      </c>
      <c r="N809" s="69">
        <f t="shared" si="73"/>
        <v>277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0115</v>
      </c>
      <c r="N810" s="69">
        <f t="shared" si="73"/>
        <v>277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0115</v>
      </c>
      <c r="N811" s="69">
        <f t="shared" si="73"/>
        <v>277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0115</v>
      </c>
      <c r="N812" s="69">
        <f t="shared" si="73"/>
        <v>277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0115</v>
      </c>
      <c r="N813" s="69">
        <f t="shared" si="73"/>
        <v>277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0115</v>
      </c>
      <c r="N814" s="69">
        <f t="shared" si="73"/>
        <v>277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0115</v>
      </c>
      <c r="N815" s="69">
        <f t="shared" si="73"/>
        <v>277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0115</v>
      </c>
      <c r="N816" s="69">
        <f t="shared" si="73"/>
        <v>277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0115</v>
      </c>
      <c r="N817" s="69">
        <f t="shared" si="73"/>
        <v>277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0115</v>
      </c>
      <c r="N818" s="69">
        <f t="shared" si="73"/>
        <v>277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0115</v>
      </c>
      <c r="N819" s="69">
        <f t="shared" si="73"/>
        <v>277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0115</v>
      </c>
      <c r="N820" s="69">
        <f t="shared" si="73"/>
        <v>277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0115</v>
      </c>
      <c r="N821" s="69">
        <f t="shared" si="73"/>
        <v>277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0115</v>
      </c>
      <c r="N822" s="69">
        <f t="shared" si="73"/>
        <v>277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0115</v>
      </c>
      <c r="N823" s="69">
        <f t="shared" si="73"/>
        <v>277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0115</v>
      </c>
      <c r="N824" s="69">
        <f t="shared" si="73"/>
        <v>277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0115</v>
      </c>
      <c r="N825" s="69">
        <f t="shared" si="73"/>
        <v>277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0115</v>
      </c>
      <c r="N826" s="69">
        <f t="shared" si="73"/>
        <v>277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0115</v>
      </c>
      <c r="N827" s="69">
        <f t="shared" si="73"/>
        <v>277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0115</v>
      </c>
      <c r="N828" s="69">
        <f t="shared" si="73"/>
        <v>277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0115</v>
      </c>
      <c r="N829" s="69">
        <f t="shared" si="73"/>
        <v>277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0115</v>
      </c>
      <c r="N830" s="69">
        <f t="shared" si="73"/>
        <v>277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0115</v>
      </c>
      <c r="N831" s="69">
        <f t="shared" si="73"/>
        <v>277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0115</v>
      </c>
      <c r="N832" s="69">
        <f t="shared" si="73"/>
        <v>277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0115</v>
      </c>
      <c r="N833" s="69">
        <f t="shared" si="73"/>
        <v>277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0115</v>
      </c>
      <c r="N834" s="69">
        <f t="shared" si="73"/>
        <v>277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0115</v>
      </c>
      <c r="N835" s="69">
        <f t="shared" si="73"/>
        <v>277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0115</v>
      </c>
      <c r="N836" s="69">
        <f t="shared" si="73"/>
        <v>277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0115</v>
      </c>
      <c r="N837" s="69">
        <f t="shared" si="73"/>
        <v>277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0115</v>
      </c>
      <c r="N838" s="69">
        <f t="shared" si="73"/>
        <v>277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0115</v>
      </c>
      <c r="N839" s="69">
        <f t="shared" si="73"/>
        <v>277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0115</v>
      </c>
      <c r="N840" s="69">
        <f t="shared" si="73"/>
        <v>277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0115</v>
      </c>
      <c r="N841" s="69">
        <f t="shared" si="73"/>
        <v>277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0115</v>
      </c>
      <c r="N842" s="69">
        <f t="shared" ref="N842:N905" si="77">N841+S841</f>
        <v>277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0115</v>
      </c>
      <c r="N843" s="69">
        <f t="shared" si="77"/>
        <v>277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0115</v>
      </c>
      <c r="N844" s="69">
        <f t="shared" si="77"/>
        <v>277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0115</v>
      </c>
      <c r="N845" s="69">
        <f t="shared" si="77"/>
        <v>277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0115</v>
      </c>
      <c r="N846" s="69">
        <f t="shared" si="77"/>
        <v>277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0115</v>
      </c>
      <c r="N847" s="69">
        <f t="shared" si="77"/>
        <v>277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0115</v>
      </c>
      <c r="N848" s="69">
        <f t="shared" si="77"/>
        <v>277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0115</v>
      </c>
      <c r="N849" s="69">
        <f t="shared" si="77"/>
        <v>277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0115</v>
      </c>
      <c r="N850" s="69">
        <f t="shared" si="77"/>
        <v>277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0115</v>
      </c>
      <c r="N851" s="69">
        <f t="shared" si="77"/>
        <v>277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0115</v>
      </c>
      <c r="N852" s="69">
        <f t="shared" si="77"/>
        <v>277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0115</v>
      </c>
      <c r="N853" s="69">
        <f t="shared" si="77"/>
        <v>277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0115</v>
      </c>
      <c r="N854" s="69">
        <f t="shared" si="77"/>
        <v>277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0115</v>
      </c>
      <c r="N855" s="69">
        <f t="shared" si="77"/>
        <v>277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0115</v>
      </c>
      <c r="N856" s="69">
        <f t="shared" si="77"/>
        <v>277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0115</v>
      </c>
      <c r="N857" s="69">
        <f t="shared" si="77"/>
        <v>277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0115</v>
      </c>
      <c r="N858" s="69">
        <f t="shared" si="77"/>
        <v>277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0115</v>
      </c>
      <c r="N859" s="69">
        <f t="shared" si="77"/>
        <v>277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0115</v>
      </c>
      <c r="N860" s="69">
        <f t="shared" si="77"/>
        <v>277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0115</v>
      </c>
      <c r="N861" s="69">
        <f t="shared" si="77"/>
        <v>277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0115</v>
      </c>
      <c r="N862" s="69">
        <f t="shared" si="77"/>
        <v>277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0115</v>
      </c>
      <c r="N863" s="69">
        <f t="shared" si="77"/>
        <v>277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0115</v>
      </c>
      <c r="N864" s="69">
        <f t="shared" si="77"/>
        <v>277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0115</v>
      </c>
      <c r="N865" s="69">
        <f t="shared" si="77"/>
        <v>277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0115</v>
      </c>
      <c r="N866" s="69">
        <f t="shared" si="77"/>
        <v>277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0115</v>
      </c>
      <c r="N867" s="69">
        <f t="shared" si="77"/>
        <v>277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0115</v>
      </c>
      <c r="N868" s="69">
        <f t="shared" si="77"/>
        <v>277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0115</v>
      </c>
      <c r="N869" s="69">
        <f t="shared" si="77"/>
        <v>277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0115</v>
      </c>
      <c r="N870" s="69">
        <f t="shared" si="77"/>
        <v>277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0115</v>
      </c>
      <c r="N871" s="69">
        <f t="shared" si="77"/>
        <v>277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0115</v>
      </c>
      <c r="N872" s="69">
        <f t="shared" si="77"/>
        <v>277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0115</v>
      </c>
      <c r="N873" s="69">
        <f t="shared" si="77"/>
        <v>277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0115</v>
      </c>
      <c r="N874" s="69">
        <f t="shared" si="77"/>
        <v>277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0115</v>
      </c>
      <c r="N875" s="69">
        <f t="shared" si="77"/>
        <v>277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0115</v>
      </c>
      <c r="N876" s="69">
        <f t="shared" si="77"/>
        <v>277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0115</v>
      </c>
      <c r="N877" s="69">
        <f t="shared" si="77"/>
        <v>277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0115</v>
      </c>
      <c r="N878" s="69">
        <f t="shared" si="77"/>
        <v>277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0115</v>
      </c>
      <c r="N879" s="69">
        <f t="shared" si="77"/>
        <v>277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0115</v>
      </c>
      <c r="N880" s="69">
        <f t="shared" si="77"/>
        <v>277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0115</v>
      </c>
      <c r="N881" s="69">
        <f t="shared" si="77"/>
        <v>277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0115</v>
      </c>
      <c r="N882" s="69">
        <f t="shared" si="77"/>
        <v>277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0115</v>
      </c>
      <c r="N883" s="69">
        <f t="shared" si="77"/>
        <v>277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0115</v>
      </c>
      <c r="N884" s="69">
        <f t="shared" si="77"/>
        <v>277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0115</v>
      </c>
      <c r="N885" s="69">
        <f t="shared" si="77"/>
        <v>277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0115</v>
      </c>
      <c r="N886" s="69">
        <f t="shared" si="77"/>
        <v>277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0115</v>
      </c>
      <c r="N887" s="69">
        <f t="shared" si="77"/>
        <v>277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0115</v>
      </c>
      <c r="N888" s="69">
        <f t="shared" si="77"/>
        <v>277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0115</v>
      </c>
      <c r="N889" s="69">
        <f t="shared" si="77"/>
        <v>277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0115</v>
      </c>
      <c r="N890" s="69">
        <f t="shared" si="77"/>
        <v>277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0115</v>
      </c>
      <c r="N891" s="69">
        <f t="shared" si="77"/>
        <v>277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0115</v>
      </c>
      <c r="N892" s="69">
        <f t="shared" si="77"/>
        <v>277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0115</v>
      </c>
      <c r="N893" s="69">
        <f t="shared" si="77"/>
        <v>277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0115</v>
      </c>
      <c r="N894" s="69">
        <f t="shared" si="77"/>
        <v>277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0115</v>
      </c>
      <c r="N895" s="69">
        <f t="shared" si="77"/>
        <v>277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0115</v>
      </c>
      <c r="N896" s="69">
        <f t="shared" si="77"/>
        <v>277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0115</v>
      </c>
      <c r="N897" s="69">
        <f t="shared" si="77"/>
        <v>277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0115</v>
      </c>
      <c r="N898" s="69">
        <f t="shared" si="77"/>
        <v>277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0115</v>
      </c>
      <c r="N899" s="69">
        <f t="shared" si="77"/>
        <v>277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0115</v>
      </c>
      <c r="N900" s="69">
        <f t="shared" si="77"/>
        <v>277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0115</v>
      </c>
      <c r="N901" s="69">
        <f t="shared" si="77"/>
        <v>277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0115</v>
      </c>
      <c r="N902" s="69">
        <f t="shared" si="77"/>
        <v>277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0115</v>
      </c>
      <c r="N903" s="69">
        <f t="shared" si="77"/>
        <v>277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0115</v>
      </c>
      <c r="N904" s="69">
        <f t="shared" si="77"/>
        <v>277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0115</v>
      </c>
      <c r="N905" s="69">
        <f t="shared" si="77"/>
        <v>277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0115</v>
      </c>
      <c r="N906" s="69">
        <f t="shared" ref="N906:N969" si="81">N905+S905</f>
        <v>277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0115</v>
      </c>
      <c r="N907" s="69">
        <f t="shared" si="81"/>
        <v>277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0115</v>
      </c>
      <c r="N908" s="69">
        <f t="shared" si="81"/>
        <v>277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0115</v>
      </c>
      <c r="N909" s="69">
        <f t="shared" si="81"/>
        <v>277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0115</v>
      </c>
      <c r="N910" s="69">
        <f t="shared" si="81"/>
        <v>277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0115</v>
      </c>
      <c r="N911" s="69">
        <f t="shared" si="81"/>
        <v>277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0115</v>
      </c>
      <c r="N912" s="69">
        <f t="shared" si="81"/>
        <v>277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0115</v>
      </c>
      <c r="N913" s="69">
        <f t="shared" si="81"/>
        <v>277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0115</v>
      </c>
      <c r="N914" s="69">
        <f t="shared" si="81"/>
        <v>277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0115</v>
      </c>
      <c r="N915" s="69">
        <f t="shared" si="81"/>
        <v>277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0115</v>
      </c>
      <c r="N916" s="69">
        <f t="shared" si="81"/>
        <v>277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0115</v>
      </c>
      <c r="N917" s="69">
        <f t="shared" si="81"/>
        <v>277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0115</v>
      </c>
      <c r="N918" s="69">
        <f t="shared" si="81"/>
        <v>277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0115</v>
      </c>
      <c r="N919" s="69">
        <f t="shared" si="81"/>
        <v>277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0115</v>
      </c>
      <c r="N920" s="69">
        <f t="shared" si="81"/>
        <v>277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0115</v>
      </c>
      <c r="N921" s="69">
        <f t="shared" si="81"/>
        <v>277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0115</v>
      </c>
      <c r="N922" s="69">
        <f t="shared" si="81"/>
        <v>277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0115</v>
      </c>
      <c r="N923" s="69">
        <f t="shared" si="81"/>
        <v>277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0115</v>
      </c>
      <c r="N924" s="69">
        <f t="shared" si="81"/>
        <v>277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0115</v>
      </c>
      <c r="N925" s="69">
        <f t="shared" si="81"/>
        <v>277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0115</v>
      </c>
      <c r="N926" s="69">
        <f t="shared" si="81"/>
        <v>277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0115</v>
      </c>
      <c r="N927" s="69">
        <f t="shared" si="81"/>
        <v>277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0115</v>
      </c>
      <c r="N928" s="69">
        <f t="shared" si="81"/>
        <v>277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0115</v>
      </c>
      <c r="N929" s="69">
        <f t="shared" si="81"/>
        <v>277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0115</v>
      </c>
      <c r="N930" s="69">
        <f t="shared" si="81"/>
        <v>277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0115</v>
      </c>
      <c r="N931" s="69">
        <f t="shared" si="81"/>
        <v>277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0115</v>
      </c>
      <c r="N932" s="69">
        <f t="shared" si="81"/>
        <v>277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0115</v>
      </c>
      <c r="N933" s="69">
        <f t="shared" si="81"/>
        <v>277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0115</v>
      </c>
      <c r="N934" s="69">
        <f t="shared" si="81"/>
        <v>277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0115</v>
      </c>
      <c r="N935" s="69">
        <f t="shared" si="81"/>
        <v>277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0115</v>
      </c>
      <c r="N936" s="69">
        <f t="shared" si="81"/>
        <v>277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0115</v>
      </c>
      <c r="N937" s="69">
        <f t="shared" si="81"/>
        <v>277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0115</v>
      </c>
      <c r="N938" s="69">
        <f t="shared" si="81"/>
        <v>277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0115</v>
      </c>
      <c r="N939" s="69">
        <f t="shared" si="81"/>
        <v>277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0115</v>
      </c>
      <c r="N940" s="69">
        <f t="shared" si="81"/>
        <v>277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0115</v>
      </c>
      <c r="N941" s="69">
        <f t="shared" si="81"/>
        <v>277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0115</v>
      </c>
      <c r="N942" s="69">
        <f t="shared" si="81"/>
        <v>277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0115</v>
      </c>
      <c r="N943" s="69">
        <f t="shared" si="81"/>
        <v>277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0115</v>
      </c>
      <c r="N944" s="69">
        <f t="shared" si="81"/>
        <v>277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0115</v>
      </c>
      <c r="N945" s="69">
        <f t="shared" si="81"/>
        <v>277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0115</v>
      </c>
      <c r="N946" s="69">
        <f t="shared" si="81"/>
        <v>277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0115</v>
      </c>
      <c r="N947" s="69">
        <f t="shared" si="81"/>
        <v>277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0115</v>
      </c>
      <c r="N948" s="69">
        <f t="shared" si="81"/>
        <v>277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0115</v>
      </c>
      <c r="N949" s="69">
        <f t="shared" si="81"/>
        <v>277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0115</v>
      </c>
      <c r="N950" s="69">
        <f t="shared" si="81"/>
        <v>277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0115</v>
      </c>
      <c r="N951" s="69">
        <f t="shared" si="81"/>
        <v>277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0115</v>
      </c>
      <c r="N952" s="69">
        <f t="shared" si="81"/>
        <v>277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0115</v>
      </c>
      <c r="N953" s="69">
        <f t="shared" si="81"/>
        <v>277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0115</v>
      </c>
      <c r="N954" s="69">
        <f t="shared" si="81"/>
        <v>277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0115</v>
      </c>
      <c r="N955" s="69">
        <f t="shared" si="81"/>
        <v>277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0115</v>
      </c>
      <c r="N956" s="69">
        <f t="shared" si="81"/>
        <v>277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0115</v>
      </c>
      <c r="N957" s="69">
        <f t="shared" si="81"/>
        <v>277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0115</v>
      </c>
      <c r="N958" s="69">
        <f t="shared" si="81"/>
        <v>277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0115</v>
      </c>
      <c r="N959" s="69">
        <f t="shared" si="81"/>
        <v>277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0115</v>
      </c>
      <c r="N960" s="69">
        <f t="shared" si="81"/>
        <v>277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0115</v>
      </c>
      <c r="N961" s="69">
        <f t="shared" si="81"/>
        <v>277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0115</v>
      </c>
      <c r="N962" s="69">
        <f t="shared" si="81"/>
        <v>277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0115</v>
      </c>
      <c r="N963" s="69">
        <f t="shared" si="81"/>
        <v>277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0115</v>
      </c>
      <c r="N964" s="69">
        <f t="shared" si="81"/>
        <v>277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0115</v>
      </c>
      <c r="N965" s="69">
        <f t="shared" si="81"/>
        <v>277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0115</v>
      </c>
      <c r="N966" s="69">
        <f t="shared" si="81"/>
        <v>277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0115</v>
      </c>
      <c r="N967" s="69">
        <f t="shared" si="81"/>
        <v>277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0115</v>
      </c>
      <c r="N968" s="69">
        <f t="shared" si="81"/>
        <v>277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0115</v>
      </c>
      <c r="N969" s="69">
        <f t="shared" si="81"/>
        <v>277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0115</v>
      </c>
      <c r="N970" s="69">
        <f t="shared" ref="N970:N1033" si="85">N969+S969</f>
        <v>277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0115</v>
      </c>
      <c r="N971" s="69">
        <f t="shared" si="85"/>
        <v>277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0115</v>
      </c>
      <c r="N972" s="69">
        <f t="shared" si="85"/>
        <v>277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0115</v>
      </c>
      <c r="N973" s="69">
        <f t="shared" si="85"/>
        <v>277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0115</v>
      </c>
      <c r="N974" s="69">
        <f t="shared" si="85"/>
        <v>277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0115</v>
      </c>
      <c r="N975" s="69">
        <f t="shared" si="85"/>
        <v>277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0115</v>
      </c>
      <c r="N976" s="69">
        <f t="shared" si="85"/>
        <v>277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0115</v>
      </c>
      <c r="N977" s="69">
        <f t="shared" si="85"/>
        <v>277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0115</v>
      </c>
      <c r="N978" s="69">
        <f t="shared" si="85"/>
        <v>277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0115</v>
      </c>
      <c r="N979" s="69">
        <f t="shared" si="85"/>
        <v>277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0115</v>
      </c>
      <c r="N980" s="69">
        <f t="shared" si="85"/>
        <v>277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0115</v>
      </c>
      <c r="N981" s="69">
        <f t="shared" si="85"/>
        <v>277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0115</v>
      </c>
      <c r="N982" s="69">
        <f t="shared" si="85"/>
        <v>277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0115</v>
      </c>
      <c r="N983" s="69">
        <f t="shared" si="85"/>
        <v>277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0115</v>
      </c>
      <c r="N984" s="69">
        <f t="shared" si="85"/>
        <v>277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0115</v>
      </c>
      <c r="N985" s="69">
        <f t="shared" si="85"/>
        <v>277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0115</v>
      </c>
      <c r="N986" s="69">
        <f t="shared" si="85"/>
        <v>277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0115</v>
      </c>
      <c r="N987" s="69">
        <f t="shared" si="85"/>
        <v>277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0115</v>
      </c>
      <c r="N988" s="69">
        <f t="shared" si="85"/>
        <v>277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0115</v>
      </c>
      <c r="N989" s="69">
        <f t="shared" si="85"/>
        <v>277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0115</v>
      </c>
      <c r="N990" s="69">
        <f t="shared" si="85"/>
        <v>277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0115</v>
      </c>
      <c r="N991" s="69">
        <f t="shared" si="85"/>
        <v>277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0115</v>
      </c>
      <c r="N992" s="69">
        <f t="shared" si="85"/>
        <v>277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0115</v>
      </c>
      <c r="N993" s="69">
        <f t="shared" si="85"/>
        <v>277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0115</v>
      </c>
      <c r="N994" s="69">
        <f t="shared" si="85"/>
        <v>277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0115</v>
      </c>
      <c r="N995" s="69">
        <f t="shared" si="85"/>
        <v>277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0115</v>
      </c>
      <c r="N996" s="69">
        <f t="shared" si="85"/>
        <v>277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0115</v>
      </c>
      <c r="N997" s="69">
        <f t="shared" si="85"/>
        <v>277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0115</v>
      </c>
      <c r="N998" s="69">
        <f t="shared" si="85"/>
        <v>277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0115</v>
      </c>
      <c r="N999" s="69">
        <f t="shared" si="85"/>
        <v>277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0115</v>
      </c>
      <c r="N1000" s="69">
        <f t="shared" si="85"/>
        <v>277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0115</v>
      </c>
      <c r="N1001" s="69">
        <f t="shared" si="85"/>
        <v>277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0115</v>
      </c>
      <c r="N1002" s="69">
        <f t="shared" si="85"/>
        <v>277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0115</v>
      </c>
      <c r="N1003" s="69">
        <f t="shared" si="85"/>
        <v>277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0115</v>
      </c>
      <c r="N1004" s="69">
        <f t="shared" si="85"/>
        <v>277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0115</v>
      </c>
      <c r="N1005" s="69">
        <f t="shared" si="85"/>
        <v>277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0115</v>
      </c>
      <c r="N1006" s="69">
        <f t="shared" si="85"/>
        <v>277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0115</v>
      </c>
      <c r="N1007" s="69">
        <f t="shared" si="85"/>
        <v>277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0115</v>
      </c>
      <c r="N1008" s="69">
        <f t="shared" si="85"/>
        <v>277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0115</v>
      </c>
      <c r="N1009" s="69">
        <f t="shared" si="85"/>
        <v>277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0115</v>
      </c>
      <c r="N1010" s="69">
        <f t="shared" si="85"/>
        <v>277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0115</v>
      </c>
      <c r="N1011" s="69">
        <f t="shared" si="85"/>
        <v>277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0115</v>
      </c>
      <c r="N1012" s="69">
        <f t="shared" si="85"/>
        <v>277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0115</v>
      </c>
      <c r="N1013" s="69">
        <f t="shared" si="85"/>
        <v>277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0115</v>
      </c>
      <c r="N1014" s="69">
        <f t="shared" si="85"/>
        <v>277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0115</v>
      </c>
      <c r="N1015" s="69">
        <f t="shared" si="85"/>
        <v>277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0115</v>
      </c>
      <c r="N1016" s="69">
        <f t="shared" si="85"/>
        <v>277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0115</v>
      </c>
      <c r="N1017" s="69">
        <f t="shared" si="85"/>
        <v>277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0115</v>
      </c>
      <c r="N1018" s="69">
        <f t="shared" si="85"/>
        <v>277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0115</v>
      </c>
      <c r="N1019" s="69">
        <f t="shared" si="85"/>
        <v>277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0115</v>
      </c>
      <c r="N1020" s="69">
        <f t="shared" si="85"/>
        <v>277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0115</v>
      </c>
      <c r="N1021" s="69">
        <f t="shared" si="85"/>
        <v>277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0115</v>
      </c>
      <c r="N1022" s="69">
        <f t="shared" si="85"/>
        <v>277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0115</v>
      </c>
      <c r="N1023" s="69">
        <f t="shared" si="85"/>
        <v>277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0115</v>
      </c>
      <c r="N1024" s="69">
        <f t="shared" si="85"/>
        <v>277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0115</v>
      </c>
      <c r="N1025" s="69">
        <f t="shared" si="85"/>
        <v>277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0115</v>
      </c>
      <c r="N1026" s="69">
        <f t="shared" si="85"/>
        <v>277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0115</v>
      </c>
      <c r="N1027" s="69">
        <f t="shared" si="85"/>
        <v>277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0115</v>
      </c>
      <c r="N1028" s="69">
        <f t="shared" si="85"/>
        <v>277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0115</v>
      </c>
      <c r="N1029" s="69">
        <f t="shared" si="85"/>
        <v>277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0115</v>
      </c>
      <c r="N1030" s="69">
        <f t="shared" si="85"/>
        <v>277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0115</v>
      </c>
      <c r="N1031" s="69">
        <f t="shared" si="85"/>
        <v>277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0115</v>
      </c>
      <c r="N1032" s="69">
        <f t="shared" si="85"/>
        <v>277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0115</v>
      </c>
      <c r="N1033" s="69">
        <f t="shared" si="85"/>
        <v>277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0115</v>
      </c>
      <c r="N1034" s="69">
        <f t="shared" ref="N1034:N1070" si="88">N1033+S1033</f>
        <v>277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0115</v>
      </c>
      <c r="N1035" s="69">
        <f t="shared" si="88"/>
        <v>277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0115</v>
      </c>
      <c r="N1036" s="69">
        <f t="shared" si="88"/>
        <v>277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0115</v>
      </c>
      <c r="N1037" s="69">
        <f t="shared" si="88"/>
        <v>277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0115</v>
      </c>
      <c r="N1038" s="69">
        <f t="shared" si="88"/>
        <v>277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0115</v>
      </c>
      <c r="N1039" s="69">
        <f t="shared" si="88"/>
        <v>277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0115</v>
      </c>
      <c r="N1040" s="69">
        <f t="shared" si="88"/>
        <v>277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0115</v>
      </c>
      <c r="N1041" s="69">
        <f t="shared" si="88"/>
        <v>277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0115</v>
      </c>
      <c r="N1042" s="69">
        <f t="shared" si="88"/>
        <v>277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0115</v>
      </c>
      <c r="N1043" s="69">
        <f t="shared" si="88"/>
        <v>277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0115</v>
      </c>
      <c r="N1044" s="69">
        <f t="shared" si="88"/>
        <v>277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0115</v>
      </c>
      <c r="N1045" s="69">
        <f t="shared" si="88"/>
        <v>277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0115</v>
      </c>
      <c r="N1046" s="69">
        <f t="shared" si="88"/>
        <v>277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0115</v>
      </c>
      <c r="N1047" s="69">
        <f t="shared" si="88"/>
        <v>277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0115</v>
      </c>
      <c r="N1048" s="69">
        <f t="shared" si="88"/>
        <v>277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0115</v>
      </c>
      <c r="N1049" s="69">
        <f t="shared" si="88"/>
        <v>277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0115</v>
      </c>
      <c r="N1050" s="69">
        <f t="shared" si="88"/>
        <v>277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0115</v>
      </c>
      <c r="N1051" s="69">
        <f t="shared" si="88"/>
        <v>277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0115</v>
      </c>
      <c r="N1052" s="69">
        <f t="shared" si="88"/>
        <v>277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0115</v>
      </c>
      <c r="N1053" s="69">
        <f t="shared" si="88"/>
        <v>277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0115</v>
      </c>
      <c r="N1054" s="69">
        <f t="shared" si="88"/>
        <v>277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0115</v>
      </c>
      <c r="N1055" s="69">
        <f t="shared" si="88"/>
        <v>277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0115</v>
      </c>
      <c r="N1056" s="69">
        <f t="shared" si="88"/>
        <v>277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0115</v>
      </c>
      <c r="N1057" s="69">
        <f t="shared" si="88"/>
        <v>277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0115</v>
      </c>
      <c r="N1058" s="69">
        <f t="shared" si="88"/>
        <v>277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0115</v>
      </c>
      <c r="N1059" s="69">
        <f t="shared" si="88"/>
        <v>277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0115</v>
      </c>
      <c r="N1060" s="69">
        <f t="shared" si="88"/>
        <v>277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0115</v>
      </c>
      <c r="N1061" s="69">
        <f t="shared" si="88"/>
        <v>277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0115</v>
      </c>
      <c r="N1062" s="69">
        <f t="shared" si="88"/>
        <v>277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0115</v>
      </c>
      <c r="N1063" s="69">
        <f t="shared" si="88"/>
        <v>277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0115</v>
      </c>
      <c r="N1064" s="69">
        <f t="shared" si="88"/>
        <v>277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0115</v>
      </c>
      <c r="N1065" s="69">
        <f t="shared" si="88"/>
        <v>277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0115</v>
      </c>
      <c r="N1066" s="69">
        <f t="shared" si="88"/>
        <v>277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0115</v>
      </c>
      <c r="N1067" s="69">
        <f t="shared" si="88"/>
        <v>277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0115</v>
      </c>
      <c r="N1068" s="69">
        <f t="shared" si="88"/>
        <v>277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0115</v>
      </c>
      <c r="N1069" s="69">
        <f t="shared" si="88"/>
        <v>277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0115</v>
      </c>
      <c r="N1070" s="136">
        <f t="shared" si="88"/>
        <v>277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354" priority="29" operator="equal">
      <formula>0</formula>
    </cfRule>
    <cfRule type="cellIs" dxfId="353" priority="30" operator="greaterThan">
      <formula>0</formula>
    </cfRule>
  </conditionalFormatting>
  <conditionalFormatting sqref="F1:W1">
    <cfRule type="containsText" dxfId="352" priority="20" operator="containsText" text="Halted">
      <formula>NOT(ISERROR(SEARCH("Halted",F1)))</formula>
    </cfRule>
    <cfRule type="containsText" dxfId="351" priority="27" operator="containsText" text="Error">
      <formula>NOT(ISERROR(SEARCH("Error",F1)))</formula>
    </cfRule>
    <cfRule type="expression" dxfId="350" priority="28">
      <formula>$F$1&lt;&gt;""</formula>
    </cfRule>
  </conditionalFormatting>
  <conditionalFormatting sqref="P30:R1070">
    <cfRule type="expression" dxfId="349" priority="52">
      <formula>$N30=$E$13</formula>
    </cfRule>
  </conditionalFormatting>
  <conditionalFormatting sqref="M7:T7 M30:R1070 M8:N1070">
    <cfRule type="containsText" dxfId="348" priority="8" operator="containsText" text=" ">
      <formula>NOT(ISERROR(SEARCH(" ",M7)))</formula>
    </cfRule>
  </conditionalFormatting>
  <conditionalFormatting sqref="AL5:AM5">
    <cfRule type="cellIs" dxfId="347" priority="6" operator="equal">
      <formula>0</formula>
    </cfRule>
    <cfRule type="cellIs" dxfId="346" priority="7" operator="equal">
      <formula>1</formula>
    </cfRule>
  </conditionalFormatting>
  <conditionalFormatting sqref="H20">
    <cfRule type="cellIs" dxfId="345" priority="4" operator="equal">
      <formula>0</formula>
    </cfRule>
    <cfRule type="cellIs" dxfId="344" priority="5" operator="equal">
      <formula>1</formula>
    </cfRule>
  </conditionalFormatting>
  <conditionalFormatting sqref="K7:T7 K30:R1070 K8:N29">
    <cfRule type="expression" dxfId="343" priority="3">
      <formula>$E$13=$N7</formula>
    </cfRule>
  </conditionalFormatting>
  <conditionalFormatting sqref="AD5:AK5">
    <cfRule type="cellIs" dxfId="342" priority="1" operator="equal">
      <formula>0</formula>
    </cfRule>
    <cfRule type="cellIs" dxfId="34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583"/>
  <sheetViews>
    <sheetView zoomScaleNormal="100" workbookViewId="0">
      <pane xSplit="1" ySplit="4" topLeftCell="B560" activePane="bottomRight" state="frozen"/>
      <selection pane="topRight" activeCell="B1" sqref="B1"/>
      <selection pane="bottomLeft" activeCell="A5" sqref="A5"/>
      <selection pane="bottomRight" activeCell="E584" sqref="E584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8">
        <v>1</v>
      </c>
      <c r="AA1" s="158">
        <v>1</v>
      </c>
      <c r="AB1" s="158">
        <v>0</v>
      </c>
      <c r="AC1" s="158">
        <v>0</v>
      </c>
      <c r="AD1" s="158">
        <v>0</v>
      </c>
      <c r="AE1" s="158">
        <v>1</v>
      </c>
      <c r="AF1" s="159">
        <v>1</v>
      </c>
    </row>
    <row r="2" spans="1:32" ht="15.75" thickBot="1">
      <c r="B2" s="55" t="str">
        <f>CPU!C6</f>
        <v>E3</v>
      </c>
      <c r="C2" s="55" t="str">
        <f>CPU!C7</f>
        <v>08</v>
      </c>
      <c r="D2" s="55" t="str">
        <f>CPU!C8</f>
        <v>1C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0114</v>
      </c>
      <c r="J2" s="55" t="str">
        <f>SP</f>
        <v>0200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1</v>
      </c>
      <c r="Z3" s="134">
        <v>0</v>
      </c>
      <c r="AA3" s="134">
        <v>1</v>
      </c>
      <c r="AB3" s="134">
        <v>0</v>
      </c>
      <c r="AC3" s="134">
        <v>1</v>
      </c>
      <c r="AD3" s="134">
        <v>0</v>
      </c>
      <c r="AE3" s="134">
        <v>1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67" t="s">
        <v>337</v>
      </c>
      <c r="V5" s="168"/>
      <c r="W5" s="168"/>
      <c r="X5" s="168"/>
      <c r="Y5" s="168"/>
      <c r="Z5" s="168"/>
      <c r="AA5" s="168"/>
      <c r="AB5" s="169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70" t="s">
        <v>1044</v>
      </c>
      <c r="V6" s="170"/>
      <c r="W6" s="170"/>
      <c r="X6" s="170"/>
      <c r="Y6" s="170"/>
      <c r="Z6" s="170"/>
      <c r="AA6" s="170"/>
      <c r="AB6" s="170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71"/>
      <c r="V7" s="171"/>
      <c r="W7" s="171"/>
      <c r="X7" s="171"/>
      <c r="Y7" s="171"/>
      <c r="Z7" s="171"/>
      <c r="AA7" s="171"/>
      <c r="AB7" s="171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71"/>
      <c r="V8" s="171"/>
      <c r="W8" s="171"/>
      <c r="X8" s="171"/>
      <c r="Y8" s="171"/>
      <c r="Z8" s="171"/>
      <c r="AA8" s="171"/>
      <c r="AB8" s="171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71"/>
      <c r="V9" s="171"/>
      <c r="W9" s="171"/>
      <c r="X9" s="171"/>
      <c r="Y9" s="171"/>
      <c r="Z9" s="171"/>
      <c r="AA9" s="171"/>
      <c r="AB9" s="171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71"/>
      <c r="V10" s="171"/>
      <c r="W10" s="171"/>
      <c r="X10" s="171"/>
      <c r="Y10" s="171"/>
      <c r="Z10" s="171"/>
      <c r="AA10" s="171"/>
      <c r="AB10" s="171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71"/>
      <c r="V11" s="171"/>
      <c r="W11" s="171"/>
      <c r="X11" s="171"/>
      <c r="Y11" s="171"/>
      <c r="Z11" s="171"/>
      <c r="AA11" s="171"/>
      <c r="AB11" s="171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71"/>
      <c r="V12" s="171"/>
      <c r="W12" s="171"/>
      <c r="X12" s="171"/>
      <c r="Y12" s="171"/>
      <c r="Z12" s="171"/>
      <c r="AA12" s="171"/>
      <c r="AB12" s="171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71"/>
      <c r="V13" s="171"/>
      <c r="W13" s="171"/>
      <c r="X13" s="171"/>
      <c r="Y13" s="171"/>
      <c r="Z13" s="171"/>
      <c r="AA13" s="171"/>
      <c r="AB13" s="171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71"/>
      <c r="V14" s="171"/>
      <c r="W14" s="171"/>
      <c r="X14" s="171"/>
      <c r="Y14" s="171"/>
      <c r="Z14" s="171"/>
      <c r="AA14" s="171"/>
      <c r="AB14" s="171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71"/>
      <c r="V15" s="171"/>
      <c r="W15" s="171"/>
      <c r="X15" s="171"/>
      <c r="Y15" s="171"/>
      <c r="Z15" s="171"/>
      <c r="AA15" s="171"/>
      <c r="AB15" s="171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71"/>
      <c r="V16" s="171"/>
      <c r="W16" s="171"/>
      <c r="X16" s="171"/>
      <c r="Y16" s="171"/>
      <c r="Z16" s="171"/>
      <c r="AA16" s="171"/>
      <c r="AB16" s="171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71"/>
      <c r="V17" s="171"/>
      <c r="W17" s="171"/>
      <c r="X17" s="171"/>
      <c r="Y17" s="171"/>
      <c r="Z17" s="171"/>
      <c r="AA17" s="171"/>
      <c r="AB17" s="171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71"/>
      <c r="V18" s="171"/>
      <c r="W18" s="171"/>
      <c r="X18" s="171"/>
      <c r="Y18" s="171"/>
      <c r="Z18" s="171"/>
      <c r="AA18" s="171"/>
      <c r="AB18" s="171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71"/>
      <c r="V19" s="171"/>
      <c r="W19" s="171"/>
      <c r="X19" s="171"/>
      <c r="Y19" s="171"/>
      <c r="Z19" s="171"/>
      <c r="AA19" s="171"/>
      <c r="AB19" s="171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71"/>
      <c r="V20" s="171"/>
      <c r="W20" s="171"/>
      <c r="X20" s="171"/>
      <c r="Y20" s="171"/>
      <c r="Z20" s="171"/>
      <c r="AA20" s="171"/>
      <c r="AB20" s="171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71"/>
      <c r="V21" s="171"/>
      <c r="W21" s="171"/>
      <c r="X21" s="171"/>
      <c r="Y21" s="171"/>
      <c r="Z21" s="171"/>
      <c r="AA21" s="171"/>
      <c r="AB21" s="171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71"/>
      <c r="V22" s="171"/>
      <c r="W22" s="171"/>
      <c r="X22" s="171"/>
      <c r="Y22" s="171"/>
      <c r="Z22" s="171"/>
      <c r="AA22" s="171"/>
      <c r="AB22" s="171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71"/>
      <c r="V23" s="171"/>
      <c r="W23" s="171"/>
      <c r="X23" s="171"/>
      <c r="Y23" s="171"/>
      <c r="Z23" s="171"/>
      <c r="AA23" s="171"/>
      <c r="AB23" s="171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71"/>
      <c r="V24" s="171"/>
      <c r="W24" s="171"/>
      <c r="X24" s="171"/>
      <c r="Y24" s="171"/>
      <c r="Z24" s="171"/>
      <c r="AA24" s="171"/>
      <c r="AB24" s="171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71"/>
      <c r="V25" s="171"/>
      <c r="W25" s="171"/>
      <c r="X25" s="171"/>
      <c r="Y25" s="171"/>
      <c r="Z25" s="171"/>
      <c r="AA25" s="171"/>
      <c r="AB25" s="171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71"/>
      <c r="V26" s="171"/>
      <c r="W26" s="171"/>
      <c r="X26" s="171"/>
      <c r="Y26" s="171"/>
      <c r="Z26" s="171"/>
      <c r="AA26" s="171"/>
      <c r="AB26" s="171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71"/>
      <c r="V27" s="171"/>
      <c r="W27" s="171"/>
      <c r="X27" s="171"/>
      <c r="Y27" s="171"/>
      <c r="Z27" s="171"/>
      <c r="AA27" s="171"/>
      <c r="AB27" s="171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71"/>
      <c r="V28" s="171"/>
      <c r="W28" s="171"/>
      <c r="X28" s="171"/>
      <c r="Y28" s="171"/>
      <c r="Z28" s="171"/>
      <c r="AA28" s="171"/>
      <c r="AB28" s="171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71"/>
      <c r="V29" s="171"/>
      <c r="W29" s="171"/>
      <c r="X29" s="171"/>
      <c r="Y29" s="171"/>
      <c r="Z29" s="171"/>
      <c r="AA29" s="171"/>
      <c r="AB29" s="171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71"/>
      <c r="V30" s="171"/>
      <c r="W30" s="171"/>
      <c r="X30" s="171"/>
      <c r="Y30" s="171"/>
      <c r="Z30" s="171"/>
      <c r="AA30" s="171"/>
      <c r="AB30" s="171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71"/>
      <c r="V31" s="171"/>
      <c r="W31" s="171"/>
      <c r="X31" s="171"/>
      <c r="Y31" s="171"/>
      <c r="Z31" s="171"/>
      <c r="AA31" s="171"/>
      <c r="AB31" s="17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71"/>
      <c r="V32" s="171"/>
      <c r="W32" s="171"/>
      <c r="X32" s="171"/>
      <c r="Y32" s="171"/>
      <c r="Z32" s="171"/>
      <c r="AA32" s="171"/>
      <c r="AB32" s="171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71"/>
      <c r="V33" s="171"/>
      <c r="W33" s="171"/>
      <c r="X33" s="171"/>
      <c r="Y33" s="171"/>
      <c r="Z33" s="171"/>
      <c r="AA33" s="171"/>
      <c r="AB33" s="171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71"/>
      <c r="V34" s="171"/>
      <c r="W34" s="171"/>
      <c r="X34" s="171"/>
      <c r="Y34" s="171"/>
      <c r="Z34" s="171"/>
      <c r="AA34" s="171"/>
      <c r="AB34" s="171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71"/>
      <c r="V35" s="171"/>
      <c r="W35" s="171"/>
      <c r="X35" s="171"/>
      <c r="Y35" s="171"/>
      <c r="Z35" s="171"/>
      <c r="AA35" s="171"/>
      <c r="AB35" s="171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450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1</v>
      </c>
      <c r="K52" s="54"/>
      <c r="L52" s="39" t="s">
        <v>257</v>
      </c>
      <c r="P52" s="6" t="s">
        <v>451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994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ref="Q60:Q62" si="18">IFERROR(VLOOKUP(P60,$A$4:$L$1048576,12,0),"")</f>
        <v>IN / OUT / Switch / Light</v>
      </c>
      <c r="R60" s="39">
        <v>0</v>
      </c>
      <c r="S60" s="39">
        <v>0</v>
      </c>
    </row>
    <row r="61" spans="1:19">
      <c r="B61" s="6" t="str">
        <f t="shared" ref="B61:B64" si="19">DEC2HEX(C61)</f>
        <v>3</v>
      </c>
      <c r="C61" s="6">
        <f t="shared" ref="C61:C64" si="20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0</v>
      </c>
      <c r="K61" s="54"/>
      <c r="L61" s="39" t="s">
        <v>257</v>
      </c>
      <c r="P61" s="6" t="s">
        <v>1024</v>
      </c>
      <c r="Q61" s="39" t="str">
        <f t="shared" si="18"/>
        <v>Loop and Lights</v>
      </c>
      <c r="R61" s="39">
        <v>0</v>
      </c>
      <c r="S61" s="39">
        <v>0</v>
      </c>
    </row>
    <row r="62" spans="1:19">
      <c r="B62" s="6" t="str">
        <f t="shared" si="19"/>
        <v>4</v>
      </c>
      <c r="C62" s="6">
        <f t="shared" si="20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18"/>
        <v/>
      </c>
      <c r="R62" s="39">
        <v>0</v>
      </c>
      <c r="S62" s="39">
        <v>0</v>
      </c>
    </row>
    <row r="63" spans="1:19">
      <c r="B63" s="6" t="str">
        <f t="shared" si="19"/>
        <v>5</v>
      </c>
      <c r="C63" s="6">
        <f t="shared" si="20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258</v>
      </c>
    </row>
    <row r="64" spans="1:19">
      <c r="B64" s="6" t="str">
        <f t="shared" si="19"/>
        <v>6</v>
      </c>
      <c r="C64" s="6">
        <f t="shared" si="20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1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1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1"/>
        <v>2</v>
      </c>
      <c r="C69" s="6">
        <f t="shared" ref="C69" si="22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</row>
    <row r="70" spans="1:14">
      <c r="B70" s="6" t="str">
        <f t="shared" ref="B70:B72" si="23">DEC2HEX(C70)</f>
        <v>3</v>
      </c>
      <c r="C70" s="6">
        <f t="shared" ref="C70:C72" si="24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3"/>
        <v>4</v>
      </c>
      <c r="C71" s="6">
        <f t="shared" si="24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3"/>
        <v>5</v>
      </c>
      <c r="C72" s="6">
        <f t="shared" si="24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279</v>
      </c>
    </row>
    <row r="78" spans="1:14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0</v>
      </c>
      <c r="K79" s="54"/>
      <c r="L79" s="39"/>
    </row>
    <row r="80" spans="1:14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280</v>
      </c>
    </row>
    <row r="81" spans="1:14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0</v>
      </c>
      <c r="K85" s="54"/>
      <c r="L85" s="39"/>
    </row>
    <row r="86" spans="1:14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</row>
    <row r="90" spans="1:14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</row>
    <row r="91" spans="1:14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1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1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1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1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0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1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1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IFERROR(IF(AND(J546:J554),0,1),0)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0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0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40" t="s">
        <v>143</v>
      </c>
      <c r="C564" s="40" t="s">
        <v>144</v>
      </c>
      <c r="D564" s="53" t="s">
        <v>131</v>
      </c>
      <c r="E564" s="41" t="s">
        <v>149</v>
      </c>
      <c r="F564" s="53" t="s">
        <v>129</v>
      </c>
      <c r="G564" s="53" t="s">
        <v>130</v>
      </c>
      <c r="H564" s="53" t="s">
        <v>252</v>
      </c>
      <c r="I564" s="163" t="s">
        <v>212</v>
      </c>
      <c r="J564" s="52">
        <f>IFERROR(IF(AND(J565:J573),0,1),0)</f>
        <v>0</v>
      </c>
      <c r="K564" s="110" t="s">
        <v>436</v>
      </c>
      <c r="L564" s="68" t="s">
        <v>1032</v>
      </c>
      <c r="M564" s="20">
        <f>IFERROR(VLOOKUP($A564,$P$6:$S$1048576,3,0),0)</f>
        <v>0</v>
      </c>
      <c r="N564" s="20">
        <f>IFERROR(VLOOKUP($A564,$P$6:$S$1048576,4,0),0)</f>
        <v>0</v>
      </c>
    </row>
    <row r="565" spans="1:14">
      <c r="B565" s="39" t="str">
        <f t="shared" ref="B565:B581" si="107">DEC2HEX(C565)</f>
        <v>0</v>
      </c>
      <c r="C565" s="39">
        <v>0</v>
      </c>
      <c r="D565" s="95"/>
      <c r="E565" s="96" t="s">
        <v>1026</v>
      </c>
      <c r="F565" s="156" t="s">
        <v>1030</v>
      </c>
      <c r="G565" s="98"/>
    </row>
    <row r="566" spans="1:14">
      <c r="B566" s="39" t="str">
        <f t="shared" si="107"/>
        <v>1</v>
      </c>
      <c r="C566" s="39">
        <f>C565+1</f>
        <v>1</v>
      </c>
      <c r="D566" s="95"/>
      <c r="E566" s="96"/>
      <c r="F566" s="97"/>
      <c r="G566" s="98"/>
    </row>
    <row r="567" spans="1:14">
      <c r="B567" s="39" t="str">
        <f t="shared" si="107"/>
        <v>2</v>
      </c>
      <c r="C567" s="39">
        <f t="shared" ref="C567:C583" si="108">C566+1</f>
        <v>2</v>
      </c>
      <c r="D567" s="95" t="s">
        <v>1027</v>
      </c>
      <c r="E567" s="96" t="s">
        <v>148</v>
      </c>
      <c r="F567" s="97" t="s">
        <v>151</v>
      </c>
      <c r="G567" s="98" t="s">
        <v>222</v>
      </c>
    </row>
    <row r="568" spans="1:14">
      <c r="B568" s="39" t="str">
        <f t="shared" si="107"/>
        <v>3</v>
      </c>
      <c r="C568" s="39">
        <f t="shared" si="108"/>
        <v>3</v>
      </c>
      <c r="D568" s="95"/>
      <c r="E568" s="96" t="s">
        <v>148</v>
      </c>
      <c r="F568" s="97" t="s">
        <v>153</v>
      </c>
      <c r="G568" s="98" t="s">
        <v>222</v>
      </c>
    </row>
    <row r="569" spans="1:14">
      <c r="B569" s="39" t="str">
        <f t="shared" si="107"/>
        <v>4</v>
      </c>
      <c r="C569" s="39">
        <f t="shared" si="108"/>
        <v>4</v>
      </c>
      <c r="D569" s="95"/>
      <c r="E569" s="96" t="s">
        <v>148</v>
      </c>
      <c r="F569" s="97" t="s">
        <v>189</v>
      </c>
      <c r="G569" s="98" t="s">
        <v>222</v>
      </c>
    </row>
    <row r="570" spans="1:14">
      <c r="B570" s="39" t="str">
        <f t="shared" si="107"/>
        <v>5</v>
      </c>
      <c r="C570" s="39">
        <f t="shared" si="108"/>
        <v>5</v>
      </c>
      <c r="D570" s="95"/>
      <c r="E570" s="96"/>
      <c r="F570" s="97"/>
      <c r="G570" s="98"/>
    </row>
    <row r="571" spans="1:14">
      <c r="B571" s="39" t="str">
        <f t="shared" si="107"/>
        <v>6</v>
      </c>
      <c r="C571" s="39">
        <f t="shared" si="108"/>
        <v>6</v>
      </c>
      <c r="D571" s="95"/>
      <c r="E571" s="96"/>
      <c r="F571" s="97"/>
      <c r="G571" s="98"/>
    </row>
    <row r="572" spans="1:14">
      <c r="B572" s="39" t="str">
        <f t="shared" si="107"/>
        <v>7</v>
      </c>
      <c r="C572" s="39">
        <f t="shared" si="108"/>
        <v>7</v>
      </c>
      <c r="D572" s="95" t="s">
        <v>1028</v>
      </c>
      <c r="E572" s="96" t="s">
        <v>188</v>
      </c>
      <c r="F572" s="97" t="s">
        <v>153</v>
      </c>
      <c r="G572" s="98" t="s">
        <v>189</v>
      </c>
    </row>
    <row r="573" spans="1:14">
      <c r="B573" s="39" t="str">
        <f t="shared" si="107"/>
        <v>8</v>
      </c>
      <c r="C573" s="39">
        <f t="shared" si="108"/>
        <v>8</v>
      </c>
      <c r="D573" s="95"/>
      <c r="E573" s="96" t="s">
        <v>399</v>
      </c>
      <c r="F573" s="97" t="s">
        <v>151</v>
      </c>
      <c r="G573" s="98"/>
    </row>
    <row r="574" spans="1:14">
      <c r="B574" s="39" t="str">
        <f t="shared" si="107"/>
        <v>9</v>
      </c>
      <c r="C574" s="39">
        <f t="shared" si="108"/>
        <v>9</v>
      </c>
      <c r="D574" s="95"/>
      <c r="E574" s="96" t="s">
        <v>188</v>
      </c>
      <c r="F574" s="97" t="s">
        <v>189</v>
      </c>
      <c r="G574" s="98" t="s">
        <v>153</v>
      </c>
    </row>
    <row r="575" spans="1:14">
      <c r="B575" s="39" t="str">
        <f t="shared" si="107"/>
        <v>A</v>
      </c>
      <c r="C575" s="39">
        <f t="shared" si="108"/>
        <v>10</v>
      </c>
      <c r="D575" s="95"/>
      <c r="E575" s="96" t="s">
        <v>215</v>
      </c>
      <c r="F575" s="97" t="s">
        <v>151</v>
      </c>
      <c r="G575" s="98"/>
    </row>
    <row r="576" spans="1:14">
      <c r="B576" s="39" t="str">
        <f t="shared" si="107"/>
        <v>B</v>
      </c>
      <c r="C576" s="39">
        <f t="shared" si="108"/>
        <v>11</v>
      </c>
      <c r="D576" s="95"/>
      <c r="E576" s="96" t="s">
        <v>188</v>
      </c>
      <c r="F576" s="97" t="s">
        <v>153</v>
      </c>
      <c r="G576" s="98" t="s">
        <v>151</v>
      </c>
    </row>
    <row r="577" spans="2:7">
      <c r="B577" s="39" t="str">
        <f t="shared" si="107"/>
        <v>C</v>
      </c>
      <c r="C577" s="39">
        <f t="shared" si="108"/>
        <v>12</v>
      </c>
      <c r="D577" s="95"/>
      <c r="E577" s="96" t="s">
        <v>164</v>
      </c>
      <c r="F577" s="156" t="s">
        <v>893</v>
      </c>
      <c r="G577" s="98"/>
    </row>
    <row r="578" spans="2:7">
      <c r="B578" s="39" t="str">
        <f t="shared" si="107"/>
        <v>D</v>
      </c>
      <c r="C578" s="39">
        <f t="shared" si="108"/>
        <v>13</v>
      </c>
      <c r="D578" s="95"/>
      <c r="E578" s="96" t="s">
        <v>359</v>
      </c>
      <c r="F578" s="97" t="s">
        <v>1028</v>
      </c>
      <c r="G578" s="98"/>
    </row>
    <row r="579" spans="2:7">
      <c r="B579" s="39" t="str">
        <f t="shared" si="107"/>
        <v>E</v>
      </c>
      <c r="C579" s="39">
        <f t="shared" si="108"/>
        <v>14</v>
      </c>
      <c r="D579" s="95"/>
      <c r="E579" s="96"/>
      <c r="F579" s="97"/>
      <c r="G579" s="98"/>
    </row>
    <row r="580" spans="2:7">
      <c r="B580" s="39" t="str">
        <f t="shared" si="107"/>
        <v>F</v>
      </c>
      <c r="C580" s="39">
        <f t="shared" si="108"/>
        <v>15</v>
      </c>
      <c r="D580" s="95" t="s">
        <v>1029</v>
      </c>
      <c r="E580" s="96" t="s">
        <v>188</v>
      </c>
      <c r="F580" s="97" t="s">
        <v>153</v>
      </c>
      <c r="G580" s="98" t="s">
        <v>189</v>
      </c>
    </row>
    <row r="581" spans="2:7">
      <c r="B581" s="39" t="str">
        <f t="shared" si="107"/>
        <v>10</v>
      </c>
      <c r="C581" s="39">
        <f t="shared" si="108"/>
        <v>16</v>
      </c>
      <c r="D581" s="95"/>
      <c r="E581" s="96" t="s">
        <v>68</v>
      </c>
      <c r="F581" s="97"/>
      <c r="G581" s="98"/>
    </row>
    <row r="582" spans="2:7">
      <c r="B582" s="39" t="str">
        <f t="shared" ref="B582:B583" si="109">DEC2HEX(C582)</f>
        <v>11</v>
      </c>
      <c r="C582" s="39">
        <f t="shared" si="108"/>
        <v>17</v>
      </c>
      <c r="D582" s="95"/>
      <c r="E582" s="96" t="s">
        <v>879</v>
      </c>
      <c r="F582" s="156" t="s">
        <v>147</v>
      </c>
      <c r="G582" s="98"/>
    </row>
    <row r="583" spans="2:7">
      <c r="B583" s="39" t="str">
        <f t="shared" si="109"/>
        <v>12</v>
      </c>
      <c r="C583" s="39">
        <f t="shared" si="108"/>
        <v>18</v>
      </c>
      <c r="D583" s="95"/>
      <c r="E583" s="96" t="s">
        <v>191</v>
      </c>
      <c r="F583" s="97"/>
      <c r="G583" s="98"/>
    </row>
  </sheetData>
  <mergeCells count="2">
    <mergeCell ref="U5:AB5"/>
    <mergeCell ref="U6:AB35"/>
  </mergeCells>
  <phoneticPr fontId="16" type="noConversion"/>
  <conditionalFormatting sqref="J4:K4">
    <cfRule type="cellIs" dxfId="340" priority="545" operator="equal">
      <formula>0</formula>
    </cfRule>
    <cfRule type="cellIs" dxfId="339" priority="546" operator="equal">
      <formula>1</formula>
    </cfRule>
  </conditionalFormatting>
  <conditionalFormatting sqref="J11:K11">
    <cfRule type="cellIs" dxfId="338" priority="543" operator="equal">
      <formula>0</formula>
    </cfRule>
    <cfRule type="cellIs" dxfId="337" priority="544" operator="equal">
      <formula>1</formula>
    </cfRule>
  </conditionalFormatting>
  <conditionalFormatting sqref="J16:K16">
    <cfRule type="cellIs" dxfId="336" priority="541" operator="equal">
      <formula>0</formula>
    </cfRule>
    <cfRule type="cellIs" dxfId="335" priority="542" operator="equal">
      <formula>1</formula>
    </cfRule>
  </conditionalFormatting>
  <conditionalFormatting sqref="J29:K29">
    <cfRule type="cellIs" dxfId="334" priority="537" operator="equal">
      <formula>0</formula>
    </cfRule>
    <cfRule type="cellIs" dxfId="333" priority="538" operator="equal">
      <formula>1</formula>
    </cfRule>
  </conditionalFormatting>
  <conditionalFormatting sqref="M4:N4">
    <cfRule type="cellIs" dxfId="332" priority="535" operator="equal">
      <formula>0</formula>
    </cfRule>
    <cfRule type="cellIs" dxfId="331" priority="536" operator="equal">
      <formula>1</formula>
    </cfRule>
  </conditionalFormatting>
  <conditionalFormatting sqref="J38:K38">
    <cfRule type="cellIs" dxfId="330" priority="525" operator="equal">
      <formula>0</formula>
    </cfRule>
    <cfRule type="cellIs" dxfId="329" priority="526" operator="equal">
      <formula>1</formula>
    </cfRule>
  </conditionalFormatting>
  <conditionalFormatting sqref="K49">
    <cfRule type="cellIs" dxfId="328" priority="521" operator="equal">
      <formula>0</formula>
    </cfRule>
    <cfRule type="cellIs" dxfId="327" priority="522" operator="equal">
      <formula>1</formula>
    </cfRule>
  </conditionalFormatting>
  <conditionalFormatting sqref="K66">
    <cfRule type="cellIs" dxfId="326" priority="513" operator="equal">
      <formula>0</formula>
    </cfRule>
    <cfRule type="cellIs" dxfId="325" priority="514" operator="equal">
      <formula>1</formula>
    </cfRule>
  </conditionalFormatting>
  <conditionalFormatting sqref="K57">
    <cfRule type="cellIs" dxfId="324" priority="509" operator="equal">
      <formula>0</formula>
    </cfRule>
    <cfRule type="cellIs" dxfId="323" priority="510" operator="equal">
      <formula>1</formula>
    </cfRule>
  </conditionalFormatting>
  <conditionalFormatting sqref="J49">
    <cfRule type="cellIs" dxfId="322" priority="505" operator="equal">
      <formula>0</formula>
    </cfRule>
    <cfRule type="cellIs" dxfId="321" priority="506" operator="equal">
      <formula>1</formula>
    </cfRule>
  </conditionalFormatting>
  <conditionalFormatting sqref="J57">
    <cfRule type="cellIs" dxfId="320" priority="503" operator="equal">
      <formula>0</formula>
    </cfRule>
    <cfRule type="cellIs" dxfId="319" priority="504" operator="equal">
      <formula>1</formula>
    </cfRule>
  </conditionalFormatting>
  <conditionalFormatting sqref="J66">
    <cfRule type="cellIs" dxfId="318" priority="501" operator="equal">
      <formula>0</formula>
    </cfRule>
    <cfRule type="cellIs" dxfId="317" priority="502" operator="equal">
      <formula>1</formula>
    </cfRule>
  </conditionalFormatting>
  <conditionalFormatting sqref="K74">
    <cfRule type="cellIs" dxfId="316" priority="499" operator="equal">
      <formula>0</formula>
    </cfRule>
    <cfRule type="cellIs" dxfId="315" priority="500" operator="equal">
      <formula>1</formula>
    </cfRule>
  </conditionalFormatting>
  <conditionalFormatting sqref="J74">
    <cfRule type="cellIs" dxfId="314" priority="495" operator="equal">
      <formula>0</formula>
    </cfRule>
    <cfRule type="cellIs" dxfId="313" priority="496" operator="equal">
      <formula>1</formula>
    </cfRule>
  </conditionalFormatting>
  <conditionalFormatting sqref="R6:R62">
    <cfRule type="cellIs" dxfId="312" priority="493" operator="equal">
      <formula>0</formula>
    </cfRule>
    <cfRule type="cellIs" dxfId="311" priority="494" operator="equal">
      <formula>1</formula>
    </cfRule>
  </conditionalFormatting>
  <conditionalFormatting sqref="K83">
    <cfRule type="cellIs" dxfId="310" priority="475" operator="equal">
      <formula>0</formula>
    </cfRule>
    <cfRule type="cellIs" dxfId="309" priority="476" operator="equal">
      <formula>1</formula>
    </cfRule>
  </conditionalFormatting>
  <conditionalFormatting sqref="J83">
    <cfRule type="cellIs" dxfId="308" priority="473" operator="equal">
      <formula>0</formula>
    </cfRule>
    <cfRule type="cellIs" dxfId="307" priority="474" operator="equal">
      <formula>1</formula>
    </cfRule>
  </conditionalFormatting>
  <conditionalFormatting sqref="K97">
    <cfRule type="cellIs" dxfId="306" priority="469" operator="equal">
      <formula>0</formula>
    </cfRule>
    <cfRule type="cellIs" dxfId="305" priority="470" operator="equal">
      <formula>1</formula>
    </cfRule>
  </conditionalFormatting>
  <conditionalFormatting sqref="J97">
    <cfRule type="cellIs" dxfId="304" priority="467" operator="equal">
      <formula>0</formula>
    </cfRule>
    <cfRule type="cellIs" dxfId="303" priority="468" operator="equal">
      <formula>1</formula>
    </cfRule>
  </conditionalFormatting>
  <conditionalFormatting sqref="K105">
    <cfRule type="cellIs" dxfId="302" priority="457" operator="equal">
      <formula>0</formula>
    </cfRule>
    <cfRule type="cellIs" dxfId="301" priority="458" operator="equal">
      <formula>1</formula>
    </cfRule>
  </conditionalFormatting>
  <conditionalFormatting sqref="J105">
    <cfRule type="cellIs" dxfId="300" priority="455" operator="equal">
      <formula>0</formula>
    </cfRule>
    <cfRule type="cellIs" dxfId="299" priority="456" operator="equal">
      <formula>1</formula>
    </cfRule>
  </conditionalFormatting>
  <conditionalFormatting sqref="K113">
    <cfRule type="cellIs" dxfId="298" priority="451" operator="equal">
      <formula>0</formula>
    </cfRule>
    <cfRule type="cellIs" dxfId="297" priority="452" operator="equal">
      <formula>1</formula>
    </cfRule>
  </conditionalFormatting>
  <conditionalFormatting sqref="K125">
    <cfRule type="cellIs" dxfId="296" priority="413" operator="equal">
      <formula>0</formula>
    </cfRule>
    <cfRule type="cellIs" dxfId="295" priority="414" operator="equal">
      <formula>1</formula>
    </cfRule>
  </conditionalFormatting>
  <conditionalFormatting sqref="K135">
    <cfRule type="cellIs" dxfId="294" priority="399" operator="equal">
      <formula>0</formula>
    </cfRule>
    <cfRule type="cellIs" dxfId="293" priority="400" operator="equal">
      <formula>1</formula>
    </cfRule>
  </conditionalFormatting>
  <conditionalFormatting sqref="J125">
    <cfRule type="cellIs" dxfId="292" priority="393" operator="equal">
      <formula>0</formula>
    </cfRule>
    <cfRule type="cellIs" dxfId="291" priority="394" operator="equal">
      <formula>1</formula>
    </cfRule>
  </conditionalFormatting>
  <conditionalFormatting sqref="J135">
    <cfRule type="cellIs" dxfId="290" priority="391" operator="equal">
      <formula>0</formula>
    </cfRule>
    <cfRule type="cellIs" dxfId="289" priority="392" operator="equal">
      <formula>1</formula>
    </cfRule>
  </conditionalFormatting>
  <conditionalFormatting sqref="J113">
    <cfRule type="cellIs" dxfId="288" priority="389" operator="equal">
      <formula>0</formula>
    </cfRule>
    <cfRule type="cellIs" dxfId="287" priority="390" operator="equal">
      <formula>1</formula>
    </cfRule>
  </conditionalFormatting>
  <conditionalFormatting sqref="K148">
    <cfRule type="cellIs" dxfId="286" priority="387" operator="equal">
      <formula>0</formula>
    </cfRule>
    <cfRule type="cellIs" dxfId="285" priority="388" operator="equal">
      <formula>1</formula>
    </cfRule>
  </conditionalFormatting>
  <conditionalFormatting sqref="J148">
    <cfRule type="cellIs" dxfId="284" priority="381" operator="equal">
      <formula>0</formula>
    </cfRule>
    <cfRule type="cellIs" dxfId="283" priority="382" operator="equal">
      <formula>1</formula>
    </cfRule>
  </conditionalFormatting>
  <conditionalFormatting sqref="K163">
    <cfRule type="cellIs" dxfId="282" priority="377" operator="equal">
      <formula>0</formula>
    </cfRule>
    <cfRule type="cellIs" dxfId="281" priority="378" operator="equal">
      <formula>1</formula>
    </cfRule>
  </conditionalFormatting>
  <conditionalFormatting sqref="J163">
    <cfRule type="cellIs" dxfId="280" priority="375" operator="equal">
      <formula>0</formula>
    </cfRule>
    <cfRule type="cellIs" dxfId="279" priority="376" operator="equal">
      <formula>1</formula>
    </cfRule>
  </conditionalFormatting>
  <conditionalFormatting sqref="K174">
    <cfRule type="cellIs" dxfId="278" priority="371" operator="equal">
      <formula>0</formula>
    </cfRule>
    <cfRule type="cellIs" dxfId="277" priority="372" operator="equal">
      <formula>1</formula>
    </cfRule>
  </conditionalFormatting>
  <conditionalFormatting sqref="J174">
    <cfRule type="cellIs" dxfId="276" priority="369" operator="equal">
      <formula>0</formula>
    </cfRule>
    <cfRule type="cellIs" dxfId="275" priority="370" operator="equal">
      <formula>1</formula>
    </cfRule>
  </conditionalFormatting>
  <conditionalFormatting sqref="K184">
    <cfRule type="cellIs" dxfId="274" priority="359" operator="equal">
      <formula>0</formula>
    </cfRule>
    <cfRule type="cellIs" dxfId="273" priority="360" operator="equal">
      <formula>1</formula>
    </cfRule>
  </conditionalFormatting>
  <conditionalFormatting sqref="J184">
    <cfRule type="cellIs" dxfId="272" priority="357" operator="equal">
      <formula>0</formula>
    </cfRule>
    <cfRule type="cellIs" dxfId="271" priority="358" operator="equal">
      <formula>1</formula>
    </cfRule>
  </conditionalFormatting>
  <conditionalFormatting sqref="K194">
    <cfRule type="cellIs" dxfId="270" priority="353" operator="equal">
      <formula>0</formula>
    </cfRule>
    <cfRule type="cellIs" dxfId="269" priority="354" operator="equal">
      <formula>1</formula>
    </cfRule>
  </conditionalFormatting>
  <conditionalFormatting sqref="J194">
    <cfRule type="cellIs" dxfId="268" priority="351" operator="equal">
      <formula>0</formula>
    </cfRule>
    <cfRule type="cellIs" dxfId="267" priority="352" operator="equal">
      <formula>1</formula>
    </cfRule>
  </conditionalFormatting>
  <conditionalFormatting sqref="K204">
    <cfRule type="cellIs" dxfId="266" priority="347" operator="equal">
      <formula>0</formula>
    </cfRule>
    <cfRule type="cellIs" dxfId="265" priority="348" operator="equal">
      <formula>1</formula>
    </cfRule>
  </conditionalFormatting>
  <conditionalFormatting sqref="J204">
    <cfRule type="cellIs" dxfId="264" priority="345" operator="equal">
      <formula>0</formula>
    </cfRule>
    <cfRule type="cellIs" dxfId="263" priority="346" operator="equal">
      <formula>1</formula>
    </cfRule>
  </conditionalFormatting>
  <conditionalFormatting sqref="K211">
    <cfRule type="cellIs" dxfId="262" priority="341" operator="equal">
      <formula>0</formula>
    </cfRule>
    <cfRule type="cellIs" dxfId="261" priority="342" operator="equal">
      <formula>1</formula>
    </cfRule>
  </conditionalFormatting>
  <conditionalFormatting sqref="J211">
    <cfRule type="cellIs" dxfId="260" priority="339" operator="equal">
      <formula>0</formula>
    </cfRule>
    <cfRule type="cellIs" dxfId="259" priority="340" operator="equal">
      <formula>1</formula>
    </cfRule>
  </conditionalFormatting>
  <conditionalFormatting sqref="K224">
    <cfRule type="cellIs" dxfId="258" priority="335" operator="equal">
      <formula>0</formula>
    </cfRule>
    <cfRule type="cellIs" dxfId="257" priority="336" operator="equal">
      <formula>1</formula>
    </cfRule>
  </conditionalFormatting>
  <conditionalFormatting sqref="J224">
    <cfRule type="cellIs" dxfId="256" priority="333" operator="equal">
      <formula>0</formula>
    </cfRule>
    <cfRule type="cellIs" dxfId="255" priority="334" operator="equal">
      <formula>1</formula>
    </cfRule>
  </conditionalFormatting>
  <conditionalFormatting sqref="K240">
    <cfRule type="cellIs" dxfId="254" priority="329" operator="equal">
      <formula>0</formula>
    </cfRule>
    <cfRule type="cellIs" dxfId="253" priority="330" operator="equal">
      <formula>1</formula>
    </cfRule>
  </conditionalFormatting>
  <conditionalFormatting sqref="J240">
    <cfRule type="cellIs" dxfId="252" priority="327" operator="equal">
      <formula>0</formula>
    </cfRule>
    <cfRule type="cellIs" dxfId="251" priority="328" operator="equal">
      <formula>1</formula>
    </cfRule>
  </conditionalFormatting>
  <conditionalFormatting sqref="K253">
    <cfRule type="cellIs" dxfId="250" priority="323" operator="equal">
      <formula>0</formula>
    </cfRule>
    <cfRule type="cellIs" dxfId="249" priority="324" operator="equal">
      <formula>1</formula>
    </cfRule>
  </conditionalFormatting>
  <conditionalFormatting sqref="J253">
    <cfRule type="cellIs" dxfId="248" priority="321" operator="equal">
      <formula>0</formula>
    </cfRule>
    <cfRule type="cellIs" dxfId="247" priority="322" operator="equal">
      <formula>1</formula>
    </cfRule>
  </conditionalFormatting>
  <conditionalFormatting sqref="K259">
    <cfRule type="cellIs" dxfId="246" priority="305" operator="equal">
      <formula>0</formula>
    </cfRule>
    <cfRule type="cellIs" dxfId="245" priority="306" operator="equal">
      <formula>1</formula>
    </cfRule>
  </conditionalFormatting>
  <conditionalFormatting sqref="J259">
    <cfRule type="cellIs" dxfId="244" priority="303" operator="equal">
      <formula>0</formula>
    </cfRule>
    <cfRule type="cellIs" dxfId="243" priority="304" operator="equal">
      <formula>1</formula>
    </cfRule>
  </conditionalFormatting>
  <conditionalFormatting sqref="K265">
    <cfRule type="cellIs" dxfId="242" priority="299" operator="equal">
      <formula>0</formula>
    </cfRule>
    <cfRule type="cellIs" dxfId="241" priority="300" operator="equal">
      <formula>1</formula>
    </cfRule>
  </conditionalFormatting>
  <conditionalFormatting sqref="J265">
    <cfRule type="cellIs" dxfId="240" priority="297" operator="equal">
      <formula>0</formula>
    </cfRule>
    <cfRule type="cellIs" dxfId="239" priority="298" operator="equal">
      <formula>1</formula>
    </cfRule>
  </conditionalFormatting>
  <conditionalFormatting sqref="K273">
    <cfRule type="cellIs" dxfId="238" priority="293" operator="equal">
      <formula>0</formula>
    </cfRule>
    <cfRule type="cellIs" dxfId="237" priority="294" operator="equal">
      <formula>1</formula>
    </cfRule>
  </conditionalFormatting>
  <conditionalFormatting sqref="J273">
    <cfRule type="cellIs" dxfId="236" priority="291" operator="equal">
      <formula>0</formula>
    </cfRule>
    <cfRule type="cellIs" dxfId="235" priority="292" operator="equal">
      <formula>1</formula>
    </cfRule>
  </conditionalFormatting>
  <conditionalFormatting sqref="K281">
    <cfRule type="cellIs" dxfId="234" priority="287" operator="equal">
      <formula>0</formula>
    </cfRule>
    <cfRule type="cellIs" dxfId="233" priority="288" operator="equal">
      <formula>1</formula>
    </cfRule>
  </conditionalFormatting>
  <conditionalFormatting sqref="J281">
    <cfRule type="cellIs" dxfId="232" priority="285" operator="equal">
      <formula>0</formula>
    </cfRule>
    <cfRule type="cellIs" dxfId="231" priority="286" operator="equal">
      <formula>1</formula>
    </cfRule>
  </conditionalFormatting>
  <conditionalFormatting sqref="K290">
    <cfRule type="cellIs" dxfId="230" priority="281" operator="equal">
      <formula>0</formula>
    </cfRule>
    <cfRule type="cellIs" dxfId="229" priority="282" operator="equal">
      <formula>1</formula>
    </cfRule>
  </conditionalFormatting>
  <conditionalFormatting sqref="J290">
    <cfRule type="cellIs" dxfId="228" priority="279" operator="equal">
      <formula>0</formula>
    </cfRule>
    <cfRule type="cellIs" dxfId="227" priority="280" operator="equal">
      <formula>1</formula>
    </cfRule>
  </conditionalFormatting>
  <conditionalFormatting sqref="K299">
    <cfRule type="cellIs" dxfId="226" priority="275" operator="equal">
      <formula>0</formula>
    </cfRule>
    <cfRule type="cellIs" dxfId="225" priority="276" operator="equal">
      <formula>1</formula>
    </cfRule>
  </conditionalFormatting>
  <conditionalFormatting sqref="J299">
    <cfRule type="cellIs" dxfId="224" priority="273" operator="equal">
      <formula>0</formula>
    </cfRule>
    <cfRule type="cellIs" dxfId="223" priority="274" operator="equal">
      <formula>1</formula>
    </cfRule>
  </conditionalFormatting>
  <conditionalFormatting sqref="K308">
    <cfRule type="cellIs" dxfId="222" priority="269" operator="equal">
      <formula>0</formula>
    </cfRule>
    <cfRule type="cellIs" dxfId="221" priority="270" operator="equal">
      <formula>1</formula>
    </cfRule>
  </conditionalFormatting>
  <conditionalFormatting sqref="J308">
    <cfRule type="cellIs" dxfId="220" priority="267" operator="equal">
      <formula>0</formula>
    </cfRule>
    <cfRule type="cellIs" dxfId="219" priority="268" operator="equal">
      <formula>1</formula>
    </cfRule>
  </conditionalFormatting>
  <conditionalFormatting sqref="K317">
    <cfRule type="cellIs" dxfId="218" priority="263" operator="equal">
      <formula>0</formula>
    </cfRule>
    <cfRule type="cellIs" dxfId="217" priority="264" operator="equal">
      <formula>1</formula>
    </cfRule>
  </conditionalFormatting>
  <conditionalFormatting sqref="J317">
    <cfRule type="cellIs" dxfId="216" priority="261" operator="equal">
      <formula>0</formula>
    </cfRule>
    <cfRule type="cellIs" dxfId="215" priority="262" operator="equal">
      <formula>1</formula>
    </cfRule>
  </conditionalFormatting>
  <conditionalFormatting sqref="K326">
    <cfRule type="cellIs" dxfId="214" priority="257" operator="equal">
      <formula>0</formula>
    </cfRule>
    <cfRule type="cellIs" dxfId="213" priority="258" operator="equal">
      <formula>1</formula>
    </cfRule>
  </conditionalFormatting>
  <conditionalFormatting sqref="J326">
    <cfRule type="cellIs" dxfId="212" priority="255" operator="equal">
      <formula>0</formula>
    </cfRule>
    <cfRule type="cellIs" dxfId="211" priority="256" operator="equal">
      <formula>1</formula>
    </cfRule>
  </conditionalFormatting>
  <conditionalFormatting sqref="K335">
    <cfRule type="cellIs" dxfId="210" priority="251" operator="equal">
      <formula>0</formula>
    </cfRule>
    <cfRule type="cellIs" dxfId="209" priority="252" operator="equal">
      <formula>1</formula>
    </cfRule>
  </conditionalFormatting>
  <conditionalFormatting sqref="J335">
    <cfRule type="cellIs" dxfId="208" priority="249" operator="equal">
      <formula>0</formula>
    </cfRule>
    <cfRule type="cellIs" dxfId="207" priority="250" operator="equal">
      <formula>1</formula>
    </cfRule>
  </conditionalFormatting>
  <conditionalFormatting sqref="K344">
    <cfRule type="cellIs" dxfId="206" priority="245" operator="equal">
      <formula>0</formula>
    </cfRule>
    <cfRule type="cellIs" dxfId="205" priority="246" operator="equal">
      <formula>1</formula>
    </cfRule>
  </conditionalFormatting>
  <conditionalFormatting sqref="J344">
    <cfRule type="cellIs" dxfId="204" priority="243" operator="equal">
      <formula>0</formula>
    </cfRule>
    <cfRule type="cellIs" dxfId="203" priority="244" operator="equal">
      <formula>1</formula>
    </cfRule>
  </conditionalFormatting>
  <conditionalFormatting sqref="K353">
    <cfRule type="cellIs" dxfId="202" priority="239" operator="equal">
      <formula>0</formula>
    </cfRule>
    <cfRule type="cellIs" dxfId="201" priority="240" operator="equal">
      <formula>1</formula>
    </cfRule>
  </conditionalFormatting>
  <conditionalFormatting sqref="J353">
    <cfRule type="cellIs" dxfId="200" priority="237" operator="equal">
      <formula>0</formula>
    </cfRule>
    <cfRule type="cellIs" dxfId="199" priority="238" operator="equal">
      <formula>1</formula>
    </cfRule>
  </conditionalFormatting>
  <conditionalFormatting sqref="K362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J362">
    <cfRule type="cellIs" dxfId="196" priority="231" operator="equal">
      <formula>0</formula>
    </cfRule>
    <cfRule type="cellIs" dxfId="195" priority="232" operator="equal">
      <formula>1</formula>
    </cfRule>
  </conditionalFormatting>
  <conditionalFormatting sqref="K371">
    <cfRule type="cellIs" dxfId="194" priority="227" operator="equal">
      <formula>0</formula>
    </cfRule>
    <cfRule type="cellIs" dxfId="193" priority="228" operator="equal">
      <formula>1</formula>
    </cfRule>
  </conditionalFormatting>
  <conditionalFormatting sqref="J371">
    <cfRule type="cellIs" dxfId="192" priority="225" operator="equal">
      <formula>0</formula>
    </cfRule>
    <cfRule type="cellIs" dxfId="191" priority="226" operator="equal">
      <formula>1</formula>
    </cfRule>
  </conditionalFormatting>
  <conditionalFormatting sqref="K380">
    <cfRule type="cellIs" dxfId="190" priority="221" operator="equal">
      <formula>0</formula>
    </cfRule>
    <cfRule type="cellIs" dxfId="189" priority="222" operator="equal">
      <formula>1</formula>
    </cfRule>
  </conditionalFormatting>
  <conditionalFormatting sqref="J380">
    <cfRule type="cellIs" dxfId="188" priority="219" operator="equal">
      <formula>0</formula>
    </cfRule>
    <cfRule type="cellIs" dxfId="187" priority="220" operator="equal">
      <formula>1</formula>
    </cfRule>
  </conditionalFormatting>
  <conditionalFormatting sqref="K389">
    <cfRule type="cellIs" dxfId="186" priority="215" operator="equal">
      <formula>0</formula>
    </cfRule>
    <cfRule type="cellIs" dxfId="185" priority="216" operator="equal">
      <formula>1</formula>
    </cfRule>
  </conditionalFormatting>
  <conditionalFormatting sqref="J389">
    <cfRule type="cellIs" dxfId="184" priority="213" operator="equal">
      <formula>0</formula>
    </cfRule>
    <cfRule type="cellIs" dxfId="183" priority="214" operator="equal">
      <formula>1</formula>
    </cfRule>
  </conditionalFormatting>
  <conditionalFormatting sqref="K398">
    <cfRule type="cellIs" dxfId="182" priority="209" operator="equal">
      <formula>0</formula>
    </cfRule>
    <cfRule type="cellIs" dxfId="181" priority="210" operator="equal">
      <formula>1</formula>
    </cfRule>
  </conditionalFormatting>
  <conditionalFormatting sqref="J398">
    <cfRule type="cellIs" dxfId="180" priority="207" operator="equal">
      <formula>0</formula>
    </cfRule>
    <cfRule type="cellIs" dxfId="179" priority="208" operator="equal">
      <formula>1</formula>
    </cfRule>
  </conditionalFormatting>
  <conditionalFormatting sqref="K407">
    <cfRule type="cellIs" dxfId="178" priority="203" operator="equal">
      <formula>0</formula>
    </cfRule>
    <cfRule type="cellIs" dxfId="177" priority="204" operator="equal">
      <formula>1</formula>
    </cfRule>
  </conditionalFormatting>
  <conditionalFormatting sqref="J407">
    <cfRule type="cellIs" dxfId="176" priority="201" operator="equal">
      <formula>0</formula>
    </cfRule>
    <cfRule type="cellIs" dxfId="175" priority="202" operator="equal">
      <formula>1</formula>
    </cfRule>
  </conditionalFormatting>
  <conditionalFormatting sqref="K416">
    <cfRule type="cellIs" dxfId="174" priority="197" operator="equal">
      <formula>0</formula>
    </cfRule>
    <cfRule type="cellIs" dxfId="173" priority="198" operator="equal">
      <formula>1</formula>
    </cfRule>
  </conditionalFormatting>
  <conditionalFormatting sqref="J416">
    <cfRule type="cellIs" dxfId="172" priority="195" operator="equal">
      <formula>0</formula>
    </cfRule>
    <cfRule type="cellIs" dxfId="171" priority="196" operator="equal">
      <formula>1</formula>
    </cfRule>
  </conditionalFormatting>
  <conditionalFormatting sqref="K427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J427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K436">
    <cfRule type="cellIs" dxfId="166" priority="185" operator="equal">
      <formula>0</formula>
    </cfRule>
    <cfRule type="cellIs" dxfId="165" priority="186" operator="equal">
      <formula>1</formula>
    </cfRule>
  </conditionalFormatting>
  <conditionalFormatting sqref="J436">
    <cfRule type="cellIs" dxfId="164" priority="183" operator="equal">
      <formula>0</formula>
    </cfRule>
    <cfRule type="cellIs" dxfId="163" priority="184" operator="equal">
      <formula>1</formula>
    </cfRule>
  </conditionalFormatting>
  <conditionalFormatting sqref="K445">
    <cfRule type="cellIs" dxfId="162" priority="179" operator="equal">
      <formula>0</formula>
    </cfRule>
    <cfRule type="cellIs" dxfId="161" priority="180" operator="equal">
      <formula>1</formula>
    </cfRule>
  </conditionalFormatting>
  <conditionalFormatting sqref="J445">
    <cfRule type="cellIs" dxfId="160" priority="177" operator="equal">
      <formula>0</formula>
    </cfRule>
    <cfRule type="cellIs" dxfId="159" priority="178" operator="equal">
      <formula>1</formula>
    </cfRule>
  </conditionalFormatting>
  <conditionalFormatting sqref="K460">
    <cfRule type="cellIs" dxfId="158" priority="173" operator="equal">
      <formula>0</formula>
    </cfRule>
    <cfRule type="cellIs" dxfId="157" priority="174" operator="equal">
      <formula>1</formula>
    </cfRule>
  </conditionalFormatting>
  <conditionalFormatting sqref="J460">
    <cfRule type="cellIs" dxfId="156" priority="171" operator="equal">
      <formula>0</formula>
    </cfRule>
    <cfRule type="cellIs" dxfId="155" priority="172" operator="equal">
      <formula>1</formula>
    </cfRule>
  </conditionalFormatting>
  <conditionalFormatting sqref="K467">
    <cfRule type="cellIs" dxfId="154" priority="167" operator="equal">
      <formula>0</formula>
    </cfRule>
    <cfRule type="cellIs" dxfId="153" priority="168" operator="equal">
      <formula>1</formula>
    </cfRule>
  </conditionalFormatting>
  <conditionalFormatting sqref="J467">
    <cfRule type="cellIs" dxfId="152" priority="165" operator="equal">
      <formula>0</formula>
    </cfRule>
    <cfRule type="cellIs" dxfId="151" priority="166" operator="equal">
      <formula>1</formula>
    </cfRule>
  </conditionalFormatting>
  <conditionalFormatting sqref="K478">
    <cfRule type="cellIs" dxfId="150" priority="161" operator="equal">
      <formula>0</formula>
    </cfRule>
    <cfRule type="cellIs" dxfId="149" priority="162" operator="equal">
      <formula>1</formula>
    </cfRule>
  </conditionalFormatting>
  <conditionalFormatting sqref="J478">
    <cfRule type="cellIs" dxfId="148" priority="159" operator="equal">
      <formula>0</formula>
    </cfRule>
    <cfRule type="cellIs" dxfId="147" priority="160" operator="equal">
      <formula>1</formula>
    </cfRule>
  </conditionalFormatting>
  <conditionalFormatting sqref="K483">
    <cfRule type="cellIs" dxfId="146" priority="155" operator="equal">
      <formula>0</formula>
    </cfRule>
    <cfRule type="cellIs" dxfId="145" priority="156" operator="equal">
      <formula>1</formula>
    </cfRule>
  </conditionalFormatting>
  <conditionalFormatting sqref="J483">
    <cfRule type="cellIs" dxfId="144" priority="153" operator="equal">
      <formula>0</formula>
    </cfRule>
    <cfRule type="cellIs" dxfId="143" priority="154" operator="equal">
      <formula>1</formula>
    </cfRule>
  </conditionalFormatting>
  <conditionalFormatting sqref="K490">
    <cfRule type="cellIs" dxfId="142" priority="149" operator="equal">
      <formula>0</formula>
    </cfRule>
    <cfRule type="cellIs" dxfId="141" priority="150" operator="equal">
      <formula>1</formula>
    </cfRule>
  </conditionalFormatting>
  <conditionalFormatting sqref="J490">
    <cfRule type="cellIs" dxfId="140" priority="147" operator="equal">
      <formula>0</formula>
    </cfRule>
    <cfRule type="cellIs" dxfId="139" priority="148" operator="equal">
      <formula>1</formula>
    </cfRule>
  </conditionalFormatting>
  <conditionalFormatting sqref="K500">
    <cfRule type="cellIs" dxfId="138" priority="143" operator="equal">
      <formula>0</formula>
    </cfRule>
    <cfRule type="cellIs" dxfId="137" priority="144" operator="equal">
      <formula>1</formula>
    </cfRule>
  </conditionalFormatting>
  <conditionalFormatting sqref="J500">
    <cfRule type="cellIs" dxfId="136" priority="141" operator="equal">
      <formula>0</formula>
    </cfRule>
    <cfRule type="cellIs" dxfId="135" priority="142" operator="equal">
      <formula>1</formula>
    </cfRule>
  </conditionalFormatting>
  <conditionalFormatting sqref="E518:G528">
    <cfRule type="expression" dxfId="134" priority="138">
      <formula>$N518=$E$13</formula>
    </cfRule>
  </conditionalFormatting>
  <conditionalFormatting sqref="D518:G528">
    <cfRule type="containsText" dxfId="133" priority="137" operator="containsText" text=" ">
      <formula>NOT(ISERROR(SEARCH(" ",D518)))</formula>
    </cfRule>
  </conditionalFormatting>
  <conditionalFormatting sqref="D518:G528">
    <cfRule type="expression" dxfId="132" priority="136">
      <formula>$E$13=$N518</formula>
    </cfRule>
  </conditionalFormatting>
  <conditionalFormatting sqref="K530">
    <cfRule type="cellIs" dxfId="131" priority="134" operator="equal">
      <formula>0</formula>
    </cfRule>
    <cfRule type="cellIs" dxfId="130" priority="135" operator="equal">
      <formula>1</formula>
    </cfRule>
  </conditionalFormatting>
  <conditionalFormatting sqref="J530">
    <cfRule type="cellIs" dxfId="129" priority="132" operator="equal">
      <formula>0</formula>
    </cfRule>
    <cfRule type="cellIs" dxfId="128" priority="133" operator="equal">
      <formula>1</formula>
    </cfRule>
  </conditionalFormatting>
  <conditionalFormatting sqref="S6:S62">
    <cfRule type="cellIs" dxfId="127" priority="128" operator="equal">
      <formula>0</formula>
    </cfRule>
    <cfRule type="cellIs" dxfId="126" priority="129" operator="equal">
      <formula>1</formula>
    </cfRule>
  </conditionalFormatting>
  <conditionalFormatting sqref="M11:N11">
    <cfRule type="cellIs" dxfId="125" priority="124" operator="equal">
      <formula>0</formula>
    </cfRule>
    <cfRule type="cellIs" dxfId="124" priority="125" operator="equal">
      <formula>1</formula>
    </cfRule>
  </conditionalFormatting>
  <conditionalFormatting sqref="M16:N16">
    <cfRule type="cellIs" dxfId="123" priority="122" operator="equal">
      <formula>0</formula>
    </cfRule>
    <cfRule type="cellIs" dxfId="122" priority="123" operator="equal">
      <formula>1</formula>
    </cfRule>
  </conditionalFormatting>
  <conditionalFormatting sqref="M29:N29">
    <cfRule type="cellIs" dxfId="121" priority="120" operator="equal">
      <formula>0</formula>
    </cfRule>
    <cfRule type="cellIs" dxfId="120" priority="121" operator="equal">
      <formula>1</formula>
    </cfRule>
  </conditionalFormatting>
  <conditionalFormatting sqref="M38:N38">
    <cfRule type="cellIs" dxfId="119" priority="118" operator="equal">
      <formula>0</formula>
    </cfRule>
    <cfRule type="cellIs" dxfId="118" priority="119" operator="equal">
      <formula>1</formula>
    </cfRule>
  </conditionalFormatting>
  <conditionalFormatting sqref="M49:N49">
    <cfRule type="cellIs" dxfId="117" priority="116" operator="equal">
      <formula>0</formula>
    </cfRule>
    <cfRule type="cellIs" dxfId="116" priority="117" operator="equal">
      <formula>1</formula>
    </cfRule>
  </conditionalFormatting>
  <conditionalFormatting sqref="M57:N57">
    <cfRule type="cellIs" dxfId="115" priority="114" operator="equal">
      <formula>0</formula>
    </cfRule>
    <cfRule type="cellIs" dxfId="114" priority="115" operator="equal">
      <formula>1</formula>
    </cfRule>
  </conditionalFormatting>
  <conditionalFormatting sqref="M66:N66">
    <cfRule type="cellIs" dxfId="113" priority="112" operator="equal">
      <formula>0</formula>
    </cfRule>
    <cfRule type="cellIs" dxfId="112" priority="113" operator="equal">
      <formula>1</formula>
    </cfRule>
  </conditionalFormatting>
  <conditionalFormatting sqref="M74:N74">
    <cfRule type="cellIs" dxfId="111" priority="110" operator="equal">
      <formula>0</formula>
    </cfRule>
    <cfRule type="cellIs" dxfId="110" priority="111" operator="equal">
      <formula>1</formula>
    </cfRule>
  </conditionalFormatting>
  <conditionalFormatting sqref="M83:N83">
    <cfRule type="cellIs" dxfId="109" priority="108" operator="equal">
      <formula>0</formula>
    </cfRule>
    <cfRule type="cellIs" dxfId="108" priority="109" operator="equal">
      <formula>1</formula>
    </cfRule>
  </conditionalFormatting>
  <conditionalFormatting sqref="M97:N97">
    <cfRule type="cellIs" dxfId="107" priority="106" operator="equal">
      <formula>0</formula>
    </cfRule>
    <cfRule type="cellIs" dxfId="106" priority="107" operator="equal">
      <formula>1</formula>
    </cfRule>
  </conditionalFormatting>
  <conditionalFormatting sqref="M105:N105">
    <cfRule type="cellIs" dxfId="105" priority="104" operator="equal">
      <formula>0</formula>
    </cfRule>
    <cfRule type="cellIs" dxfId="104" priority="105" operator="equal">
      <formula>1</formula>
    </cfRule>
  </conditionalFormatting>
  <conditionalFormatting sqref="M113:N113">
    <cfRule type="cellIs" dxfId="103" priority="102" operator="equal">
      <formula>0</formula>
    </cfRule>
    <cfRule type="cellIs" dxfId="102" priority="103" operator="equal">
      <formula>1</formula>
    </cfRule>
  </conditionalFormatting>
  <conditionalFormatting sqref="M125:N125">
    <cfRule type="cellIs" dxfId="101" priority="100" operator="equal">
      <formula>0</formula>
    </cfRule>
    <cfRule type="cellIs" dxfId="100" priority="101" operator="equal">
      <formula>1</formula>
    </cfRule>
  </conditionalFormatting>
  <conditionalFormatting sqref="M135:N135">
    <cfRule type="cellIs" dxfId="99" priority="98" operator="equal">
      <formula>0</formula>
    </cfRule>
    <cfRule type="cellIs" dxfId="98" priority="99" operator="equal">
      <formula>1</formula>
    </cfRule>
  </conditionalFormatting>
  <conditionalFormatting sqref="M148:N148">
    <cfRule type="cellIs" dxfId="97" priority="96" operator="equal">
      <formula>0</formula>
    </cfRule>
    <cfRule type="cellIs" dxfId="96" priority="97" operator="equal">
      <formula>1</formula>
    </cfRule>
  </conditionalFormatting>
  <conditionalFormatting sqref="M163:N163">
    <cfRule type="cellIs" dxfId="95" priority="94" operator="equal">
      <formula>0</formula>
    </cfRule>
    <cfRule type="cellIs" dxfId="94" priority="95" operator="equal">
      <formula>1</formula>
    </cfRule>
  </conditionalFormatting>
  <conditionalFormatting sqref="M174:N174">
    <cfRule type="cellIs" dxfId="93" priority="92" operator="equal">
      <formula>0</formula>
    </cfRule>
    <cfRule type="cellIs" dxfId="92" priority="93" operator="equal">
      <formula>1</formula>
    </cfRule>
  </conditionalFormatting>
  <conditionalFormatting sqref="M184:N184">
    <cfRule type="cellIs" dxfId="91" priority="90" operator="equal">
      <formula>0</formula>
    </cfRule>
    <cfRule type="cellIs" dxfId="90" priority="91" operator="equal">
      <formula>1</formula>
    </cfRule>
  </conditionalFormatting>
  <conditionalFormatting sqref="M194:N194">
    <cfRule type="cellIs" dxfId="89" priority="88" operator="equal">
      <formula>0</formula>
    </cfRule>
    <cfRule type="cellIs" dxfId="88" priority="89" operator="equal">
      <formula>1</formula>
    </cfRule>
  </conditionalFormatting>
  <conditionalFormatting sqref="M204:N204">
    <cfRule type="cellIs" dxfId="87" priority="86" operator="equal">
      <formula>0</formula>
    </cfRule>
    <cfRule type="cellIs" dxfId="86" priority="87" operator="equal">
      <formula>1</formula>
    </cfRule>
  </conditionalFormatting>
  <conditionalFormatting sqref="M211:N211">
    <cfRule type="cellIs" dxfId="85" priority="84" operator="equal">
      <formula>0</formula>
    </cfRule>
    <cfRule type="cellIs" dxfId="84" priority="85" operator="equal">
      <formula>1</formula>
    </cfRule>
  </conditionalFormatting>
  <conditionalFormatting sqref="M224:N224">
    <cfRule type="cellIs" dxfId="83" priority="82" operator="equal">
      <formula>0</formula>
    </cfRule>
    <cfRule type="cellIs" dxfId="82" priority="83" operator="equal">
      <formula>1</formula>
    </cfRule>
  </conditionalFormatting>
  <conditionalFormatting sqref="M240:N240">
    <cfRule type="cellIs" dxfId="81" priority="80" operator="equal">
      <formula>0</formula>
    </cfRule>
    <cfRule type="cellIs" dxfId="80" priority="81" operator="equal">
      <formula>1</formula>
    </cfRule>
  </conditionalFormatting>
  <conditionalFormatting sqref="M253:N253">
    <cfRule type="cellIs" dxfId="79" priority="78" operator="equal">
      <formula>0</formula>
    </cfRule>
    <cfRule type="cellIs" dxfId="78" priority="79" operator="equal">
      <formula>1</formula>
    </cfRule>
  </conditionalFormatting>
  <conditionalFormatting sqref="M259:N259">
    <cfRule type="cellIs" dxfId="77" priority="76" operator="equal">
      <formula>0</formula>
    </cfRule>
    <cfRule type="cellIs" dxfId="76" priority="77" operator="equal">
      <formula>1</formula>
    </cfRule>
  </conditionalFormatting>
  <conditionalFormatting sqref="M265:N265">
    <cfRule type="cellIs" dxfId="75" priority="74" operator="equal">
      <formula>0</formula>
    </cfRule>
    <cfRule type="cellIs" dxfId="74" priority="75" operator="equal">
      <formula>1</formula>
    </cfRule>
  </conditionalFormatting>
  <conditionalFormatting sqref="M273:N273">
    <cfRule type="cellIs" dxfId="73" priority="72" operator="equal">
      <formula>0</formula>
    </cfRule>
    <cfRule type="cellIs" dxfId="72" priority="73" operator="equal">
      <formula>1</formula>
    </cfRule>
  </conditionalFormatting>
  <conditionalFormatting sqref="M281:N281">
    <cfRule type="cellIs" dxfId="71" priority="70" operator="equal">
      <formula>0</formula>
    </cfRule>
    <cfRule type="cellIs" dxfId="70" priority="71" operator="equal">
      <formula>1</formula>
    </cfRule>
  </conditionalFormatting>
  <conditionalFormatting sqref="M290:N290">
    <cfRule type="cellIs" dxfId="69" priority="68" operator="equal">
      <formula>0</formula>
    </cfRule>
    <cfRule type="cellIs" dxfId="68" priority="69" operator="equal">
      <formula>1</formula>
    </cfRule>
  </conditionalFormatting>
  <conditionalFormatting sqref="M299:N299">
    <cfRule type="cellIs" dxfId="67" priority="66" operator="equal">
      <formula>0</formula>
    </cfRule>
    <cfRule type="cellIs" dxfId="66" priority="67" operator="equal">
      <formula>1</formula>
    </cfRule>
  </conditionalFormatting>
  <conditionalFormatting sqref="M308:N308">
    <cfRule type="cellIs" dxfId="65" priority="64" operator="equal">
      <formula>0</formula>
    </cfRule>
    <cfRule type="cellIs" dxfId="64" priority="65" operator="equal">
      <formula>1</formula>
    </cfRule>
  </conditionalFormatting>
  <conditionalFormatting sqref="M317:N317">
    <cfRule type="cellIs" dxfId="63" priority="62" operator="equal">
      <formula>0</formula>
    </cfRule>
    <cfRule type="cellIs" dxfId="62" priority="63" operator="equal">
      <formula>1</formula>
    </cfRule>
  </conditionalFormatting>
  <conditionalFormatting sqref="M326:N326">
    <cfRule type="cellIs" dxfId="61" priority="60" operator="equal">
      <formula>0</formula>
    </cfRule>
    <cfRule type="cellIs" dxfId="60" priority="61" operator="equal">
      <formula>1</formula>
    </cfRule>
  </conditionalFormatting>
  <conditionalFormatting sqref="M335:N335">
    <cfRule type="cellIs" dxfId="59" priority="58" operator="equal">
      <formula>0</formula>
    </cfRule>
    <cfRule type="cellIs" dxfId="58" priority="59" operator="equal">
      <formula>1</formula>
    </cfRule>
  </conditionalFormatting>
  <conditionalFormatting sqref="M344:N344">
    <cfRule type="cellIs" dxfId="57" priority="56" operator="equal">
      <formula>0</formula>
    </cfRule>
    <cfRule type="cellIs" dxfId="56" priority="57" operator="equal">
      <formula>1</formula>
    </cfRule>
  </conditionalFormatting>
  <conditionalFormatting sqref="M353:N353">
    <cfRule type="cellIs" dxfId="55" priority="54" operator="equal">
      <formula>0</formula>
    </cfRule>
    <cfRule type="cellIs" dxfId="54" priority="55" operator="equal">
      <formula>1</formula>
    </cfRule>
  </conditionalFormatting>
  <conditionalFormatting sqref="M362:N362">
    <cfRule type="cellIs" dxfId="53" priority="52" operator="equal">
      <formula>0</formula>
    </cfRule>
    <cfRule type="cellIs" dxfId="52" priority="53" operator="equal">
      <formula>1</formula>
    </cfRule>
  </conditionalFormatting>
  <conditionalFormatting sqref="M371:N371">
    <cfRule type="cellIs" dxfId="51" priority="50" operator="equal">
      <formula>0</formula>
    </cfRule>
    <cfRule type="cellIs" dxfId="50" priority="51" operator="equal">
      <formula>1</formula>
    </cfRule>
  </conditionalFormatting>
  <conditionalFormatting sqref="M380:N380">
    <cfRule type="cellIs" dxfId="49" priority="48" operator="equal">
      <formula>0</formula>
    </cfRule>
    <cfRule type="cellIs" dxfId="48" priority="49" operator="equal">
      <formula>1</formula>
    </cfRule>
  </conditionalFormatting>
  <conditionalFormatting sqref="M389:N389">
    <cfRule type="cellIs" dxfId="47" priority="46" operator="equal">
      <formula>0</formula>
    </cfRule>
    <cfRule type="cellIs" dxfId="46" priority="47" operator="equal">
      <formula>1</formula>
    </cfRule>
  </conditionalFormatting>
  <conditionalFormatting sqref="M398:N398">
    <cfRule type="cellIs" dxfId="45" priority="44" operator="equal">
      <formula>0</formula>
    </cfRule>
    <cfRule type="cellIs" dxfId="44" priority="45" operator="equal">
      <formula>1</formula>
    </cfRule>
  </conditionalFormatting>
  <conditionalFormatting sqref="M407:N407">
    <cfRule type="cellIs" dxfId="43" priority="42" operator="equal">
      <formula>0</formula>
    </cfRule>
    <cfRule type="cellIs" dxfId="42" priority="43" operator="equal">
      <formula>1</formula>
    </cfRule>
  </conditionalFormatting>
  <conditionalFormatting sqref="M416:N416">
    <cfRule type="cellIs" dxfId="41" priority="40" operator="equal">
      <formula>0</formula>
    </cfRule>
    <cfRule type="cellIs" dxfId="40" priority="41" operator="equal">
      <formula>1</formula>
    </cfRule>
  </conditionalFormatting>
  <conditionalFormatting sqref="M427:N427">
    <cfRule type="cellIs" dxfId="39" priority="38" operator="equal">
      <formula>0</formula>
    </cfRule>
    <cfRule type="cellIs" dxfId="38" priority="39" operator="equal">
      <formula>1</formula>
    </cfRule>
  </conditionalFormatting>
  <conditionalFormatting sqref="M436:N436">
    <cfRule type="cellIs" dxfId="37" priority="36" operator="equal">
      <formula>0</formula>
    </cfRule>
    <cfRule type="cellIs" dxfId="36" priority="37" operator="equal">
      <formula>1</formula>
    </cfRule>
  </conditionalFormatting>
  <conditionalFormatting sqref="M445:N445">
    <cfRule type="cellIs" dxfId="35" priority="34" operator="equal">
      <formula>0</formula>
    </cfRule>
    <cfRule type="cellIs" dxfId="34" priority="35" operator="equal">
      <formula>1</formula>
    </cfRule>
  </conditionalFormatting>
  <conditionalFormatting sqref="M460:N460">
    <cfRule type="cellIs" dxfId="33" priority="32" operator="equal">
      <formula>0</formula>
    </cfRule>
    <cfRule type="cellIs" dxfId="32" priority="33" operator="equal">
      <formula>1</formula>
    </cfRule>
  </conditionalFormatting>
  <conditionalFormatting sqref="M467:N467">
    <cfRule type="cellIs" dxfId="31" priority="30" operator="equal">
      <formula>0</formula>
    </cfRule>
    <cfRule type="cellIs" dxfId="30" priority="31" operator="equal">
      <formula>1</formula>
    </cfRule>
  </conditionalFormatting>
  <conditionalFormatting sqref="M478:N478">
    <cfRule type="cellIs" dxfId="29" priority="28" operator="equal">
      <formula>0</formula>
    </cfRule>
    <cfRule type="cellIs" dxfId="28" priority="29" operator="equal">
      <formula>1</formula>
    </cfRule>
  </conditionalFormatting>
  <conditionalFormatting sqref="M483:N483">
    <cfRule type="cellIs" dxfId="27" priority="26" operator="equal">
      <formula>0</formula>
    </cfRule>
    <cfRule type="cellIs" dxfId="26" priority="27" operator="equal">
      <formula>1</formula>
    </cfRule>
  </conditionalFormatting>
  <conditionalFormatting sqref="M490:N490">
    <cfRule type="cellIs" dxfId="25" priority="24" operator="equal">
      <formula>0</formula>
    </cfRule>
    <cfRule type="cellIs" dxfId="24" priority="25" operator="equal">
      <formula>1</formula>
    </cfRule>
  </conditionalFormatting>
  <conditionalFormatting sqref="M500:N500">
    <cfRule type="cellIs" dxfId="23" priority="22" operator="equal">
      <formula>0</formula>
    </cfRule>
    <cfRule type="cellIs" dxfId="22" priority="23" operator="equal">
      <formula>1</formula>
    </cfRule>
  </conditionalFormatting>
  <conditionalFormatting sqref="M530:N530">
    <cfRule type="cellIs" dxfId="21" priority="20" operator="equal">
      <formula>0</formula>
    </cfRule>
    <cfRule type="cellIs" dxfId="20" priority="21" operator="equal">
      <formula>1</formula>
    </cfRule>
  </conditionalFormatting>
  <conditionalFormatting sqref="Y1:AF3">
    <cfRule type="cellIs" dxfId="19" priority="16" operator="equal">
      <formula>0</formula>
    </cfRule>
    <cfRule type="cellIs" dxfId="18" priority="17" operator="equal">
      <formula>1</formula>
    </cfRule>
  </conditionalFormatting>
  <conditionalFormatting sqref="K545">
    <cfRule type="cellIs" dxfId="17" priority="14" operator="equal">
      <formula>0</formula>
    </cfRule>
    <cfRule type="cellIs" dxfId="16" priority="15" operator="equal">
      <formula>1</formula>
    </cfRule>
  </conditionalFormatting>
  <conditionalFormatting sqref="J545">
    <cfRule type="cellIs" dxfId="15" priority="12" operator="equal">
      <formula>0</formula>
    </cfRule>
    <cfRule type="cellIs" dxfId="14" priority="13" operator="equal">
      <formula>1</formula>
    </cfRule>
  </conditionalFormatting>
  <conditionalFormatting sqref="M545:N545">
    <cfRule type="cellIs" dxfId="13" priority="10" operator="equal">
      <formula>0</formula>
    </cfRule>
    <cfRule type="cellIs" dxfId="12" priority="11" operator="equal">
      <formula>1</formula>
    </cfRule>
  </conditionalFormatting>
  <conditionalFormatting sqref="E582:G583">
    <cfRule type="expression" dxfId="11" priority="9">
      <formula>$N582=$E$13</formula>
    </cfRule>
  </conditionalFormatting>
  <conditionalFormatting sqref="D582:G583">
    <cfRule type="containsText" dxfId="10" priority="8" operator="containsText" text=" ">
      <formula>NOT(ISERROR(SEARCH(" ",D582)))</formula>
    </cfRule>
  </conditionalFormatting>
  <conditionalFormatting sqref="D582:G583">
    <cfRule type="expression" dxfId="9" priority="7">
      <formula>$E$13=$N582</formula>
    </cfRule>
  </conditionalFormatting>
  <conditionalFormatting sqref="K564">
    <cfRule type="cellIs" dxfId="8" priority="5" operator="equal">
      <formula>0</formula>
    </cfRule>
    <cfRule type="cellIs" dxfId="7" priority="6" operator="equal">
      <formula>1</formula>
    </cfRule>
  </conditionalFormatting>
  <conditionalFormatting sqref="J564">
    <cfRule type="cellIs" dxfId="6" priority="3" operator="equal">
      <formula>0</formula>
    </cfRule>
    <cfRule type="cellIs" dxfId="5" priority="4" operator="equal">
      <formula>1</formula>
    </cfRule>
  </conditionalFormatting>
  <conditionalFormatting sqref="M564:N564">
    <cfRule type="cellIs" dxfId="4" priority="1" operator="equal">
      <formula>0</formula>
    </cfRule>
    <cfRule type="cellIs" dxfId="3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EF298-2563-4B5C-9C14-DB540FCC0FB2}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3" sqref="H3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508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496</v>
      </c>
      <c r="F3" s="6">
        <v>3</v>
      </c>
      <c r="G3" s="6">
        <v>10</v>
      </c>
      <c r="H3" s="6" t="s">
        <v>509</v>
      </c>
    </row>
    <row r="4" spans="1:8">
      <c r="A4" s="6" t="s">
        <v>869</v>
      </c>
      <c r="B4" s="55" t="s">
        <v>888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510</v>
      </c>
    </row>
    <row r="5" spans="1:8">
      <c r="A5" s="6" t="s">
        <v>471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511</v>
      </c>
    </row>
    <row r="6" spans="1:8">
      <c r="A6" s="6" t="s">
        <v>215</v>
      </c>
      <c r="B6" s="55" t="s">
        <v>889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512</v>
      </c>
    </row>
    <row r="7" spans="1:8">
      <c r="A7" s="6" t="s">
        <v>239</v>
      </c>
      <c r="B7" s="55" t="s">
        <v>890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513</v>
      </c>
    </row>
    <row r="8" spans="1:8">
      <c r="A8" s="6" t="s">
        <v>148</v>
      </c>
      <c r="B8" s="55" t="s">
        <v>891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514</v>
      </c>
    </row>
    <row r="9" spans="1:8">
      <c r="A9" s="6" t="s">
        <v>462</v>
      </c>
      <c r="B9" s="55" t="s">
        <v>892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515</v>
      </c>
    </row>
    <row r="10" spans="1:8">
      <c r="A10" s="6" t="s">
        <v>983</v>
      </c>
      <c r="B10" s="55" t="s">
        <v>893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991</v>
      </c>
    </row>
    <row r="11" spans="1:8">
      <c r="A11" s="6" t="s">
        <v>475</v>
      </c>
      <c r="B11" s="55" t="s">
        <v>467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516</v>
      </c>
    </row>
    <row r="12" spans="1:8">
      <c r="A12" s="6" t="s">
        <v>870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517</v>
      </c>
    </row>
    <row r="13" spans="1:8">
      <c r="A13" s="6" t="s">
        <v>472</v>
      </c>
      <c r="B13" s="55" t="s">
        <v>518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519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520</v>
      </c>
    </row>
    <row r="15" spans="1:8">
      <c r="A15" s="6" t="s">
        <v>239</v>
      </c>
      <c r="B15" s="55" t="s">
        <v>521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522</v>
      </c>
    </row>
    <row r="16" spans="1:8">
      <c r="A16" s="6" t="s">
        <v>148</v>
      </c>
      <c r="B16" s="55" t="s">
        <v>454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523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524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508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525</v>
      </c>
    </row>
    <row r="20" spans="1:8">
      <c r="A20" s="6" t="s">
        <v>869</v>
      </c>
      <c r="B20" s="55" t="s">
        <v>468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526</v>
      </c>
    </row>
    <row r="21" spans="1:8">
      <c r="A21" s="6" t="s">
        <v>471</v>
      </c>
      <c r="B21" s="55" t="s">
        <v>894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527</v>
      </c>
    </row>
    <row r="22" spans="1:8">
      <c r="A22" s="6" t="s">
        <v>215</v>
      </c>
      <c r="B22" s="55" t="s">
        <v>895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528</v>
      </c>
    </row>
    <row r="23" spans="1:8">
      <c r="A23" s="6" t="s">
        <v>239</v>
      </c>
      <c r="B23" s="55" t="s">
        <v>896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529</v>
      </c>
    </row>
    <row r="24" spans="1:8">
      <c r="A24" s="6" t="s">
        <v>148</v>
      </c>
      <c r="B24" s="55" t="s">
        <v>897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530</v>
      </c>
    </row>
    <row r="25" spans="1:8">
      <c r="A25" s="6" t="s">
        <v>464</v>
      </c>
      <c r="B25" s="55" t="s">
        <v>898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531</v>
      </c>
    </row>
    <row r="26" spans="1:8">
      <c r="A26" s="6" t="s">
        <v>110</v>
      </c>
      <c r="B26" s="55" t="s">
        <v>484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508</v>
      </c>
    </row>
    <row r="27" spans="1:8">
      <c r="A27" s="6" t="s">
        <v>475</v>
      </c>
      <c r="B27" s="55" t="s">
        <v>899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532</v>
      </c>
    </row>
    <row r="28" spans="1:8">
      <c r="A28" s="6" t="s">
        <v>870</v>
      </c>
      <c r="B28" s="55" t="s">
        <v>533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534</v>
      </c>
    </row>
    <row r="29" spans="1:8">
      <c r="A29" s="6" t="s">
        <v>472</v>
      </c>
      <c r="B29" s="55" t="s">
        <v>535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536</v>
      </c>
    </row>
    <row r="30" spans="1:8">
      <c r="A30" s="6" t="s">
        <v>215</v>
      </c>
      <c r="B30" s="55" t="s">
        <v>537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538</v>
      </c>
    </row>
    <row r="31" spans="1:8">
      <c r="A31" s="6" t="s">
        <v>239</v>
      </c>
      <c r="B31" s="55" t="s">
        <v>539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540</v>
      </c>
    </row>
    <row r="32" spans="1:8">
      <c r="A32" s="6" t="s">
        <v>148</v>
      </c>
      <c r="B32" s="55" t="s">
        <v>541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542</v>
      </c>
    </row>
    <row r="33" spans="1:8">
      <c r="A33" s="6" t="s">
        <v>158</v>
      </c>
      <c r="B33" s="55" t="s">
        <v>543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544</v>
      </c>
    </row>
    <row r="34" spans="1:8">
      <c r="A34" s="6" t="s">
        <v>110</v>
      </c>
      <c r="B34" s="55" t="s">
        <v>900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508</v>
      </c>
    </row>
    <row r="35" spans="1:8">
      <c r="A35" s="6" t="s">
        <v>296</v>
      </c>
      <c r="B35" s="55" t="s">
        <v>901</v>
      </c>
      <c r="C35" s="55">
        <f t="shared" si="0"/>
        <v>2</v>
      </c>
      <c r="D35" s="6" t="s">
        <v>310</v>
      </c>
      <c r="E35" s="6" t="s">
        <v>496</v>
      </c>
      <c r="F35" s="6">
        <v>3</v>
      </c>
      <c r="G35" s="6">
        <v>10</v>
      </c>
      <c r="H35" s="6" t="s">
        <v>545</v>
      </c>
    </row>
    <row r="36" spans="1:8">
      <c r="A36" s="6" t="s">
        <v>871</v>
      </c>
      <c r="B36" s="55" t="s">
        <v>209</v>
      </c>
      <c r="C36" s="55">
        <f t="shared" si="0"/>
        <v>1</v>
      </c>
      <c r="D36" s="6" t="s">
        <v>496</v>
      </c>
      <c r="E36" s="6"/>
      <c r="F36" s="6">
        <v>3</v>
      </c>
      <c r="G36" s="6">
        <v>16</v>
      </c>
      <c r="H36" s="6" t="s">
        <v>546</v>
      </c>
    </row>
    <row r="37" spans="1:8">
      <c r="A37" s="6" t="s">
        <v>471</v>
      </c>
      <c r="B37" s="55" t="s">
        <v>902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547</v>
      </c>
    </row>
    <row r="38" spans="1:8">
      <c r="A38" s="6" t="s">
        <v>215</v>
      </c>
      <c r="B38" s="55" t="s">
        <v>903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548</v>
      </c>
    </row>
    <row r="39" spans="1:8">
      <c r="A39" s="6" t="s">
        <v>239</v>
      </c>
      <c r="B39" s="55" t="s">
        <v>904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549</v>
      </c>
    </row>
    <row r="40" spans="1:8">
      <c r="A40" s="6" t="s">
        <v>148</v>
      </c>
      <c r="B40" s="55" t="s">
        <v>905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550</v>
      </c>
    </row>
    <row r="41" spans="1:8">
      <c r="A41" s="6" t="s">
        <v>52</v>
      </c>
      <c r="B41" s="55" t="s">
        <v>906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551</v>
      </c>
    </row>
    <row r="42" spans="1:8">
      <c r="A42" s="6" t="s">
        <v>110</v>
      </c>
      <c r="B42" s="55" t="s">
        <v>907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508</v>
      </c>
    </row>
    <row r="43" spans="1:8">
      <c r="A43" s="6" t="s">
        <v>475</v>
      </c>
      <c r="B43" s="55" t="s">
        <v>908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552</v>
      </c>
    </row>
    <row r="44" spans="1:8">
      <c r="A44" s="6" t="s">
        <v>872</v>
      </c>
      <c r="B44" s="55" t="s">
        <v>379</v>
      </c>
      <c r="C44" s="55">
        <f t="shared" si="0"/>
        <v>1</v>
      </c>
      <c r="D44" s="6" t="s">
        <v>496</v>
      </c>
      <c r="E44" s="6"/>
      <c r="F44" s="6">
        <v>3</v>
      </c>
      <c r="G44" s="6">
        <v>16</v>
      </c>
      <c r="H44" s="6" t="s">
        <v>553</v>
      </c>
    </row>
    <row r="45" spans="1:8">
      <c r="A45" s="6" t="s">
        <v>472</v>
      </c>
      <c r="B45" s="55" t="s">
        <v>554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555</v>
      </c>
    </row>
    <row r="46" spans="1:8">
      <c r="A46" s="6" t="s">
        <v>215</v>
      </c>
      <c r="B46" s="55" t="s">
        <v>556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557</v>
      </c>
    </row>
    <row r="47" spans="1:8">
      <c r="A47" s="6" t="s">
        <v>239</v>
      </c>
      <c r="B47" s="55" t="s">
        <v>558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559</v>
      </c>
    </row>
    <row r="48" spans="1:8">
      <c r="A48" s="6" t="s">
        <v>148</v>
      </c>
      <c r="B48" s="55" t="s">
        <v>560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561</v>
      </c>
    </row>
    <row r="49" spans="1:8">
      <c r="A49" s="6" t="s">
        <v>68</v>
      </c>
      <c r="B49" s="55" t="s">
        <v>562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563</v>
      </c>
    </row>
    <row r="50" spans="1:8">
      <c r="A50" s="6" t="s">
        <v>971</v>
      </c>
      <c r="B50" s="55" t="s">
        <v>909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978</v>
      </c>
    </row>
    <row r="51" spans="1:8">
      <c r="A51" s="6" t="s">
        <v>296</v>
      </c>
      <c r="B51" s="55" t="s">
        <v>910</v>
      </c>
      <c r="C51" s="55">
        <f t="shared" si="0"/>
        <v>2</v>
      </c>
      <c r="D51" s="6" t="s">
        <v>114</v>
      </c>
      <c r="E51" s="6" t="s">
        <v>496</v>
      </c>
      <c r="F51" s="6">
        <v>3</v>
      </c>
      <c r="G51" s="6">
        <v>10</v>
      </c>
      <c r="H51" s="6" t="s">
        <v>564</v>
      </c>
    </row>
    <row r="52" spans="1:8">
      <c r="A52" s="6" t="s">
        <v>873</v>
      </c>
      <c r="B52" s="55" t="s">
        <v>911</v>
      </c>
      <c r="C52" s="55">
        <f t="shared" si="0"/>
        <v>1</v>
      </c>
      <c r="D52" s="6" t="s">
        <v>496</v>
      </c>
      <c r="E52" s="6"/>
      <c r="F52" s="6">
        <v>3</v>
      </c>
      <c r="G52" s="6">
        <v>13</v>
      </c>
      <c r="H52" s="6" t="s">
        <v>565</v>
      </c>
    </row>
    <row r="53" spans="1:8">
      <c r="A53" s="6" t="s">
        <v>471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566</v>
      </c>
    </row>
    <row r="54" spans="1:8">
      <c r="A54" s="6" t="s">
        <v>215</v>
      </c>
      <c r="B54" s="55" t="s">
        <v>469</v>
      </c>
      <c r="C54" s="55">
        <f t="shared" si="0"/>
        <v>1</v>
      </c>
      <c r="D54" s="6" t="s">
        <v>587</v>
      </c>
      <c r="E54" s="6"/>
      <c r="F54" s="6">
        <v>1</v>
      </c>
      <c r="G54" s="6">
        <v>10</v>
      </c>
      <c r="H54" s="6" t="s">
        <v>567</v>
      </c>
    </row>
    <row r="55" spans="1:8">
      <c r="A55" s="6" t="s">
        <v>239</v>
      </c>
      <c r="B55" s="55" t="s">
        <v>912</v>
      </c>
      <c r="C55" s="55">
        <f t="shared" si="0"/>
        <v>1</v>
      </c>
      <c r="D55" s="6" t="s">
        <v>587</v>
      </c>
      <c r="E55" s="6"/>
      <c r="F55" s="6">
        <v>1</v>
      </c>
      <c r="G55" s="6">
        <v>10</v>
      </c>
      <c r="H55" s="6" t="s">
        <v>568</v>
      </c>
    </row>
    <row r="56" spans="1:8">
      <c r="A56" s="6" t="s">
        <v>148</v>
      </c>
      <c r="B56" s="55" t="s">
        <v>913</v>
      </c>
      <c r="C56" s="55">
        <f t="shared" si="0"/>
        <v>2</v>
      </c>
      <c r="D56" s="6" t="s">
        <v>587</v>
      </c>
      <c r="E56" s="6" t="s">
        <v>137</v>
      </c>
      <c r="F56" s="6">
        <v>2</v>
      </c>
      <c r="G56" s="6">
        <v>10</v>
      </c>
      <c r="H56" s="6" t="s">
        <v>569</v>
      </c>
    </row>
    <row r="57" spans="1:8">
      <c r="A57" s="6" t="s">
        <v>72</v>
      </c>
      <c r="B57" s="55" t="s">
        <v>914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570</v>
      </c>
    </row>
    <row r="58" spans="1:8">
      <c r="A58" s="6" t="s">
        <v>191</v>
      </c>
      <c r="B58" s="55" t="s">
        <v>915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508</v>
      </c>
    </row>
    <row r="59" spans="1:8">
      <c r="A59" s="6" t="s">
        <v>475</v>
      </c>
      <c r="B59" s="55" t="s">
        <v>916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571</v>
      </c>
    </row>
    <row r="60" spans="1:8">
      <c r="A60" s="6" t="s">
        <v>874</v>
      </c>
      <c r="B60" s="55" t="s">
        <v>380</v>
      </c>
      <c r="C60" s="55">
        <f t="shared" si="0"/>
        <v>1</v>
      </c>
      <c r="D60" s="6" t="s">
        <v>496</v>
      </c>
      <c r="E60" s="6"/>
      <c r="F60" s="6">
        <v>3</v>
      </c>
      <c r="G60" s="6">
        <v>13</v>
      </c>
      <c r="H60" s="6" t="s">
        <v>572</v>
      </c>
    </row>
    <row r="61" spans="1:8">
      <c r="A61" s="6" t="s">
        <v>472</v>
      </c>
      <c r="B61" s="55" t="s">
        <v>573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574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575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148</v>
      </c>
      <c r="B64" s="55" t="s">
        <v>578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579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580</v>
      </c>
    </row>
    <row r="66" spans="1:8">
      <c r="A66" s="6" t="s">
        <v>188</v>
      </c>
      <c r="B66" s="55" t="s">
        <v>917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581</v>
      </c>
    </row>
    <row r="67" spans="1:8">
      <c r="A67" s="6" t="s">
        <v>188</v>
      </c>
      <c r="B67" s="55" t="s">
        <v>918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582</v>
      </c>
    </row>
    <row r="68" spans="1:8">
      <c r="A68" s="6" t="s">
        <v>188</v>
      </c>
      <c r="B68" s="55" t="s">
        <v>492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583</v>
      </c>
    </row>
    <row r="69" spans="1:8">
      <c r="A69" s="6" t="s">
        <v>188</v>
      </c>
      <c r="B69" s="55" t="s">
        <v>919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584</v>
      </c>
    </row>
    <row r="70" spans="1:8">
      <c r="A70" s="6" t="s">
        <v>188</v>
      </c>
      <c r="B70" s="55" t="s">
        <v>920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585</v>
      </c>
    </row>
    <row r="71" spans="1:8">
      <c r="A71" s="6" t="s">
        <v>188</v>
      </c>
      <c r="B71" s="55" t="s">
        <v>921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586</v>
      </c>
    </row>
    <row r="72" spans="1:8">
      <c r="A72" s="6" t="s">
        <v>188</v>
      </c>
      <c r="B72" s="55" t="s">
        <v>922</v>
      </c>
      <c r="C72" s="55">
        <f t="shared" si="1"/>
        <v>2</v>
      </c>
      <c r="D72" s="6" t="s">
        <v>151</v>
      </c>
      <c r="E72" s="6" t="s">
        <v>587</v>
      </c>
      <c r="F72" s="6">
        <v>1</v>
      </c>
      <c r="G72" s="6">
        <v>7</v>
      </c>
      <c r="H72" s="6" t="s">
        <v>588</v>
      </c>
    </row>
    <row r="73" spans="1:8">
      <c r="A73" s="6" t="s">
        <v>188</v>
      </c>
      <c r="B73" s="55" t="s">
        <v>923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589</v>
      </c>
    </row>
    <row r="74" spans="1:8">
      <c r="A74" s="6" t="s">
        <v>188</v>
      </c>
      <c r="B74" s="55" t="s">
        <v>924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590</v>
      </c>
    </row>
    <row r="75" spans="1:8">
      <c r="A75" s="6" t="s">
        <v>188</v>
      </c>
      <c r="B75" s="55" t="s">
        <v>925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591</v>
      </c>
    </row>
    <row r="76" spans="1:8">
      <c r="A76" s="6" t="s">
        <v>188</v>
      </c>
      <c r="B76" s="55" t="s">
        <v>592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593</v>
      </c>
    </row>
    <row r="77" spans="1:8">
      <c r="A77" s="6" t="s">
        <v>188</v>
      </c>
      <c r="B77" s="55" t="s">
        <v>594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595</v>
      </c>
    </row>
    <row r="78" spans="1:8">
      <c r="A78" s="6" t="s">
        <v>188</v>
      </c>
      <c r="B78" s="55" t="s">
        <v>596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597</v>
      </c>
    </row>
    <row r="79" spans="1:8">
      <c r="A79" s="6" t="s">
        <v>188</v>
      </c>
      <c r="B79" s="55" t="s">
        <v>598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599</v>
      </c>
    </row>
    <row r="80" spans="1:8">
      <c r="A80" s="6" t="s">
        <v>188</v>
      </c>
      <c r="B80" s="55" t="s">
        <v>600</v>
      </c>
      <c r="C80" s="55">
        <f t="shared" si="1"/>
        <v>2</v>
      </c>
      <c r="D80" s="6" t="s">
        <v>189</v>
      </c>
      <c r="E80" s="6" t="s">
        <v>587</v>
      </c>
      <c r="F80" s="6">
        <v>1</v>
      </c>
      <c r="G80" s="6">
        <v>7</v>
      </c>
      <c r="H80" s="6" t="s">
        <v>601</v>
      </c>
    </row>
    <row r="81" spans="1:8">
      <c r="A81" s="6" t="s">
        <v>188</v>
      </c>
      <c r="B81" s="55" t="s">
        <v>602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603</v>
      </c>
    </row>
    <row r="82" spans="1:8">
      <c r="A82" s="6" t="s">
        <v>188</v>
      </c>
      <c r="B82" s="55" t="s">
        <v>926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604</v>
      </c>
    </row>
    <row r="83" spans="1:8">
      <c r="A83" s="6" t="s">
        <v>188</v>
      </c>
      <c r="B83" s="55" t="s">
        <v>927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605</v>
      </c>
    </row>
    <row r="84" spans="1:8">
      <c r="A84" s="6" t="s">
        <v>188</v>
      </c>
      <c r="B84" s="55" t="s">
        <v>928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606</v>
      </c>
    </row>
    <row r="85" spans="1:8">
      <c r="A85" s="6" t="s">
        <v>188</v>
      </c>
      <c r="B85" s="55" t="s">
        <v>929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607</v>
      </c>
    </row>
    <row r="86" spans="1:8">
      <c r="A86" s="6" t="s">
        <v>188</v>
      </c>
      <c r="B86" s="55" t="s">
        <v>930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608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609</v>
      </c>
    </row>
    <row r="88" spans="1:8">
      <c r="A88" s="6" t="s">
        <v>188</v>
      </c>
      <c r="B88" s="55" t="s">
        <v>931</v>
      </c>
      <c r="C88" s="55">
        <f t="shared" si="1"/>
        <v>2</v>
      </c>
      <c r="D88" s="6" t="s">
        <v>190</v>
      </c>
      <c r="E88" s="6" t="s">
        <v>587</v>
      </c>
      <c r="F88" s="6">
        <v>1</v>
      </c>
      <c r="G88" s="6">
        <v>7</v>
      </c>
      <c r="H88" s="6" t="s">
        <v>610</v>
      </c>
    </row>
    <row r="89" spans="1:8">
      <c r="A89" s="6" t="s">
        <v>188</v>
      </c>
      <c r="B89" s="55" t="s">
        <v>932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611</v>
      </c>
    </row>
    <row r="90" spans="1:8">
      <c r="A90" s="6" t="s">
        <v>188</v>
      </c>
      <c r="B90" s="55" t="s">
        <v>933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612</v>
      </c>
    </row>
    <row r="91" spans="1:8">
      <c r="A91" s="6" t="s">
        <v>188</v>
      </c>
      <c r="B91" s="55" t="s">
        <v>934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613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614</v>
      </c>
    </row>
    <row r="93" spans="1:8">
      <c r="A93" s="6" t="s">
        <v>188</v>
      </c>
      <c r="B93" s="55" t="s">
        <v>615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616</v>
      </c>
    </row>
    <row r="94" spans="1:8">
      <c r="A94" s="6" t="s">
        <v>188</v>
      </c>
      <c r="B94" s="55" t="s">
        <v>617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618</v>
      </c>
    </row>
    <row r="95" spans="1:8">
      <c r="A95" s="6" t="s">
        <v>188</v>
      </c>
      <c r="B95" s="55" t="s">
        <v>619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620</v>
      </c>
    </row>
    <row r="96" spans="1:8">
      <c r="A96" s="6" t="s">
        <v>188</v>
      </c>
      <c r="B96" s="55" t="s">
        <v>621</v>
      </c>
      <c r="C96" s="55">
        <f t="shared" si="1"/>
        <v>2</v>
      </c>
      <c r="D96" s="6" t="s">
        <v>272</v>
      </c>
      <c r="E96" s="6" t="s">
        <v>587</v>
      </c>
      <c r="F96" s="6">
        <v>1</v>
      </c>
      <c r="G96" s="6">
        <v>7</v>
      </c>
      <c r="H96" s="6" t="s">
        <v>622</v>
      </c>
    </row>
    <row r="97" spans="1:8">
      <c r="A97" s="6" t="s">
        <v>188</v>
      </c>
      <c r="B97" s="55" t="s">
        <v>623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624</v>
      </c>
    </row>
    <row r="98" spans="1:8">
      <c r="A98" s="6" t="s">
        <v>188</v>
      </c>
      <c r="B98" s="55" t="s">
        <v>935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625</v>
      </c>
    </row>
    <row r="99" spans="1:8">
      <c r="A99" s="6" t="s">
        <v>188</v>
      </c>
      <c r="B99" s="55" t="s">
        <v>936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626</v>
      </c>
    </row>
    <row r="100" spans="1:8">
      <c r="A100" s="6" t="s">
        <v>188</v>
      </c>
      <c r="B100" s="55" t="s">
        <v>937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627</v>
      </c>
    </row>
    <row r="101" spans="1:8">
      <c r="A101" s="6" t="s">
        <v>188</v>
      </c>
      <c r="B101" s="55" t="s">
        <v>938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628</v>
      </c>
    </row>
    <row r="102" spans="1:8">
      <c r="A102" s="6" t="s">
        <v>188</v>
      </c>
      <c r="B102" s="55" t="s">
        <v>939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629</v>
      </c>
    </row>
    <row r="103" spans="1:8">
      <c r="A103" s="6" t="s">
        <v>188</v>
      </c>
      <c r="B103" s="55" t="s">
        <v>940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630</v>
      </c>
    </row>
    <row r="104" spans="1:8">
      <c r="A104" s="6" t="s">
        <v>188</v>
      </c>
      <c r="B104" s="55" t="s">
        <v>941</v>
      </c>
      <c r="C104" s="55">
        <f t="shared" si="2"/>
        <v>2</v>
      </c>
      <c r="D104" s="6" t="s">
        <v>310</v>
      </c>
      <c r="E104" s="6" t="s">
        <v>587</v>
      </c>
      <c r="F104" s="6">
        <v>1</v>
      </c>
      <c r="G104" s="6">
        <v>7</v>
      </c>
      <c r="H104" s="6" t="s">
        <v>631</v>
      </c>
    </row>
    <row r="105" spans="1:8">
      <c r="A105" s="6" t="s">
        <v>188</v>
      </c>
      <c r="B105" s="55" t="s">
        <v>942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632</v>
      </c>
    </row>
    <row r="106" spans="1:8">
      <c r="A106" s="6" t="s">
        <v>188</v>
      </c>
      <c r="B106" s="55" t="s">
        <v>943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633</v>
      </c>
    </row>
    <row r="107" spans="1:8">
      <c r="A107" s="6" t="s">
        <v>188</v>
      </c>
      <c r="B107" s="55" t="s">
        <v>944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634</v>
      </c>
    </row>
    <row r="108" spans="1:8">
      <c r="A108" s="6" t="s">
        <v>188</v>
      </c>
      <c r="B108" s="55" t="s">
        <v>635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636</v>
      </c>
    </row>
    <row r="109" spans="1:8">
      <c r="A109" s="6" t="s">
        <v>188</v>
      </c>
      <c r="B109" s="55" t="s">
        <v>637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638</v>
      </c>
    </row>
    <row r="110" spans="1:8">
      <c r="A110" s="6" t="s">
        <v>188</v>
      </c>
      <c r="B110" s="55" t="s">
        <v>639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640</v>
      </c>
    </row>
    <row r="111" spans="1:8">
      <c r="A111" s="6" t="s">
        <v>188</v>
      </c>
      <c r="B111" s="55" t="s">
        <v>641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642</v>
      </c>
    </row>
    <row r="112" spans="1:8">
      <c r="A112" s="6" t="s">
        <v>188</v>
      </c>
      <c r="B112" s="55" t="s">
        <v>643</v>
      </c>
      <c r="C112" s="55">
        <f t="shared" si="2"/>
        <v>2</v>
      </c>
      <c r="D112" s="6" t="s">
        <v>334</v>
      </c>
      <c r="E112" s="6" t="s">
        <v>587</v>
      </c>
      <c r="F112" s="6">
        <v>1</v>
      </c>
      <c r="G112" s="6">
        <v>7</v>
      </c>
      <c r="H112" s="6" t="s">
        <v>644</v>
      </c>
    </row>
    <row r="113" spans="1:8">
      <c r="A113" s="6" t="s">
        <v>188</v>
      </c>
      <c r="B113" s="55" t="s">
        <v>645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646</v>
      </c>
    </row>
    <row r="114" spans="1:8">
      <c r="A114" s="6" t="s">
        <v>188</v>
      </c>
      <c r="B114" s="55" t="s">
        <v>945</v>
      </c>
      <c r="C114" s="55">
        <f t="shared" si="2"/>
        <v>2</v>
      </c>
      <c r="D114" s="6" t="s">
        <v>587</v>
      </c>
      <c r="E114" s="6" t="s">
        <v>151</v>
      </c>
      <c r="F114" s="6">
        <v>1</v>
      </c>
      <c r="G114" s="6">
        <v>7</v>
      </c>
      <c r="H114" s="6" t="s">
        <v>647</v>
      </c>
    </row>
    <row r="115" spans="1:8">
      <c r="A115" s="6" t="s">
        <v>188</v>
      </c>
      <c r="B115" s="55" t="s">
        <v>946</v>
      </c>
      <c r="C115" s="55">
        <f t="shared" si="2"/>
        <v>2</v>
      </c>
      <c r="D115" s="6" t="s">
        <v>587</v>
      </c>
      <c r="E115" s="6" t="s">
        <v>189</v>
      </c>
      <c r="F115" s="6">
        <v>1</v>
      </c>
      <c r="G115" s="6">
        <v>7</v>
      </c>
      <c r="H115" s="6" t="s">
        <v>648</v>
      </c>
    </row>
    <row r="116" spans="1:8">
      <c r="A116" s="6" t="s">
        <v>188</v>
      </c>
      <c r="B116" s="55" t="s">
        <v>947</v>
      </c>
      <c r="C116" s="55">
        <f t="shared" si="2"/>
        <v>2</v>
      </c>
      <c r="D116" s="6" t="s">
        <v>587</v>
      </c>
      <c r="E116" s="6" t="s">
        <v>190</v>
      </c>
      <c r="F116" s="6">
        <v>1</v>
      </c>
      <c r="G116" s="6">
        <v>7</v>
      </c>
      <c r="H116" s="6" t="s">
        <v>649</v>
      </c>
    </row>
    <row r="117" spans="1:8">
      <c r="A117" s="6" t="s">
        <v>188</v>
      </c>
      <c r="B117" s="55" t="s">
        <v>948</v>
      </c>
      <c r="C117" s="55">
        <f t="shared" si="2"/>
        <v>2</v>
      </c>
      <c r="D117" s="6" t="s">
        <v>587</v>
      </c>
      <c r="E117" s="6" t="s">
        <v>272</v>
      </c>
      <c r="F117" s="6">
        <v>1</v>
      </c>
      <c r="G117" s="6">
        <v>7</v>
      </c>
      <c r="H117" s="6" t="s">
        <v>650</v>
      </c>
    </row>
    <row r="118" spans="1:8">
      <c r="A118" s="6" t="s">
        <v>188</v>
      </c>
      <c r="B118" s="55" t="s">
        <v>949</v>
      </c>
      <c r="C118" s="55">
        <f t="shared" si="2"/>
        <v>2</v>
      </c>
      <c r="D118" s="6" t="s">
        <v>587</v>
      </c>
      <c r="E118" s="6" t="s">
        <v>310</v>
      </c>
      <c r="F118" s="6">
        <v>1</v>
      </c>
      <c r="G118" s="6">
        <v>7</v>
      </c>
      <c r="H118" s="6" t="s">
        <v>651</v>
      </c>
    </row>
    <row r="119" spans="1:8">
      <c r="A119" s="6" t="s">
        <v>188</v>
      </c>
      <c r="B119" s="55" t="s">
        <v>950</v>
      </c>
      <c r="C119" s="55">
        <f t="shared" si="2"/>
        <v>2</v>
      </c>
      <c r="D119" s="6" t="s">
        <v>587</v>
      </c>
      <c r="E119" s="6" t="s">
        <v>334</v>
      </c>
      <c r="F119" s="6">
        <v>1</v>
      </c>
      <c r="G119" s="6">
        <v>7</v>
      </c>
      <c r="H119" s="6" t="s">
        <v>652</v>
      </c>
    </row>
    <row r="120" spans="1:8">
      <c r="A120" s="6" t="s">
        <v>108</v>
      </c>
      <c r="B120" s="55" t="s">
        <v>951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653</v>
      </c>
    </row>
    <row r="121" spans="1:8">
      <c r="A121" s="6" t="s">
        <v>188</v>
      </c>
      <c r="B121" s="55" t="s">
        <v>952</v>
      </c>
      <c r="C121" s="55">
        <f t="shared" si="2"/>
        <v>2</v>
      </c>
      <c r="D121" s="6" t="s">
        <v>587</v>
      </c>
      <c r="E121" s="6" t="s">
        <v>153</v>
      </c>
      <c r="F121" s="6">
        <v>1</v>
      </c>
      <c r="G121" s="6">
        <v>7</v>
      </c>
      <c r="H121" s="6" t="s">
        <v>654</v>
      </c>
    </row>
    <row r="122" spans="1:8">
      <c r="A122" s="6" t="s">
        <v>188</v>
      </c>
      <c r="B122" s="55" t="s">
        <v>953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655</v>
      </c>
    </row>
    <row r="123" spans="1:8">
      <c r="A123" s="6" t="s">
        <v>188</v>
      </c>
      <c r="B123" s="55" t="s">
        <v>954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656</v>
      </c>
    </row>
    <row r="124" spans="1:8">
      <c r="A124" s="6" t="s">
        <v>188</v>
      </c>
      <c r="B124" s="55" t="s">
        <v>657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658</v>
      </c>
    </row>
    <row r="125" spans="1:8">
      <c r="A125" s="6" t="s">
        <v>188</v>
      </c>
      <c r="B125" s="55" t="s">
        <v>659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660</v>
      </c>
    </row>
    <row r="126" spans="1:8">
      <c r="A126" s="6" t="s">
        <v>188</v>
      </c>
      <c r="B126" s="55" t="s">
        <v>661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662</v>
      </c>
    </row>
    <row r="127" spans="1:8">
      <c r="A127" s="6" t="s">
        <v>188</v>
      </c>
      <c r="B127" s="55" t="s">
        <v>663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664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587</v>
      </c>
      <c r="F128" s="6">
        <v>1</v>
      </c>
      <c r="G128" s="6">
        <v>7</v>
      </c>
      <c r="H128" s="6" t="s">
        <v>665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666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667</v>
      </c>
    </row>
    <row r="131" spans="1:8">
      <c r="A131" s="6" t="s">
        <v>399</v>
      </c>
      <c r="B131" s="55" t="s">
        <v>459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668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669</v>
      </c>
    </row>
    <row r="133" spans="1:8">
      <c r="A133" s="6" t="s">
        <v>399</v>
      </c>
      <c r="B133" s="55" t="s">
        <v>955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670</v>
      </c>
    </row>
    <row r="134" spans="1:8">
      <c r="A134" s="6" t="s">
        <v>399</v>
      </c>
      <c r="B134" s="55" t="s">
        <v>956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671</v>
      </c>
    </row>
    <row r="135" spans="1:8">
      <c r="A135" s="6" t="s">
        <v>399</v>
      </c>
      <c r="B135" s="55" t="s">
        <v>957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672</v>
      </c>
    </row>
    <row r="136" spans="1:8">
      <c r="A136" s="6" t="s">
        <v>399</v>
      </c>
      <c r="B136" s="55" t="s">
        <v>958</v>
      </c>
      <c r="C136" s="55">
        <f t="shared" si="4"/>
        <v>1</v>
      </c>
      <c r="D136" s="6" t="s">
        <v>587</v>
      </c>
      <c r="E136" s="6"/>
      <c r="F136" s="6">
        <v>1</v>
      </c>
      <c r="G136" s="6">
        <v>7</v>
      </c>
      <c r="H136" s="6" t="s">
        <v>673</v>
      </c>
    </row>
    <row r="137" spans="1:8">
      <c r="A137" s="6" t="s">
        <v>399</v>
      </c>
      <c r="B137" s="55" t="s">
        <v>959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674</v>
      </c>
    </row>
    <row r="138" spans="1:8">
      <c r="A138" s="6" t="s">
        <v>435</v>
      </c>
      <c r="B138" s="55" t="s">
        <v>960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675</v>
      </c>
    </row>
    <row r="139" spans="1:8">
      <c r="A139" s="6" t="s">
        <v>435</v>
      </c>
      <c r="B139" s="55" t="s">
        <v>961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676</v>
      </c>
    </row>
    <row r="140" spans="1:8">
      <c r="A140" s="6" t="s">
        <v>435</v>
      </c>
      <c r="B140" s="55" t="s">
        <v>677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678</v>
      </c>
    </row>
    <row r="141" spans="1:8">
      <c r="A141" s="6" t="s">
        <v>435</v>
      </c>
      <c r="B141" s="55" t="s">
        <v>679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680</v>
      </c>
    </row>
    <row r="142" spans="1:8">
      <c r="A142" s="6" t="s">
        <v>435</v>
      </c>
      <c r="B142" s="55" t="s">
        <v>681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682</v>
      </c>
    </row>
    <row r="143" spans="1:8">
      <c r="A143" s="6" t="s">
        <v>435</v>
      </c>
      <c r="B143" s="55" t="s">
        <v>683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684</v>
      </c>
    </row>
    <row r="144" spans="1:8">
      <c r="A144" s="6" t="s">
        <v>435</v>
      </c>
      <c r="B144" s="55" t="s">
        <v>685</v>
      </c>
      <c r="C144" s="55">
        <f t="shared" si="4"/>
        <v>1</v>
      </c>
      <c r="D144" s="6" t="s">
        <v>587</v>
      </c>
      <c r="E144" s="6"/>
      <c r="F144" s="6">
        <v>1</v>
      </c>
      <c r="G144" s="6">
        <v>7</v>
      </c>
      <c r="H144" s="6" t="s">
        <v>686</v>
      </c>
    </row>
    <row r="145" spans="1:8">
      <c r="A145" s="6" t="s">
        <v>435</v>
      </c>
      <c r="B145" s="55" t="s">
        <v>687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688</v>
      </c>
    </row>
    <row r="146" spans="1:8">
      <c r="A146" s="6" t="s">
        <v>440</v>
      </c>
      <c r="B146" s="55" t="s">
        <v>962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689</v>
      </c>
    </row>
    <row r="147" spans="1:8">
      <c r="A147" s="6" t="s">
        <v>440</v>
      </c>
      <c r="B147" s="55" t="s">
        <v>963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690</v>
      </c>
    </row>
    <row r="148" spans="1:8">
      <c r="A148" s="6" t="s">
        <v>440</v>
      </c>
      <c r="B148" s="55" t="s">
        <v>964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691</v>
      </c>
    </row>
    <row r="149" spans="1:8">
      <c r="A149" s="6" t="s">
        <v>440</v>
      </c>
      <c r="B149" s="55" t="s">
        <v>965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692</v>
      </c>
    </row>
    <row r="150" spans="1:8">
      <c r="A150" s="6" t="s">
        <v>440</v>
      </c>
      <c r="B150" s="55" t="s">
        <v>966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693</v>
      </c>
    </row>
    <row r="151" spans="1:8">
      <c r="A151" s="6" t="s">
        <v>440</v>
      </c>
      <c r="B151" s="55" t="s">
        <v>967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694</v>
      </c>
    </row>
    <row r="152" spans="1:8">
      <c r="A152" s="6" t="s">
        <v>440</v>
      </c>
      <c r="B152" s="55" t="s">
        <v>968</v>
      </c>
      <c r="C152" s="55">
        <f t="shared" si="4"/>
        <v>1</v>
      </c>
      <c r="D152" s="6" t="s">
        <v>587</v>
      </c>
      <c r="E152" s="6"/>
      <c r="F152" s="6">
        <v>1</v>
      </c>
      <c r="G152" s="6">
        <v>7</v>
      </c>
      <c r="H152" s="6" t="s">
        <v>695</v>
      </c>
    </row>
    <row r="153" spans="1:8">
      <c r="A153" s="6" t="s">
        <v>440</v>
      </c>
      <c r="B153" s="55" t="s">
        <v>969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696</v>
      </c>
    </row>
    <row r="154" spans="1:8">
      <c r="A154" s="6" t="s">
        <v>453</v>
      </c>
      <c r="B154" s="55" t="s">
        <v>970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697</v>
      </c>
    </row>
    <row r="155" spans="1:8">
      <c r="A155" s="6" t="s">
        <v>453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698</v>
      </c>
    </row>
    <row r="156" spans="1:8">
      <c r="A156" s="6" t="s">
        <v>453</v>
      </c>
      <c r="B156" s="55" t="s">
        <v>699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700</v>
      </c>
    </row>
    <row r="157" spans="1:8">
      <c r="A157" s="6" t="s">
        <v>453</v>
      </c>
      <c r="B157" s="55" t="s">
        <v>701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702</v>
      </c>
    </row>
    <row r="158" spans="1:8">
      <c r="A158" s="6" t="s">
        <v>453</v>
      </c>
      <c r="B158" s="55" t="s">
        <v>703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704</v>
      </c>
    </row>
    <row r="159" spans="1:8">
      <c r="A159" s="6" t="s">
        <v>453</v>
      </c>
      <c r="B159" s="55" t="s">
        <v>705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706</v>
      </c>
    </row>
    <row r="160" spans="1:8">
      <c r="A160" s="6" t="s">
        <v>453</v>
      </c>
      <c r="B160" s="55" t="s">
        <v>707</v>
      </c>
      <c r="C160" s="55">
        <f t="shared" si="4"/>
        <v>1</v>
      </c>
      <c r="D160" s="6" t="s">
        <v>587</v>
      </c>
      <c r="E160" s="6"/>
      <c r="F160" s="6">
        <v>1</v>
      </c>
      <c r="G160" s="6">
        <v>7</v>
      </c>
      <c r="H160" s="6" t="s">
        <v>708</v>
      </c>
    </row>
    <row r="161" spans="1:8">
      <c r="A161" s="6" t="s">
        <v>453</v>
      </c>
      <c r="B161" s="55" t="s">
        <v>709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710</v>
      </c>
    </row>
    <row r="162" spans="1:8">
      <c r="A162" s="6" t="s">
        <v>408</v>
      </c>
      <c r="B162" s="55" t="s">
        <v>711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712</v>
      </c>
    </row>
    <row r="163" spans="1:8">
      <c r="A163" s="6" t="s">
        <v>408</v>
      </c>
      <c r="B163" s="55" t="s">
        <v>713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714</v>
      </c>
    </row>
    <row r="164" spans="1:8">
      <c r="A164" s="6" t="s">
        <v>408</v>
      </c>
      <c r="B164" s="55" t="s">
        <v>715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716</v>
      </c>
    </row>
    <row r="165" spans="1:8">
      <c r="A165" s="6" t="s">
        <v>408</v>
      </c>
      <c r="B165" s="55" t="s">
        <v>717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718</v>
      </c>
    </row>
    <row r="166" spans="1:8">
      <c r="A166" s="6" t="s">
        <v>408</v>
      </c>
      <c r="B166" s="55" t="s">
        <v>719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720</v>
      </c>
    </row>
    <row r="167" spans="1:8">
      <c r="A167" s="6" t="s">
        <v>408</v>
      </c>
      <c r="B167" s="55" t="s">
        <v>721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722</v>
      </c>
    </row>
    <row r="168" spans="1:8">
      <c r="A168" s="6" t="s">
        <v>408</v>
      </c>
      <c r="B168" s="55" t="s">
        <v>723</v>
      </c>
      <c r="C168" s="55">
        <f t="shared" si="4"/>
        <v>1</v>
      </c>
      <c r="D168" s="6" t="s">
        <v>587</v>
      </c>
      <c r="E168" s="6"/>
      <c r="F168" s="6">
        <v>1</v>
      </c>
      <c r="G168" s="6">
        <v>7</v>
      </c>
      <c r="H168" s="6" t="s">
        <v>724</v>
      </c>
    </row>
    <row r="169" spans="1:8">
      <c r="A169" s="6" t="s">
        <v>408</v>
      </c>
      <c r="B169" s="55" t="s">
        <v>725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726</v>
      </c>
    </row>
    <row r="170" spans="1:8">
      <c r="A170" s="6" t="s">
        <v>458</v>
      </c>
      <c r="B170" s="55" t="s">
        <v>727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728</v>
      </c>
    </row>
    <row r="171" spans="1:8">
      <c r="A171" s="6" t="s">
        <v>458</v>
      </c>
      <c r="B171" s="55" t="s">
        <v>729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730</v>
      </c>
    </row>
    <row r="172" spans="1:8">
      <c r="A172" s="6" t="s">
        <v>458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731</v>
      </c>
    </row>
    <row r="173" spans="1:8">
      <c r="A173" s="6" t="s">
        <v>458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732</v>
      </c>
    </row>
    <row r="174" spans="1:8">
      <c r="A174" s="6" t="s">
        <v>458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733</v>
      </c>
    </row>
    <row r="175" spans="1:8">
      <c r="A175" s="6" t="s">
        <v>458</v>
      </c>
      <c r="B175" s="55" t="s">
        <v>734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735</v>
      </c>
    </row>
    <row r="176" spans="1:8">
      <c r="A176" s="6" t="s">
        <v>458</v>
      </c>
      <c r="B176" s="55" t="s">
        <v>736</v>
      </c>
      <c r="C176" s="55">
        <f t="shared" si="4"/>
        <v>1</v>
      </c>
      <c r="D176" s="6" t="s">
        <v>587</v>
      </c>
      <c r="E176" s="6"/>
      <c r="F176" s="6">
        <v>1</v>
      </c>
      <c r="G176" s="6">
        <v>7</v>
      </c>
      <c r="H176" s="6" t="s">
        <v>737</v>
      </c>
    </row>
    <row r="177" spans="1:8">
      <c r="A177" s="6" t="s">
        <v>458</v>
      </c>
      <c r="B177" s="55" t="s">
        <v>738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739</v>
      </c>
    </row>
    <row r="178" spans="1:8">
      <c r="A178" s="6" t="s">
        <v>269</v>
      </c>
      <c r="B178" s="55" t="s">
        <v>505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4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875</v>
      </c>
      <c r="B186" s="55" t="s">
        <v>748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749</v>
      </c>
    </row>
    <row r="187" spans="1:8">
      <c r="A187" s="6" t="s">
        <v>875</v>
      </c>
      <c r="B187" s="55" t="s">
        <v>750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751</v>
      </c>
    </row>
    <row r="188" spans="1:8">
      <c r="A188" s="6" t="s">
        <v>875</v>
      </c>
      <c r="B188" s="55" t="s">
        <v>752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753</v>
      </c>
    </row>
    <row r="189" spans="1:8">
      <c r="A189" s="6" t="s">
        <v>875</v>
      </c>
      <c r="B189" s="55" t="s">
        <v>754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755</v>
      </c>
    </row>
    <row r="190" spans="1:8">
      <c r="A190" s="6" t="s">
        <v>875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756</v>
      </c>
    </row>
    <row r="191" spans="1:8">
      <c r="A191" s="6" t="s">
        <v>875</v>
      </c>
      <c r="B191" s="55" t="s">
        <v>757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758</v>
      </c>
    </row>
    <row r="192" spans="1:8">
      <c r="A192" s="6" t="s">
        <v>875</v>
      </c>
      <c r="B192" s="55" t="s">
        <v>759</v>
      </c>
      <c r="C192" s="55">
        <f t="shared" si="4"/>
        <v>1</v>
      </c>
      <c r="D192" s="6" t="s">
        <v>587</v>
      </c>
      <c r="E192" s="6"/>
      <c r="F192" s="6">
        <v>1</v>
      </c>
      <c r="G192" s="6">
        <v>7</v>
      </c>
      <c r="H192" s="6" t="s">
        <v>760</v>
      </c>
    </row>
    <row r="193" spans="1:8">
      <c r="A193" s="6" t="s">
        <v>875</v>
      </c>
      <c r="B193" s="55" t="s">
        <v>761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762</v>
      </c>
    </row>
    <row r="194" spans="1:8">
      <c r="A194" s="6" t="s">
        <v>764</v>
      </c>
      <c r="B194" s="55" t="s">
        <v>763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765</v>
      </c>
    </row>
    <row r="195" spans="1:8">
      <c r="A195" s="6" t="s">
        <v>282</v>
      </c>
      <c r="B195" s="55" t="s">
        <v>766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767</v>
      </c>
    </row>
    <row r="196" spans="1:8">
      <c r="A196" s="6" t="s">
        <v>359</v>
      </c>
      <c r="B196" s="55" t="s">
        <v>768</v>
      </c>
      <c r="C196" s="55">
        <f t="shared" si="5"/>
        <v>1</v>
      </c>
      <c r="D196" s="6" t="s">
        <v>496</v>
      </c>
      <c r="E196" s="6"/>
      <c r="F196" s="6">
        <v>3</v>
      </c>
      <c r="G196" s="6">
        <v>10</v>
      </c>
      <c r="H196" s="6" t="s">
        <v>769</v>
      </c>
    </row>
    <row r="197" spans="1:8">
      <c r="A197" s="6" t="s">
        <v>354</v>
      </c>
      <c r="B197" s="55" t="s">
        <v>770</v>
      </c>
      <c r="C197" s="55">
        <f t="shared" si="5"/>
        <v>1</v>
      </c>
      <c r="D197" s="6" t="s">
        <v>496</v>
      </c>
      <c r="E197" s="6"/>
      <c r="F197" s="6">
        <v>3</v>
      </c>
      <c r="G197" s="6">
        <v>10</v>
      </c>
      <c r="H197" s="6" t="s">
        <v>771</v>
      </c>
    </row>
    <row r="198" spans="1:8">
      <c r="A198" s="6" t="s">
        <v>876</v>
      </c>
      <c r="B198" s="55" t="s">
        <v>772</v>
      </c>
      <c r="C198" s="55">
        <f t="shared" si="5"/>
        <v>1</v>
      </c>
      <c r="D198" s="6" t="s">
        <v>496</v>
      </c>
      <c r="E198" s="6"/>
      <c r="F198" s="6">
        <v>3</v>
      </c>
      <c r="G198" s="6">
        <v>11</v>
      </c>
      <c r="H198" s="6" t="s">
        <v>773</v>
      </c>
    </row>
    <row r="199" spans="1:8">
      <c r="A199" s="6" t="s">
        <v>150</v>
      </c>
      <c r="B199" s="55" t="s">
        <v>774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775</v>
      </c>
    </row>
    <row r="200" spans="1:8">
      <c r="A200" s="6" t="s">
        <v>402</v>
      </c>
      <c r="B200" s="55" t="s">
        <v>776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777</v>
      </c>
    </row>
    <row r="201" spans="1:8">
      <c r="A201" s="6" t="s">
        <v>877</v>
      </c>
      <c r="B201" s="55" t="s">
        <v>778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779</v>
      </c>
    </row>
    <row r="202" spans="1:8">
      <c r="A202" s="6" t="s">
        <v>495</v>
      </c>
      <c r="B202" s="55" t="s">
        <v>780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781</v>
      </c>
    </row>
    <row r="203" spans="1:8">
      <c r="A203" s="6" t="s">
        <v>84</v>
      </c>
      <c r="B203" s="55" t="s">
        <v>782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255</v>
      </c>
      <c r="B204" s="55" t="s">
        <v>784</v>
      </c>
      <c r="C204" s="55">
        <f t="shared" si="5"/>
        <v>1</v>
      </c>
      <c r="D204" s="6" t="s">
        <v>496</v>
      </c>
      <c r="E204" s="6"/>
      <c r="F204" s="6">
        <v>3</v>
      </c>
      <c r="G204" s="6">
        <v>10</v>
      </c>
      <c r="H204" s="6" t="s">
        <v>785</v>
      </c>
    </row>
    <row r="205" spans="1:8">
      <c r="A205" s="6" t="s">
        <v>354</v>
      </c>
      <c r="B205" s="55" t="s">
        <v>786</v>
      </c>
      <c r="C205" s="55">
        <f t="shared" si="5"/>
        <v>1</v>
      </c>
      <c r="D205" s="6" t="s">
        <v>496</v>
      </c>
      <c r="E205" s="6"/>
      <c r="F205" s="6">
        <v>3</v>
      </c>
      <c r="G205" s="6">
        <v>10</v>
      </c>
      <c r="H205" s="6" t="s">
        <v>771</v>
      </c>
    </row>
    <row r="206" spans="1:8">
      <c r="A206" s="6" t="s">
        <v>494</v>
      </c>
      <c r="B206" s="55" t="s">
        <v>787</v>
      </c>
      <c r="C206" s="55">
        <f t="shared" si="5"/>
        <v>1</v>
      </c>
      <c r="D206" s="6" t="s">
        <v>496</v>
      </c>
      <c r="E206" s="6"/>
      <c r="F206" s="6">
        <v>3</v>
      </c>
      <c r="G206" s="6">
        <v>11</v>
      </c>
      <c r="H206" s="6" t="s">
        <v>788</v>
      </c>
    </row>
    <row r="207" spans="1:8">
      <c r="A207" s="6" t="s">
        <v>197</v>
      </c>
      <c r="B207" s="55" t="s">
        <v>488</v>
      </c>
      <c r="C207" s="55">
        <f t="shared" si="5"/>
        <v>1</v>
      </c>
      <c r="D207" s="6" t="s">
        <v>496</v>
      </c>
      <c r="E207" s="6"/>
      <c r="F207" s="6">
        <v>3</v>
      </c>
      <c r="G207" s="6">
        <v>11</v>
      </c>
      <c r="H207" s="6" t="s">
        <v>789</v>
      </c>
    </row>
    <row r="208" spans="1:8">
      <c r="A208" s="6" t="s">
        <v>438</v>
      </c>
      <c r="B208" s="55" t="s">
        <v>790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791</v>
      </c>
    </row>
    <row r="209" spans="1:8">
      <c r="A209" s="6" t="s">
        <v>877</v>
      </c>
      <c r="B209" s="55" t="s">
        <v>792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793</v>
      </c>
    </row>
    <row r="210" spans="1:8">
      <c r="A210" s="6" t="s">
        <v>795</v>
      </c>
      <c r="B210" s="55" t="s">
        <v>794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796</v>
      </c>
    </row>
    <row r="211" spans="1:8">
      <c r="A211" s="6" t="s">
        <v>282</v>
      </c>
      <c r="B211" s="55" t="s">
        <v>797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798</v>
      </c>
    </row>
    <row r="212" spans="1:8">
      <c r="A212" s="6" t="s">
        <v>878</v>
      </c>
      <c r="B212" s="55" t="s">
        <v>799</v>
      </c>
      <c r="C212" s="55">
        <f t="shared" si="5"/>
        <v>1</v>
      </c>
      <c r="D212" s="6" t="s">
        <v>496</v>
      </c>
      <c r="E212" s="6"/>
      <c r="F212" s="6">
        <v>3</v>
      </c>
      <c r="G212" s="6">
        <v>10</v>
      </c>
      <c r="H212" s="6" t="s">
        <v>800</v>
      </c>
    </row>
    <row r="213" spans="1:8">
      <c r="A213" s="6" t="s">
        <v>879</v>
      </c>
      <c r="B213" s="55" t="s">
        <v>801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802</v>
      </c>
    </row>
    <row r="214" spans="1:8">
      <c r="A214" s="6" t="s">
        <v>880</v>
      </c>
      <c r="B214" s="55" t="s">
        <v>803</v>
      </c>
      <c r="C214" s="55">
        <f t="shared" si="5"/>
        <v>1</v>
      </c>
      <c r="D214" s="6" t="s">
        <v>496</v>
      </c>
      <c r="E214" s="6"/>
      <c r="F214" s="6">
        <v>3</v>
      </c>
      <c r="G214" s="6">
        <v>5</v>
      </c>
      <c r="H214" s="6" t="s">
        <v>804</v>
      </c>
    </row>
    <row r="215" spans="1:8">
      <c r="A215" s="6" t="s">
        <v>150</v>
      </c>
      <c r="B215" s="55" t="s">
        <v>805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806</v>
      </c>
    </row>
    <row r="216" spans="1:8">
      <c r="A216" s="6" t="s">
        <v>442</v>
      </c>
      <c r="B216" s="55" t="s">
        <v>807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808</v>
      </c>
    </row>
    <row r="217" spans="1:8">
      <c r="A217" s="6" t="s">
        <v>877</v>
      </c>
      <c r="B217" s="55" t="s">
        <v>809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810</v>
      </c>
    </row>
    <row r="218" spans="1:8">
      <c r="A218" s="6" t="s">
        <v>812</v>
      </c>
      <c r="B218" s="55" t="s">
        <v>811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813</v>
      </c>
    </row>
    <row r="219" spans="1:8">
      <c r="A219" s="6" t="s">
        <v>84</v>
      </c>
      <c r="B219" s="55" t="s">
        <v>814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783</v>
      </c>
    </row>
    <row r="220" spans="1:8">
      <c r="A220" s="6" t="s">
        <v>881</v>
      </c>
      <c r="B220" s="55" t="s">
        <v>815</v>
      </c>
      <c r="C220" s="55">
        <f t="shared" si="5"/>
        <v>1</v>
      </c>
      <c r="D220" s="6" t="s">
        <v>496</v>
      </c>
      <c r="E220" s="6"/>
      <c r="F220" s="6">
        <v>3</v>
      </c>
      <c r="G220" s="6">
        <v>10</v>
      </c>
      <c r="H220" s="6" t="s">
        <v>816</v>
      </c>
    </row>
    <row r="221" spans="1:8">
      <c r="A221" s="6" t="s">
        <v>882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817</v>
      </c>
    </row>
    <row r="222" spans="1:8">
      <c r="A222" s="6" t="s">
        <v>787</v>
      </c>
      <c r="B222" s="55" t="s">
        <v>818</v>
      </c>
      <c r="C222" s="55">
        <f t="shared" si="5"/>
        <v>1</v>
      </c>
      <c r="D222" s="6" t="s">
        <v>496</v>
      </c>
      <c r="E222" s="6"/>
      <c r="F222" s="6">
        <v>3</v>
      </c>
      <c r="G222" s="6">
        <v>5</v>
      </c>
      <c r="H222" s="6" t="s">
        <v>819</v>
      </c>
    </row>
    <row r="223" spans="1:8">
      <c r="A223" s="6" t="s">
        <v>197</v>
      </c>
      <c r="B223" s="55" t="s">
        <v>820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789</v>
      </c>
    </row>
    <row r="224" spans="1:8">
      <c r="A224" s="6" t="s">
        <v>456</v>
      </c>
      <c r="B224" s="55" t="s">
        <v>821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822</v>
      </c>
    </row>
    <row r="225" spans="1:8">
      <c r="A225" s="6" t="s">
        <v>877</v>
      </c>
      <c r="B225" s="55" t="s">
        <v>823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824</v>
      </c>
    </row>
    <row r="226" spans="1:8">
      <c r="A226" s="6" t="s">
        <v>826</v>
      </c>
      <c r="B226" s="55" t="s">
        <v>825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827</v>
      </c>
    </row>
    <row r="227" spans="1:8">
      <c r="A227" s="6" t="s">
        <v>282</v>
      </c>
      <c r="B227" s="55" t="s">
        <v>828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829</v>
      </c>
    </row>
    <row r="228" spans="1:8">
      <c r="A228" s="6" t="s">
        <v>374</v>
      </c>
      <c r="B228" s="55" t="s">
        <v>830</v>
      </c>
      <c r="C228" s="55">
        <f t="shared" si="5"/>
        <v>1</v>
      </c>
      <c r="D228" s="6" t="s">
        <v>496</v>
      </c>
      <c r="E228" s="6"/>
      <c r="F228" s="6">
        <v>3</v>
      </c>
      <c r="G228" s="6">
        <v>10</v>
      </c>
      <c r="H228" s="6" t="s">
        <v>831</v>
      </c>
    </row>
    <row r="229" spans="1:8">
      <c r="A229" s="6" t="s">
        <v>98</v>
      </c>
      <c r="B229" s="55" t="s">
        <v>832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883</v>
      </c>
      <c r="B230" s="55" t="s">
        <v>833</v>
      </c>
      <c r="C230" s="55">
        <f t="shared" si="5"/>
        <v>1</v>
      </c>
      <c r="D230" s="6" t="s">
        <v>496</v>
      </c>
      <c r="E230" s="6"/>
      <c r="F230" s="6">
        <v>3</v>
      </c>
      <c r="G230" s="6">
        <v>5</v>
      </c>
      <c r="H230" s="6" t="s">
        <v>834</v>
      </c>
    </row>
    <row r="231" spans="1:8">
      <c r="A231" s="6" t="s">
        <v>150</v>
      </c>
      <c r="B231" s="55" t="s">
        <v>835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836</v>
      </c>
    </row>
    <row r="232" spans="1:8">
      <c r="A232" s="6" t="s">
        <v>154</v>
      </c>
      <c r="B232" s="55" t="s">
        <v>837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838</v>
      </c>
    </row>
    <row r="233" spans="1:8">
      <c r="A233" s="6" t="s">
        <v>877</v>
      </c>
      <c r="B233" s="55" t="s">
        <v>839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840</v>
      </c>
    </row>
    <row r="234" spans="1:8">
      <c r="A234" s="6" t="s">
        <v>842</v>
      </c>
      <c r="B234" s="55" t="s">
        <v>841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843</v>
      </c>
    </row>
    <row r="235" spans="1:8">
      <c r="A235" s="6" t="s">
        <v>88</v>
      </c>
      <c r="B235" s="55" t="s">
        <v>844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845</v>
      </c>
    </row>
    <row r="236" spans="1:8">
      <c r="A236" s="6" t="s">
        <v>372</v>
      </c>
      <c r="B236" s="55" t="s">
        <v>846</v>
      </c>
      <c r="C236" s="55">
        <f t="shared" si="5"/>
        <v>1</v>
      </c>
      <c r="D236" s="6" t="s">
        <v>496</v>
      </c>
      <c r="E236" s="6"/>
      <c r="F236" s="6">
        <v>3</v>
      </c>
      <c r="G236" s="6">
        <v>10</v>
      </c>
      <c r="H236" s="6" t="s">
        <v>847</v>
      </c>
    </row>
    <row r="237" spans="1:8">
      <c r="A237" s="6" t="s">
        <v>22</v>
      </c>
      <c r="B237" s="55" t="s">
        <v>848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849</v>
      </c>
    </row>
    <row r="238" spans="1:8">
      <c r="A238" s="6" t="s">
        <v>884</v>
      </c>
      <c r="B238" s="55" t="s">
        <v>850</v>
      </c>
      <c r="C238" s="55">
        <f t="shared" si="5"/>
        <v>1</v>
      </c>
      <c r="D238" s="6" t="s">
        <v>496</v>
      </c>
      <c r="E238" s="6"/>
      <c r="F238" s="6">
        <v>3</v>
      </c>
      <c r="G238" s="6">
        <v>5</v>
      </c>
      <c r="H238" s="6" t="s">
        <v>851</v>
      </c>
    </row>
    <row r="239" spans="1:8">
      <c r="A239" s="6" t="s">
        <v>197</v>
      </c>
      <c r="B239" s="55" t="s">
        <v>852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789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853</v>
      </c>
    </row>
    <row r="241" spans="1:8">
      <c r="A241" s="6" t="s">
        <v>877</v>
      </c>
      <c r="B241" s="55" t="s">
        <v>854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855</v>
      </c>
    </row>
    <row r="242" spans="1:8">
      <c r="A242" s="6" t="s">
        <v>856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857</v>
      </c>
    </row>
    <row r="243" spans="1:8">
      <c r="A243" s="6" t="s">
        <v>282</v>
      </c>
      <c r="B243" s="55" t="s">
        <v>858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859</v>
      </c>
    </row>
    <row r="244" spans="1:8">
      <c r="A244" s="6" t="s">
        <v>366</v>
      </c>
      <c r="B244" s="55" t="s">
        <v>860</v>
      </c>
      <c r="C244" s="55">
        <f t="shared" si="5"/>
        <v>1</v>
      </c>
      <c r="D244" s="6" t="s">
        <v>496</v>
      </c>
      <c r="E244" s="6"/>
      <c r="F244" s="6">
        <v>3</v>
      </c>
      <c r="G244" s="6">
        <v>10</v>
      </c>
      <c r="H244" s="6" t="s">
        <v>861</v>
      </c>
    </row>
    <row r="245" spans="1:8">
      <c r="A245" s="6" t="s">
        <v>863</v>
      </c>
      <c r="B245" s="55" t="s">
        <v>862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864</v>
      </c>
    </row>
    <row r="246" spans="1:8">
      <c r="A246" s="6" t="s">
        <v>885</v>
      </c>
      <c r="B246" s="55" t="s">
        <v>865</v>
      </c>
      <c r="C246" s="55">
        <f t="shared" si="5"/>
        <v>1</v>
      </c>
      <c r="D246" s="6" t="s">
        <v>496</v>
      </c>
      <c r="E246" s="6"/>
      <c r="F246" s="6">
        <v>3</v>
      </c>
      <c r="G246" s="6">
        <v>5</v>
      </c>
      <c r="H246" s="6" t="s">
        <v>866</v>
      </c>
    </row>
    <row r="247" spans="1:8">
      <c r="A247" s="6" t="s">
        <v>150</v>
      </c>
      <c r="B247" s="55" t="s">
        <v>867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868</v>
      </c>
    </row>
    <row r="248" spans="1:8">
      <c r="A248" s="6" t="s">
        <v>156</v>
      </c>
      <c r="B248" s="55" t="s">
        <v>986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987</v>
      </c>
    </row>
    <row r="249" spans="1:8">
      <c r="A249" s="6" t="s">
        <v>100</v>
      </c>
      <c r="B249" s="55" t="s">
        <v>988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989</v>
      </c>
    </row>
    <row r="250" spans="1:8">
      <c r="A250" s="6" t="s">
        <v>363</v>
      </c>
      <c r="B250" s="55" t="s">
        <v>984</v>
      </c>
      <c r="C250" s="55">
        <f t="shared" ref="C250:C251" si="8">COUNTA(D250:E250)</f>
        <v>1</v>
      </c>
      <c r="D250" s="6" t="s">
        <v>496</v>
      </c>
      <c r="E250" s="6"/>
      <c r="F250" s="6">
        <v>3</v>
      </c>
      <c r="G250" s="6">
        <v>10</v>
      </c>
      <c r="H250" s="6" t="s">
        <v>985</v>
      </c>
    </row>
    <row r="251" spans="1:8">
      <c r="A251" s="6" t="s">
        <v>164</v>
      </c>
      <c r="B251" s="55" t="s">
        <v>434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A66" sqref="A6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54"/>
  <sheetViews>
    <sheetView topLeftCell="A15" workbookViewId="0">
      <selection activeCell="D20" sqref="D20"/>
    </sheetView>
  </sheetViews>
  <sheetFormatPr defaultRowHeight="15"/>
  <cols>
    <col min="1" max="1" width="6.42578125" bestFit="1" customWidth="1"/>
    <col min="2" max="2" width="8.42578125" bestFit="1" customWidth="1"/>
    <col min="3" max="3" width="11.7109375" bestFit="1" customWidth="1"/>
    <col min="4" max="4" width="5" bestFit="1" customWidth="1"/>
  </cols>
  <sheetData>
    <row r="1" spans="1:4" ht="15.75" thickBot="1">
      <c r="A1" s="172" t="s">
        <v>1033</v>
      </c>
      <c r="B1" s="173"/>
      <c r="C1" s="173"/>
      <c r="D1" s="174"/>
    </row>
    <row r="2" spans="1:4" ht="15.75" thickBot="1">
      <c r="A2" s="175" t="s">
        <v>131</v>
      </c>
      <c r="B2" s="176" t="s">
        <v>149</v>
      </c>
      <c r="C2" s="175" t="s">
        <v>129</v>
      </c>
      <c r="D2" s="177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72" t="s">
        <v>1034</v>
      </c>
      <c r="B24" s="173"/>
      <c r="C24" s="173"/>
      <c r="D24" s="174"/>
    </row>
    <row r="25" spans="1:4" ht="15.75" thickBot="1">
      <c r="A25" s="175" t="s">
        <v>131</v>
      </c>
      <c r="B25" s="176" t="s">
        <v>149</v>
      </c>
      <c r="C25" s="175" t="s">
        <v>129</v>
      </c>
      <c r="D25" s="177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1037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1038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1035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1039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1035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1036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1036</v>
      </c>
      <c r="D46" s="98"/>
    </row>
    <row r="47" spans="1:4">
      <c r="A47" s="95"/>
      <c r="B47" s="96" t="s">
        <v>84</v>
      </c>
      <c r="C47" s="156"/>
      <c r="D47" s="98"/>
    </row>
    <row r="48" spans="1:4" ht="15.75" thickBot="1"/>
    <row r="49" spans="1:4" ht="15.75" thickBot="1">
      <c r="A49" s="172" t="s">
        <v>1046</v>
      </c>
      <c r="B49" s="173"/>
      <c r="C49" s="173"/>
      <c r="D49" s="174"/>
    </row>
    <row r="50" spans="1:4">
      <c r="A50" s="95"/>
      <c r="B50" s="96" t="s">
        <v>296</v>
      </c>
      <c r="C50" s="156" t="s">
        <v>310</v>
      </c>
      <c r="D50" s="98" t="s">
        <v>1041</v>
      </c>
    </row>
    <row r="51" spans="1:4">
      <c r="A51" s="95" t="s">
        <v>1041</v>
      </c>
      <c r="B51" s="96" t="s">
        <v>299</v>
      </c>
      <c r="C51" s="156" t="s">
        <v>1045</v>
      </c>
      <c r="D51" s="98"/>
    </row>
    <row r="52" spans="1:4">
      <c r="A52" s="95"/>
      <c r="B52" s="96" t="s">
        <v>879</v>
      </c>
      <c r="C52" s="156" t="s">
        <v>1043</v>
      </c>
      <c r="D52" s="98"/>
    </row>
    <row r="53" spans="1:4">
      <c r="A53" s="95"/>
      <c r="B53" s="96" t="s">
        <v>983</v>
      </c>
      <c r="C53" s="156"/>
      <c r="D53" s="98"/>
    </row>
    <row r="54" spans="1:4">
      <c r="A54" s="95"/>
      <c r="B54" s="96" t="s">
        <v>191</v>
      </c>
      <c r="C54" s="156"/>
      <c r="D54" s="98"/>
    </row>
  </sheetData>
  <mergeCells count="3">
    <mergeCell ref="A1:D1"/>
    <mergeCell ref="A24:D24"/>
    <mergeCell ref="A49:D4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89</vt:i4>
      </vt:variant>
    </vt:vector>
  </HeadingPairs>
  <TitlesOfParts>
    <vt:vector size="96" baseType="lpstr">
      <vt:lpstr>CPU</vt:lpstr>
      <vt:lpstr>Unit Tests</vt:lpstr>
      <vt:lpstr>Sheet1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2026-02-28T06:20:38Z</dcterms:modified>
</cp:coreProperties>
</file>