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4533" documentId="8_{94CABAF4-C7B0-40C4-A992-4F58DB73C504}" xr6:coauthVersionLast="47" xr6:coauthVersionMax="47" xr10:uidLastSave="{C2B15AD1-0DEE-446D-9482-63B2FCF1E2F5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8" i="5" a="1"/>
  <c r="J145" i="5" a="1"/>
  <c r="J294" i="5" a="1"/>
  <c r="J327" i="5" a="1"/>
  <c r="J313" i="5" a="1"/>
  <c r="J278" i="5" a="1"/>
  <c r="J268" i="5" a="1"/>
  <c r="J269" i="5" a="1"/>
  <c r="J144" i="5" a="1"/>
  <c r="J296" i="5" a="1"/>
  <c r="J131" i="5" a="1"/>
  <c r="J243" i="5" a="1"/>
  <c r="J132" i="5" a="1"/>
  <c r="J309" i="5" a="1"/>
  <c r="J285" i="5" a="1"/>
  <c r="J226" i="5" a="1"/>
  <c r="J318" i="5" a="1"/>
  <c r="J178" i="5" a="1"/>
  <c r="J333" i="5" a="1"/>
  <c r="J186" i="5" a="1"/>
  <c r="J176" i="5" a="1"/>
  <c r="J219" i="5" a="1"/>
  <c r="J130" i="5" a="1"/>
  <c r="J293" i="5" a="1"/>
  <c r="J248" i="5" a="1"/>
  <c r="J196" i="5" a="1"/>
  <c r="J225" i="5" a="1"/>
  <c r="J322" i="5" a="1"/>
  <c r="J129" i="5" a="1"/>
  <c r="J151" i="5" a="1"/>
  <c r="J171" i="5" a="1"/>
  <c r="J197" i="5" a="1"/>
  <c r="J311" i="5" a="1"/>
  <c r="J300" i="5" a="1"/>
  <c r="J206" i="5" a="1"/>
  <c r="J277" i="5" a="1"/>
  <c r="J295" i="5" a="1"/>
  <c r="J323" i="5" a="1"/>
  <c r="J286" i="5" a="1"/>
  <c r="J166" i="5" a="1"/>
  <c r="J167" i="5" a="1"/>
  <c r="J177" i="5" a="1"/>
  <c r="J279" i="5" a="1"/>
  <c r="J200" i="5" a="1"/>
  <c r="J142" i="5" a="1"/>
  <c r="J199" i="5" a="1"/>
  <c r="J195" i="5" a="1"/>
  <c r="J189" i="5" a="1"/>
  <c r="J235" i="5" a="1"/>
  <c r="J212" i="5" a="1"/>
  <c r="J185" i="5" a="1"/>
  <c r="J179" i="5" a="1"/>
  <c r="J155" i="5" a="1"/>
  <c r="J128" i="5" a="1"/>
  <c r="J271" i="5" a="1"/>
  <c r="J288" i="5" a="1"/>
  <c r="J320" i="5" a="1"/>
  <c r="J310" i="5" a="1"/>
  <c r="J201" i="5" a="1"/>
  <c r="J329" i="5" a="1"/>
  <c r="J330" i="5" a="1"/>
  <c r="J263" i="5" a="1"/>
  <c r="J156" i="5" a="1"/>
  <c r="J304" i="5" a="1"/>
  <c r="J181" i="5" a="1"/>
  <c r="J262" i="5" a="1"/>
  <c r="J170" i="5" a="1"/>
  <c r="J256" i="5" a="1"/>
  <c r="J46" i="5" a="1"/>
  <c r="J44" i="5" a="1"/>
  <c r="J236" i="5" a="1"/>
  <c r="J191" i="5" a="1"/>
  <c r="J321" i="5" a="1"/>
  <c r="J306" i="5" a="1"/>
  <c r="J187" i="5" a="1"/>
  <c r="J266" i="5" a="1"/>
  <c r="J126" i="5" a="1"/>
  <c r="J218" i="5" a="1"/>
  <c r="J165" i="5" a="1"/>
  <c r="J168" i="5" a="1"/>
  <c r="J312" i="5" a="1"/>
  <c r="J175" i="5" a="1"/>
  <c r="J282" i="5" a="1"/>
  <c r="J302" i="5" a="1"/>
  <c r="J245" i="5" a="1"/>
  <c r="J315" i="5" a="1"/>
  <c r="J247" i="5" a="1"/>
  <c r="J305" i="5" a="1"/>
  <c r="J267" i="5" a="1"/>
  <c r="J287" i="5" a="1"/>
  <c r="J198" i="5" a="1"/>
  <c r="J237" i="5" a="1"/>
  <c r="J274" i="5" a="1"/>
  <c r="J255" i="5" a="1"/>
  <c r="J150" i="5" a="1"/>
  <c r="J303" i="5" a="1"/>
  <c r="J324" i="5" a="1"/>
  <c r="J292" i="5" a="1"/>
  <c r="J127" i="5" a="1"/>
  <c r="J143" i="5" a="1"/>
  <c r="J284" i="5" a="1"/>
  <c r="J152" i="5" a="1"/>
  <c r="J331" i="5" a="1"/>
  <c r="J215" i="5" a="1"/>
  <c r="J249" i="5" a="1"/>
  <c r="J291" i="5" a="1"/>
  <c r="J227" i="5" a="1"/>
  <c r="J141" i="5" a="1"/>
  <c r="J261" i="5" a="1"/>
  <c r="J188" i="5" a="1"/>
  <c r="J136" i="5" a="1"/>
  <c r="J314" i="5" a="1"/>
  <c r="J242" i="5" a="1"/>
  <c r="J138" i="5" a="1"/>
  <c r="J228" i="5" a="1"/>
  <c r="J283" i="5" a="1"/>
  <c r="J246" i="5" a="1"/>
  <c r="J153" i="5" a="1"/>
  <c r="J241" i="5" a="1"/>
  <c r="J234" i="5" a="1"/>
  <c r="J275" i="5" a="1"/>
  <c r="J137" i="5" a="1"/>
  <c r="J332" i="5" a="1"/>
  <c r="J297" i="5" a="1"/>
  <c r="J133" i="5" a="1"/>
  <c r="J276" i="5" a="1"/>
  <c r="J270" i="5" a="1"/>
  <c r="J260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2" i="5" a="1"/>
  <c r="J90" i="5" a="1"/>
  <c r="J108" i="5" a="1"/>
  <c r="J101" i="5" a="1"/>
  <c r="J100" i="5" a="1"/>
  <c r="J91" i="5" a="1"/>
  <c r="J87" i="5" a="1"/>
  <c r="J109" i="5" a="1"/>
  <c r="J89" i="5" a="1"/>
  <c r="J88" i="5" a="1"/>
  <c r="J85" i="5" a="1"/>
  <c r="J84" i="5" a="1"/>
  <c r="J99" i="5" a="1"/>
  <c r="J110" i="5" a="1"/>
  <c r="J80" i="5" a="1"/>
  <c r="J86" i="5" a="1"/>
  <c r="J107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78" i="5" a="1"/>
  <c r="J12" i="5" a="1"/>
  <c r="J72" i="5" a="1"/>
  <c r="J19" i="5" a="1"/>
  <c r="J71" i="5" a="1"/>
  <c r="J35" i="5" a="1"/>
  <c r="J26" i="5" a="1"/>
  <c r="J22" i="5" a="1"/>
  <c r="J52" i="5" a="1"/>
  <c r="J61" i="5" a="1"/>
  <c r="J31" i="5" a="1"/>
  <c r="J70" i="5" a="1"/>
  <c r="J59" i="5" a="1"/>
  <c r="J63" i="5" a="1"/>
  <c r="J40" i="5" a="1"/>
  <c r="J42" i="5" a="1"/>
  <c r="J51" i="5" a="1"/>
  <c r="J69" i="5" a="1"/>
  <c r="J77" i="5" a="1"/>
  <c r="J33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<sst xmlns="http://schemas.openxmlformats.org/spreadsheetml/2006/main" count="1478" uniqueCount="428">
  <si>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</si>
  <si>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</si>
  <si>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</si>
  <si>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</si>
  <si>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</si>
  <si>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</si>
  <si>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</si>
  <si>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</si>
  <si>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</si>
  <si>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</si>
  <si>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</si>
  <si>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</si>
  <si>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</si>
  <si>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</si>
  <si>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</si>
  <si>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</si>
  <si>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</si>
  <si>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</si>
  <si>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</si>
  <si>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</si>
  <si>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</si>
  <si>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</si>
  <si>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</si>
  <si>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</si>
  <si>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</si>
  <si>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</si>
  <si>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</si>
  <si>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</si>
  <si>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</si>
  <si>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</si>
  <si>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</si>
  <si>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</si>
  <si>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</si>
  <si>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</si>
  <si>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</si>
  <si>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</si>
  <si>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</si>
  <si>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</si>
  <si>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</si>
  <si>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</si>
  <si>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</si>
  <si>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</si>
  <si>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</si>
  <si>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</si>
  <si>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</si>
  <si>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</si>
  <si>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</si>
  <si>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</si>
  <si>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</si>
  <si>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</si>
  <si>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</si>
  <si>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</si>
  <si>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</si>
  <si>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</si>
  <si>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</si>
  <si>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</si>
  <si>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</si>
  <si>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</si>
  <si>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</si>
  <si>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</si>
  <si>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</si>
  <si>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</si>
  <si>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</si>
  <si>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</si>
  <si>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</si>
  <si>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</si>
  <si>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</si>
  <si>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</si>
  <si>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</si>
  <si>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</si>
  <si>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</si>
  <si>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</si>
  <si>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</si>
  <si>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</si>
  <si>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</si>
  <si>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</si>
  <si>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</si>
  <si>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</si>
  <si>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</si>
  <si>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</si>
  <si>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</si>
  <si>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</si>
  <si>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</si>
  <si>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</si>
  <si>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</si>
  <si>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</si>
  <si>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</si>
  <si>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</si>
  <si>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</si>
  <si>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</si>
  <si>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</si>
  <si>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</si>
  <si>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</si>
  <si>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</si>
  <si>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</si>
  <si>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</si>
  <si>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</si>
  <si>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</si>
  <si>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</si>
  <si>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</si>
  <si>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</si>
  <si>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</si>
  <si>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</si>
  <si>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</si>
  <si>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</si>
  <si>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</si>
  <si>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</si>
  <si>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</si>
  <si>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</si>
  <si>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</si>
  <si>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</si>
  <si>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</si>
  <si>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</si>
  <si>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</si>
  <si>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</si>
  <si>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</si>
  <si>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</si>
  <si>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</si>
  <si>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</si>
  <si>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</si>
  <si>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</si>
  <si>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</si>
  <si>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</si>
  <si>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</si>
  <si>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</si>
  <si>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</si>
  <si>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</si>
  <si>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</si>
  <si>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</si>
  <si>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</si>
  <si>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</si>
  <si>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</si>
  <si>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</si>
  <si>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</si>
  <si>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</si>
  <si>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</si>
  <si>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</si>
  <si>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</si>
  <si>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</si>
  <si>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</si>
  <si>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</si>
  <si>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</si>
  <si>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</si>
  <si>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</si>
  <si>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</si>
  <si>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</si>
  <si>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</si>
  <si>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</si>
  <si>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</si>
  <si>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</si>
  <si>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</si>
  <si>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</si>
  <si>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</si>
  <si>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</si>
  <si>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</si>
  <si>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</si>
  <si>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</si>
  <si>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</si>
  <si>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</si>
  <si>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</si>
  <si>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</si>
  <si>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</si>
  <si>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</si>
  <si>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</si>
  <si>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</si>
  <si>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</si>
  <si>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</si>
  <si>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</si>
  <si>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</si>
  <si>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</si>
  <si>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</si>
  <si>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</si>
  <si>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</si>
  <si>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</si>
  <si>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</si>
  <si>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</si>
  <si>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</si>
  <si>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</si>
  <si>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</si>
  <si>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</si>
  <si>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</si>
  <si>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</si>
  <si>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</si>
  <si>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</si>
  <si>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</si>
  <si>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</si>
  <si>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</si>
  <si>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</si>
  <si>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</si>
  <si>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</si>
  <si>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</si>
  <si>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</si>
  <si>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</si>
  <si>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</si>
  <si>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</si>
  <si>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</si>
  <si>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</si>
  <si>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</si>
  <si>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</si>
  <si>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</si>
  <si>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</si>
  <si>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</si>
  <si>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</si>
  <si>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</si>
  <si>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</si>
  <si>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</si>
  <si>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</si>
  <si>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</si>
  <si>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</si>
  <si>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</si>
  <si>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</si>
  <si>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</si>
  <si>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</si>
  <si>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</si>
  <si>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</si>
  <si>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</si>
  <si>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</si>
  <si>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</si>
  <si>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</si>
  <si>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</si>
  <si>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</si>
  <si>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</si>
  <si>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</si>
  <si>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</si>
  <si>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</si>
  <si>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</si>
  <si>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</si>
  <si>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</si>
  <si>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</si>
  <si>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</si>
  <si>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</si>
  <si>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</si>
  <si>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</si>
  <si>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</si>
  <si>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</si>
  <si>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</si>
  <si>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</si>
  <si>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</si>
  <si>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</si>
  <si>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</si>
  <si>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</si>
  <si>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</si>
  <si>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</si>
  <si>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</si>
  <si>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</si>
  <si>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</si>
  <si>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</si>
  <si>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</si>
  <si>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</si>
  <si>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</si>
  <si>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</si>
  <si>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</si>
  <si>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</si>
  <si>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</si>
  <si>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</si>
  <si>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</si>
  <si>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</si>
  <si>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</si>
  <si>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</si>
  <si>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</si>
  <si>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</si>
  <si>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</si>
  <si>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</si>
  <si>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</si>
  <si>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</si>
  <si>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</si>
  <si>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</si>
  <si>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</si>
  <si>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</si>
  <si>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</si>
  <si>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</si>
  <si>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</si>
  <si>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</si>
  <si>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</si>
  <si>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</si>
  <si>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</si>
  <si>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</si>
  <si>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</si>
  <si>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</si>
  <si>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</si>
  <si>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</si>
  <si>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</si>
  <si>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</si>
  <si>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</si>
  <si>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</si>
  <si>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</si>
  <si>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</si>
  <si>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</si>
  <si>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</si>
  <si>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</si>
  <si>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</si>
  <si>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</si>
  <si>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</si>
  <si>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</si>
  <si>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</si>
  <si>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</si>
  <si>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</si>
  <si>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</si>
  <si>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</si>
  <si>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</si>
  <si>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</si>
  <si>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</si>
  <si>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</si>
  <si>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</si>
  <si>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</si>
  <si>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</si>
  <si>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</si>
  <si>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</si>
  <si>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</si>
  <si>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</si>
  <si>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</si>
  <si>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</si>
  <si>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</si>
  <si>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</si>
  <si>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</si>
  <si>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</si>
  <si>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</si>
  <si>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</si>
  <si>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</si>
  <si>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</si>
  <si>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</si>
  <si>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</si>
  <si>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</si>
  <si>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</si>
  <si>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</si>
  <si>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</si>
  <si>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</si>
  <si>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</si>
  <si>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</si>
  <si>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</si>
  <si>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</si>
  <si>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</si>
  <si>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</si>
  <si>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</si>
  <si>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</si>
  <si>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</si>
  <si>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</si>
  <si>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</si>
  <si>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</si>
  <si>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</si>
  <si>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</si>
  <si>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</si>
  <si>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</si>
  <si>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</si>
  <si>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</si>
  <si>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</si>
  <si>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</si>
  <si>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</si>
  <si>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</si>
  <si>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</si>
  <si>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</si>
  <si>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</si>
  <si>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</si>
  <si>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</si>
  <si>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</si>
  <si>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</si>
  <si>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</si>
  <si>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</si>
  <si>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</si>
  <si>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</si>
  <si>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</si>
  <si>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</si>
  <si>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</si>
  <si>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</si>
  <si>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</si>
  <si>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</si>
  <si>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</si>
  <si>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</si>
  <si>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</si>
  <si>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</si>
  <si>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</si>
  <si>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</si>
  <si>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</si>
  <si>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</si>
  <si>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</si>
  <si>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</si>
  <si>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</si>
  <si>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</si>
  <si>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</si>
  <si>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</si>
  <si>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</si>
  <si>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</si>
  <si>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</si>
  <si>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</si>
  <si>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</si>
  <si>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</si>
  <si>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</si>
  <si>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</si>
  <si>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</si>
  <si>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</si>
  <si>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</si>
  <si>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</si>
  <si>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</si>
  <si>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</si>
  <si>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</si>
  <si>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</si>
  <si>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</si>
  <si>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</si>
  <si>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</si>
  <si>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</si>
  <si>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</si>
  <si>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</si>
  <si>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</si>
  <si>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</si>
  <si>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</si>
  <si>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</si>
  <si>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</si>
  <si>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</si>
  <si>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</si>
  <si>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</si>
  <si>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</si>
  <si>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</si>
  <si>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</si>
  <si>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</si>
  <si>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</si>
  <si>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</si>
  <si>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</si>
  <si>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</si>
  <si>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</si>
  <si>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</si>
  <si>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</si>
  <si>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</si>
  <si>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</si>
  <si>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</si>
  <si>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</si>
  <si>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0103</t>
  </si>
  <si>
    <t>0140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</si>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</sst>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12" sqref="AA12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9" t="s">
        <v>374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423</v>
      </c>
      <c r="AO1" s="67" t="s">
        <v>419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420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421</v>
      </c>
      <c r="AP3" s="6"/>
    </row>
    <row r="4" spans="1:42" ht="15.75" thickBot="1">
      <c r="AA4" s="7" t="s">
        <v>411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412</v>
      </c>
      <c r="AL4" t="s">
        <v>413</v>
      </c>
      <c r="AN4" s="117">
        <v>1</v>
      </c>
      <c r="AO4" s="117" t="s">
        <v>422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410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 t="s">
        <v>210</v>
      </c>
      <c r="D7" s="34" t="str">
        <f t="shared" ref="D7:D14" si="2">IF(AND(E7&gt;=32,E7&lt;=126),CHAR(E7),".")</f>
        <v>"</v>
      </c>
      <c r="E7" s="35">
        <f t="shared" ref="E7:E14" si="3">HEX2DEC(C7)</f>
        <v>34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 t="s">
        <v>188</v>
      </c>
      <c r="D8" s="34" t="str">
        <f t="shared" si="2"/>
        <v>.</v>
      </c>
      <c r="E8" s="35">
        <f t="shared" si="3"/>
        <v>170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152</v>
      </c>
      <c r="R8" s="104" t="s">
        <v>209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208</v>
      </c>
      <c r="D9" s="34" t="str">
        <f t="shared" si="2"/>
        <v>.</v>
      </c>
      <c r="E9" s="35">
        <f t="shared" si="3"/>
        <v>238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199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0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149</v>
      </c>
      <c r="Q10" s="103" t="s">
        <v>152</v>
      </c>
      <c r="R10" s="104" t="s">
        <v>210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259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>L</v>
      </c>
      <c r="M13" s="38" t="str">
        <f t="shared" si="4"/>
        <v>0105</v>
      </c>
      <c r="N13" s="66">
        <f t="shared" si="6"/>
        <v>261</v>
      </c>
      <c r="O13" s="101" t="s">
        <v>199</v>
      </c>
      <c r="P13" s="102" t="s">
        <v>149</v>
      </c>
      <c r="Q13" s="103" t="s">
        <v>190</v>
      </c>
      <c r="R13" s="104" t="s">
        <v>188</v>
      </c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204</v>
      </c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84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L</v>
      </c>
      <c r="M17" s="38" t="str">
        <f t="shared" si="4"/>
        <v>0109</v>
      </c>
      <c r="N17" s="66">
        <f t="shared" si="6"/>
        <v>265</v>
      </c>
      <c r="O17" s="101" t="s">
        <v>204</v>
      </c>
      <c r="P17" s="102" t="s">
        <v>149</v>
      </c>
      <c r="Q17" s="103" t="s">
        <v>191</v>
      </c>
      <c r="R17" s="104" t="s">
        <v>208</v>
      </c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 t="s">
        <v>84</v>
      </c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3" activePane="bottomLeft" state="frozen"/>
      <selection pane="bottomLeft" activeCell="D17" sqref="D17:G2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22</v>
      </c>
      <c r="D2" s="56" t="str">
        <f>CPU!C8</f>
        <v>AA</v>
      </c>
      <c r="E2" s="56" t="str">
        <f>CPU!C9</f>
        <v>EE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0103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0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343</v>
      </c>
      <c r="L4" s="70" t="s">
        <v>267</v>
      </c>
      <c r="M4" s="20">
        <f>IFERROR(VLOOKUP(A4,$P$6:$R$1048576,3,0),0)</f>
        <v>0</v>
      </c>
      <c r="U4" s="131" t="s">
        <v>341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393</v>
      </c>
      <c r="R5" s="93" t="s">
        <v>243</v>
      </c>
      <c r="U5" s="122" t="s">
        <v>427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343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343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1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1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354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1</v>
      </c>
      <c r="K26" s="56"/>
      <c r="L26" s="6"/>
      <c r="P26" s="6" t="s">
        <v>356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357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360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343</v>
      </c>
      <c r="L29" s="70" t="s">
        <v>216</v>
      </c>
      <c r="M29" s="20">
        <f>IFERROR(VLOOKUP(A29,$P$6:$R$1048576,3,0),0)</f>
        <v>0</v>
      </c>
      <c r="P29" s="6" t="s">
        <v>361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362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387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389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390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395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396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397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398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343</v>
      </c>
      <c r="L38" s="70" t="s">
        <v>240</v>
      </c>
      <c r="M38" s="20">
        <f>IFERROR(VLOOKUP(A38,$P$6:$R$1048576,3,0),0)</f>
        <v>0</v>
      </c>
      <c r="P38" s="6" t="s">
        <v>399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400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401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402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403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404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0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0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0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0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8" t="s">
        <v>424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343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343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343</v>
      </c>
      <c r="L148" s="70" t="s">
        <v>344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345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343</v>
      </c>
      <c r="L163" s="70" t="s">
        <v>351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343</v>
      </c>
      <c r="L174" s="70" t="s">
        <v>352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346</v>
      </c>
      <c r="H177" s="86" t="s">
        <v>191</v>
      </c>
      <c r="I177" s="86" t="s">
        <v>347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348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349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350</v>
      </c>
      <c r="H181" s="86" t="s">
        <v>114</v>
      </c>
      <c r="I181" s="86" t="s">
        <v>350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343</v>
      </c>
      <c r="L184" s="70" t="s">
        <v>353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346</v>
      </c>
      <c r="H187" s="86" t="s">
        <v>191</v>
      </c>
      <c r="I187" s="86" t="s">
        <v>347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348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349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350</v>
      </c>
      <c r="H191" s="86" t="s">
        <v>114</v>
      </c>
      <c r="I191" s="86" t="s">
        <v>350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354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343</v>
      </c>
      <c r="L194" s="70" t="s">
        <v>355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0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356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343</v>
      </c>
      <c r="L204" s="70" t="s">
        <v>358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359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357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343</v>
      </c>
      <c r="L211" s="70" t="s">
        <v>366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363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363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364</v>
      </c>
      <c r="F219" s="103" t="s">
        <v>365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365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360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343</v>
      </c>
      <c r="L224" s="70" t="s">
        <v>367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370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368</v>
      </c>
      <c r="F227" s="103" t="s">
        <v>369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369</v>
      </c>
      <c r="E229" s="102" t="s">
        <v>149</v>
      </c>
      <c r="F229" s="103" t="s">
        <v>191</v>
      </c>
      <c r="G229" s="104" t="s">
        <v>370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371</v>
      </c>
      <c r="F232" s="103" t="s">
        <v>372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372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373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361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343</v>
      </c>
      <c r="L240" s="70" t="s">
        <v>375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377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378</v>
      </c>
      <c r="F243" s="103" t="s">
        <v>379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379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380</v>
      </c>
      <c r="F248" s="103" t="s">
        <v>381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381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362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8" t="s">
        <v>424</v>
      </c>
      <c r="L253" s="70" t="s">
        <v>376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382</v>
      </c>
      <c r="E254" s="102" t="s">
        <v>166</v>
      </c>
      <c r="F254" s="103" t="s">
        <v>383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382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387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8" t="s">
        <v>424</v>
      </c>
      <c r="L259" s="70" t="s">
        <v>388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384</v>
      </c>
      <c r="E260" s="102" t="s">
        <v>166</v>
      </c>
      <c r="F260" s="103" t="s">
        <v>385</v>
      </c>
      <c r="G260" s="104"/>
      <c r="H260" s="55" t="s">
        <v>154</v>
      </c>
      <c r="I260" s="86" t="s">
        <v>386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384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389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343</v>
      </c>
      <c r="L265" s="70" t="s">
        <v>391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390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343</v>
      </c>
      <c r="L273" s="70" t="s">
        <v>392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395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343</v>
      </c>
      <c r="L281" s="70" t="s">
        <v>394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405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396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343</v>
      </c>
      <c r="L290" s="70" t="s">
        <v>406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405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397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343</v>
      </c>
      <c r="L299" s="70" t="s">
        <v>414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407</v>
      </c>
      <c r="H300" s="55" t="s">
        <v>154</v>
      </c>
      <c r="I300" s="86" t="s">
        <v>410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408</v>
      </c>
      <c r="F301" s="103" t="s">
        <v>409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398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343</v>
      </c>
      <c r="L308" s="70" t="s">
        <v>416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347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415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399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343</v>
      </c>
      <c r="L317" s="70" t="s">
        <v>417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400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8" t="s">
        <v>343</v>
      </c>
      <c r="L326" s="70" t="s">
        <v>418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65</vt:i4>
      </vt:variant>
    </vt:vector>
  </HeadingPairs>
  <TitlesOfParts>
    <vt:vector size="69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2026-02-16T01:32:57Z</dcterms:modified>
</cp:coreProperties>
</file>