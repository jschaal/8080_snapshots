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A8488435-C0BE-4CD7-9DD4-F6821FD010A0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Flag Rules" sheetId="4" r:id="rId6"/>
    <sheet name="Other Programs" sheetId="8" r:id="rId7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CPU!$H$19</definedName>
    <definedName name="TraceLive">CPU!$H$20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5" i="6" l="1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7" i="2" a="1"/>
  <c r="AB15" i="2" a="1"/>
  <c r="AB16" i="2" a="1"/>
  <c r="J396" i="5" a="1"/>
  <c r="J581" i="5" a="1"/>
  <c r="J562" i="5" a="1"/>
  <c r="J260" i="5" a="1"/>
  <c r="J799" i="5" a="1"/>
  <c r="J651" i="5" a="1"/>
  <c r="J189" i="5" a="1"/>
  <c r="J243" i="5" a="1"/>
  <c r="J386" i="5" a="1"/>
  <c r="J248" i="5" a="1"/>
  <c r="J576" i="5" a="1"/>
  <c r="J127" i="5" a="1"/>
  <c r="J175" i="5" a="1"/>
  <c r="J728" i="5" a="1"/>
  <c r="J556" i="5" a="1"/>
  <c r="J390" i="5" a="1"/>
  <c r="J403" i="5" a="1"/>
  <c r="J746" i="5" a="1"/>
  <c r="J143" i="5" a="1"/>
  <c r="J150" i="5" a="1"/>
  <c r="J144" i="5" a="1"/>
  <c r="J474" i="5" a="1"/>
  <c r="J186" i="5" a="1"/>
  <c r="J677" i="5" a="1"/>
  <c r="J185" i="5" a="1"/>
  <c r="J448" i="5" a="1"/>
  <c r="J463" i="5" a="1"/>
  <c r="J293" i="5" a="1"/>
  <c r="J283" i="5" a="1"/>
  <c r="J338" i="5" a="1"/>
  <c r="J339" i="5" a="1"/>
  <c r="J331" i="5" a="1"/>
  <c r="J376" i="5" a="1"/>
  <c r="J350" i="5" a="1"/>
  <c r="J578" i="5" a="1"/>
  <c r="J340" i="5" a="1"/>
  <c r="J381" i="5" a="1"/>
  <c r="J369" i="5" a="1"/>
  <c r="J302" i="5" a="1"/>
  <c r="J551" i="5" a="1"/>
  <c r="J247" i="5" a="1"/>
  <c r="J548" i="5" a="1"/>
  <c r="J493" i="5" a="1"/>
  <c r="J271" i="5" a="1"/>
  <c r="J387" i="5" a="1"/>
  <c r="J408" i="5" a="1"/>
  <c r="J668" i="5" a="1"/>
  <c r="J560" i="5" a="1"/>
  <c r="J557" i="5" a="1"/>
  <c r="J555" i="5" a="1"/>
  <c r="J138" i="5" a="1"/>
  <c r="J401" i="5" a="1"/>
  <c r="J215" i="5" a="1"/>
  <c r="J737" i="5" a="1"/>
  <c r="J365" i="5" a="1"/>
  <c r="J315" i="5" a="1"/>
  <c r="J323" i="5" a="1"/>
  <c r="J487" i="5" a="1"/>
  <c r="J176" i="5" a="1"/>
  <c r="J279" i="5" a="1"/>
  <c r="J245" i="5" a="1"/>
  <c r="J237" i="5" a="1"/>
  <c r="J601" i="5" a="1"/>
  <c r="J287" i="5" a="1"/>
  <c r="J277" i="5" a="1"/>
  <c r="J269" i="5" a="1"/>
  <c r="J766" i="5" a="1"/>
  <c r="J565" i="5" a="1"/>
  <c r="J366" i="5" a="1"/>
  <c r="J374" i="5" a="1"/>
  <c r="J187" i="5" a="1"/>
  <c r="J142" i="5" a="1"/>
  <c r="J46" i="5" a="1"/>
  <c r="J155" i="5" a="1"/>
  <c r="J256" i="5" a="1"/>
  <c r="J188" i="5" a="1"/>
  <c r="J274" i="5" a="1"/>
  <c r="J372" i="5" a="1"/>
  <c r="J602" i="5" a="1"/>
  <c r="J348" i="5" a="1"/>
  <c r="J145" i="5" a="1"/>
  <c r="J345" i="5" a="1"/>
  <c r="J322" i="5" a="1"/>
  <c r="J554" i="5" a="1"/>
  <c r="J300" i="5" a="1"/>
  <c r="J327" i="5" a="1"/>
  <c r="J608" i="5" a="1"/>
  <c r="J710" i="5" a="1"/>
  <c r="J201" i="5" a="1"/>
  <c r="J242" i="5" a="1"/>
  <c r="J360" i="5" a="1"/>
  <c r="J303" i="5" a="1"/>
  <c r="J246" i="5" a="1"/>
  <c r="J137" i="5" a="1"/>
  <c r="J385" i="5" a="1"/>
  <c r="J132" i="5" a="1"/>
  <c r="J288" i="5" a="1"/>
  <c r="J405" i="5" a="1"/>
  <c r="J284" i="5" a="1"/>
  <c r="J645" i="5" a="1"/>
  <c r="J324" i="5" a="1"/>
  <c r="J191" i="5" a="1"/>
  <c r="J218" i="5" a="1"/>
  <c r="J255" i="5" a="1"/>
  <c r="J402" i="5" a="1"/>
  <c r="J413" i="5" a="1"/>
  <c r="J126" i="5" a="1"/>
  <c r="J363" i="5" a="1"/>
  <c r="J358" i="5" a="1"/>
  <c r="J227" i="5" a="1"/>
  <c r="J559" i="5" a="1"/>
  <c r="J158" i="5" a="1"/>
  <c r="J438" i="5" a="1"/>
  <c r="J561" i="5" a="1"/>
  <c r="J391" i="5" a="1"/>
  <c r="J375" i="5" a="1"/>
  <c r="J553" i="5" a="1"/>
  <c r="J267" i="5" a="1"/>
  <c r="J579" i="5" a="1"/>
  <c r="J181" i="5" a="1"/>
  <c r="J166" i="5" a="1"/>
  <c r="J619" i="5" a="1"/>
  <c r="J321" i="5" a="1"/>
  <c r="J546" i="5" a="1"/>
  <c r="J378" i="5" a="1"/>
  <c r="J473" i="5" a="1"/>
  <c r="J354" i="5" a="1"/>
  <c r="J547" i="5" a="1"/>
  <c r="J212" i="5" a="1"/>
  <c r="J170" i="5" a="1"/>
  <c r="J296" i="5" a="1"/>
  <c r="J198" i="5" a="1"/>
  <c r="J199" i="5" a="1"/>
  <c r="J788" i="5" a="1"/>
  <c r="J798" i="5" a="1"/>
  <c r="J295" i="5" a="1"/>
  <c r="J686" i="5" a="1"/>
  <c r="J472" i="5" a="1"/>
  <c r="J241" i="5" a="1"/>
  <c r="J294" i="5" a="1"/>
  <c r="J464" i="5" a="1"/>
  <c r="J278" i="5" a="1"/>
  <c r="J152" i="5" a="1"/>
  <c r="J359" i="5" a="1"/>
  <c r="J311" i="5" a="1"/>
  <c r="J580" i="5" a="1"/>
  <c r="J314" i="5" a="1"/>
  <c r="J618" i="5" a="1"/>
  <c r="J446" i="5" a="1"/>
  <c r="J558" i="5" a="1"/>
  <c r="J392" i="5" a="1"/>
  <c r="J577" i="5" a="1"/>
  <c r="J318" i="5" a="1"/>
  <c r="J128" i="5" a="1"/>
  <c r="J262" i="5" a="1"/>
  <c r="J129" i="5" a="1"/>
  <c r="J394" i="5" a="1"/>
  <c r="J368" i="5" a="1"/>
  <c r="J384" i="5" a="1"/>
  <c r="J496" i="5" a="1"/>
  <c r="J131" i="5" a="1"/>
  <c r="J336" i="5" a="1"/>
  <c r="J141" i="5" a="1"/>
  <c r="J587" i="5" a="1"/>
  <c r="J320" i="5" a="1"/>
  <c r="J151" i="5" a="1"/>
  <c r="J266" i="5" a="1"/>
  <c r="J310" i="5" a="1"/>
  <c r="J200" i="5" a="1"/>
  <c r="J297" i="5" a="1"/>
  <c r="J153" i="5" a="1"/>
  <c r="J330" i="5" a="1"/>
  <c r="J367" i="5" a="1"/>
  <c r="J342" i="5" a="1"/>
  <c r="J377" i="5" a="1"/>
  <c r="J171" i="5" a="1"/>
  <c r="J492" i="5" a="1"/>
  <c r="J261" i="5" a="1"/>
  <c r="J552" i="5" a="1"/>
  <c r="J309" i="5" a="1"/>
  <c r="J305" i="5" a="1"/>
  <c r="J704" i="5" a="1"/>
  <c r="J234" i="5" a="1"/>
  <c r="J393" i="5" a="1"/>
  <c r="J356" i="5" a="1"/>
  <c r="J755" i="5" a="1"/>
  <c r="J167" i="5" a="1"/>
  <c r="J659" i="5" a="1"/>
  <c r="J341" i="5" a="1"/>
  <c r="J644" i="5" a="1"/>
  <c r="J399" i="5" a="1"/>
  <c r="J695" i="5" a="1"/>
  <c r="J228" i="5" a="1"/>
  <c r="J44" i="5" a="1"/>
  <c r="J168" i="5" a="1"/>
  <c r="J177" i="5" a="1"/>
  <c r="J626" i="5" a="1"/>
  <c r="J206" i="5" a="1"/>
  <c r="J357" i="5" a="1"/>
  <c r="J276" i="5" a="1"/>
  <c r="J475" i="5" a="1"/>
  <c r="J404" i="5" a="1"/>
  <c r="J349" i="5" a="1"/>
  <c r="J549" i="5" a="1"/>
  <c r="J165" i="5" a="1"/>
  <c r="J333" i="5" a="1"/>
  <c r="J286" i="5" a="1"/>
  <c r="J719" i="5" a="1"/>
  <c r="J196" i="5" a="1"/>
  <c r="J156" i="5" a="1"/>
  <c r="J268" i="5" a="1"/>
  <c r="J130" i="5" a="1"/>
  <c r="J395" i="5" a="1"/>
  <c r="J313" i="5" a="1"/>
  <c r="J226" i="5" a="1"/>
  <c r="J594" i="5" a="1"/>
  <c r="J275" i="5" a="1"/>
  <c r="J249" i="5" a="1"/>
  <c r="J236" i="5" a="1"/>
  <c r="J306" i="5" a="1"/>
  <c r="J417" i="5" a="1"/>
  <c r="J225" i="5" a="1"/>
  <c r="J329" i="5" a="1"/>
  <c r="J312" i="5" a="1"/>
  <c r="J779" i="5" a="1"/>
  <c r="J773" i="5" a="1"/>
  <c r="J480" i="5" a="1"/>
  <c r="J431" i="5" a="1"/>
  <c r="J282" i="5" a="1"/>
  <c r="J424" i="5" a="1"/>
  <c r="J351" i="5" a="1"/>
  <c r="J195" i="5" a="1"/>
  <c r="J197" i="5" a="1"/>
  <c r="J270" i="5" a="1"/>
  <c r="J428" i="5" a="1"/>
  <c r="J178" i="5" a="1"/>
  <c r="J235" i="5" a="1"/>
  <c r="J332" i="5" a="1"/>
  <c r="J449" i="5" a="1"/>
  <c r="J219" i="5" a="1"/>
  <c r="J136" i="5" a="1"/>
  <c r="J494" i="5" a="1"/>
  <c r="J263" i="5" a="1"/>
  <c r="J347" i="5" a="1"/>
  <c r="J595" i="5" a="1"/>
  <c r="J383" i="5" a="1"/>
  <c r="J776" i="5" a="1"/>
  <c r="J447" i="5" a="1"/>
  <c r="J634" i="5" a="1"/>
  <c r="J304" i="5" a="1"/>
  <c r="J285" i="5" a="1"/>
  <c r="J179" i="5" a="1"/>
  <c r="J550" i="5" a="1"/>
  <c r="J588" i="5" a="1"/>
  <c r="J292" i="5" a="1"/>
  <c r="J291" i="5" a="1"/>
  <c r="J453" i="5" a="1"/>
  <c r="J779" i="5" l="1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0" i="5" a="1"/>
  <c r="J107" i="5" a="1"/>
  <c r="J110" i="5" a="1"/>
  <c r="J86" i="5" a="1"/>
  <c r="J90" i="5" a="1"/>
  <c r="J84" i="5" a="1"/>
  <c r="J101" i="5" a="1"/>
  <c r="J80" i="5" a="1"/>
  <c r="J88" i="5" a="1"/>
  <c r="J108" i="5" a="1"/>
  <c r="J87" i="5" a="1"/>
  <c r="J99" i="5" a="1"/>
  <c r="J109" i="5" a="1"/>
  <c r="J102" i="5" a="1"/>
  <c r="J91" i="5" a="1"/>
  <c r="J85" i="5" a="1"/>
  <c r="J89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3" i="5" a="1"/>
  <c r="J59" i="5" a="1"/>
  <c r="J72" i="5" a="1"/>
  <c r="J26" i="5" a="1"/>
  <c r="J61" i="5" a="1"/>
  <c r="J78" i="5" a="1"/>
  <c r="J79" i="5" a="1"/>
  <c r="J42" i="5" a="1"/>
  <c r="J35" i="5" a="1"/>
  <c r="J70" i="5" a="1"/>
  <c r="J12" i="5" a="1"/>
  <c r="J33" i="5" a="1"/>
  <c r="J19" i="5" a="1"/>
  <c r="J71" i="5" a="1"/>
  <c r="J31" i="5" a="1"/>
  <c r="J60" i="5" a="1"/>
  <c r="J40" i="5" a="1"/>
  <c r="J69" i="5" a="1"/>
  <c r="J22" i="5" a="1"/>
  <c r="J51" i="5" a="1"/>
  <c r="J77" i="5" a="1"/>
  <c r="J5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<sst xmlns="http://schemas.openxmlformats.org/spreadsheetml/2006/main" count="4428" uniqueCount="1153">
  <si>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</si>
  <si>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</si>
  <si>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</si>
  <si>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</si>
  <si>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</si>
  <si>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</si>
  <si>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</si>
  <si>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</si>
  <si>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</si>
  <si>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</si>
  <si>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</si>
  <si>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</si>
  <si>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</si>
  <si>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</si>
  <si>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</si>
  <si>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</si>
  <si>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</si>
  <si>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</si>
  <si>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</si>
  <si>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</si>
  <si>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</si>
  <si>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</si>
  <si>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</si>
  <si>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</si>
  <si>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</si>
  <si>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</si>
  <si>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</si>
  <si>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</si>
  <si>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</si>
  <si>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</si>
  <si>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</si>
  <si>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</si>
  <si>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</si>
  <si>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</si>
  <si>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</si>
  <si>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</si>
  <si>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</si>
  <si>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</si>
  <si>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</si>
  <si>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</si>
  <si>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</si>
  <si>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</si>
  <si>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</si>
  <si>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</si>
  <si>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</si>
  <si>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</si>
  <si>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</si>
  <si>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</si>
  <si>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</si>
  <si>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</si>
  <si>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</si>
  <si>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</si>
  <si>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</si>
  <si>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</si>
  <si>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</si>
  <si>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</si>
  <si>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</si>
  <si>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</si>
  <si>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</si>
  <si>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</si>
  <si>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</si>
  <si>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</si>
  <si>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</si>
  <si>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</si>
  <si>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</si>
  <si>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</si>
  <si>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</si>
  <si>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</si>
  <si>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</si>
  <si>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</si>
  <si>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</si>
  <si>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</si>
  <si>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</si>
  <si>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</si>
  <si>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</si>
  <si>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</si>
  <si>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</si>
  <si>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</si>
  <si>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</si>
  <si>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</si>
  <si>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</si>
  <si>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</si>
  <si>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</si>
  <si>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</si>
  <si>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</si>
  <si>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</si>
  <si>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</si>
  <si>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</si>
  <si>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</si>
  <si>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</si>
  <si>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</si>
  <si>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</si>
  <si>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</si>
  <si>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</si>
  <si>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</si>
  <si>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</si>
  <si>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</si>
  <si>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</si>
  <si>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</si>
  <si>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</si>
  <si>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</si>
  <si>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</si>
  <si>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</si>
  <si>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</si>
  <si>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</si>
  <si>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</si>
  <si>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</si>
  <si>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</si>
  <si>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</si>
  <si>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</si>
  <si>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</si>
  <si>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</si>
  <si>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</si>
  <si>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</si>
  <si>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</si>
  <si>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</si>
  <si>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</si>
  <si>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</si>
  <si>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</si>
  <si>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</si>
  <si>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</si>
  <si>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</si>
  <si>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</si>
  <si>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</si>
  <si>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</si>
  <si>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</si>
  <si>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</si>
  <si>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</si>
  <si>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</si>
  <si>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</si>
  <si>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</si>
  <si>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</si>
  <si>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</si>
  <si>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</si>
  <si>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</si>
  <si>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</si>
  <si>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</si>
  <si>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</si>
  <si>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</si>
  <si>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</si>
  <si>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</si>
  <si>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</si>
  <si>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</si>
  <si>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</si>
  <si>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</si>
  <si>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</si>
  <si>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</si>
  <si>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</si>
  <si>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</si>
  <si>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</si>
  <si>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</si>
  <si>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</si>
  <si>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</si>
  <si>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</si>
  <si>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</si>
  <si>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</si>
  <si>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</si>
  <si>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</si>
  <si>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</si>
  <si>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</si>
  <si>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</si>
  <si>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</si>
  <si>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</si>
  <si>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</si>
  <si>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</si>
  <si>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</si>
  <si>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</si>
  <si>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</si>
  <si>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</si>
  <si>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</si>
  <si>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</si>
  <si>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</si>
  <si>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</si>
  <si>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</si>
  <si>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</si>
  <si>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</si>
  <si>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</si>
  <si>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</si>
  <si>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</si>
  <si>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</si>
  <si>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</si>
  <si>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</si>
  <si>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</si>
  <si>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</si>
  <si>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</si>
  <si>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</si>
  <si>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</si>
  <si>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</si>
  <si>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</si>
  <si>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</si>
  <si>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</si>
  <si>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</si>
  <si>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</si>
  <si>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</si>
  <si>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</si>
  <si>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</si>
  <si>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</si>
  <si>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</si>
  <si>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</si>
  <si>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</si>
  <si>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</si>
  <si>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</si>
  <si>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</si>
  <si>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</si>
  <si>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</si>
  <si>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</si>
  <si>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</si>
  <si>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</si>
  <si>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</si>
  <si>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</si>
  <si>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</si>
  <si>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</si>
  <si>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</si>
  <si>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</si>
  <si>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</si>
  <si>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</si>
  <si>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</si>
  <si>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</si>
  <si>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</si>
  <si>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</si>
  <si>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</si>
  <si>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</si>
  <si>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</si>
  <si>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</si>
  <si>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</si>
  <si>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</si>
  <si>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</si>
  <si>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</si>
  <si>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</si>
  <si>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</si>
  <si>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</si>
  <si>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</si>
  <si>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</si>
  <si>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</si>
  <si>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</si>
  <si>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</si>
  <si>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</si>
  <si>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</si>
  <si>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</si>
  <si>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</si>
  <si>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</si>
  <si>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</si>
  <si>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</si>
  <si>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</si>
  <si>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</si>
  <si>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</si>
  <si>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</si>
  <si>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</si>
  <si>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</si>
  <si>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</si>
  <si>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</si>
  <si>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</si>
  <si>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</si>
  <si>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</si>
  <si>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</si>
  <si>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</si>
  <si>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</si>
  <si>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</si>
  <si>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</si>
  <si>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</si>
  <si>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</si>
  <si>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</si>
  <si>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</si>
  <si>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</si>
  <si>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</si>
  <si>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</si>
  <si>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</si>
  <si>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</si>
  <si>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</si>
  <si>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</si>
  <si>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</si>
  <si>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</si>
  <si>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</si>
  <si>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</si>
  <si>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</si>
  <si>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</si>
  <si>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</si>
  <si>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</si>
  <si>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</si>
  <si>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</si>
  <si>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</si>
  <si>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</si>
  <si>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</si>
  <si>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</si>
  <si>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</si>
  <si>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</si>
  <si>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</si>
  <si>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</si>
  <si>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</si>
  <si>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</si>
  <si>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</si>
  <si>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</si>
  <si>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</si>
  <si>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</si>
  <si>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</si>
  <si>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</si>
  <si>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</si>
  <si>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</si>
  <si>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</si>
  <si>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</si>
  <si>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</si>
  <si>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</si>
  <si>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</si>
  <si>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</si>
  <si>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</si>
  <si>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</si>
  <si>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</si>
  <si>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</si>
  <si>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</si>
  <si>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</si>
  <si>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</si>
  <si>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</si>
  <si>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</si>
  <si>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</si>
  <si>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</si>
  <si>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</si>
  <si>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</si>
  <si>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</si>
  <si>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</si>
  <si>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</si>
  <si>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</si>
  <si>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</si>
  <si>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</si>
  <si>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</si>
  <si>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</si>
  <si>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</si>
  <si>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</si>
  <si>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</si>
  <si>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</si>
  <si>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</si>
  <si>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</si>
  <si>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</si>
  <si>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</si>
  <si>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</si>
  <si>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</si>
  <si>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</si>
  <si>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</si>
  <si>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</si>
  <si>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</si>
  <si>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</si>
  <si>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</si>
  <si>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</si>
  <si>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</si>
  <si>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</si>
  <si>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</si>
  <si>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</si>
  <si>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</si>
  <si>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</si>
  <si>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</si>
  <si>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</si>
  <si>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</si>
  <si>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</si>
  <si>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</si>
  <si>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</si>
  <si>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</si>
  <si>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</si>
  <si>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</si>
  <si>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</si>
  <si>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</si>
  <si>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</si>
  <si>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</si>
  <si>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</si>
  <si>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</si>
  <si>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</si>
  <si>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</si>
  <si>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</si>
  <si>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</si>
  <si>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</si>
  <si>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</si>
  <si>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</si>
  <si>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</si>
  <si>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</si>
  <si>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</si>
  <si>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</si>
  <si>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</si>
  <si>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</si>
  <si>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</si>
  <si>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</si>
  <si>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</si>
  <si>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</si>
  <si>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</si>
  <si>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</si>
  <si>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</si>
  <si>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</si>
  <si>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</si>
  <si>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</si>
  <si>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</si>
  <si>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</si>
  <si>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</si>
  <si>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</si>
  <si>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</si>
  <si>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</si>
  <si>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</si>
  <si>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</si>
  <si>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</si>
  <si>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</si>
  <si>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</si>
  <si>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</si>
  <si>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</si>
  <si>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</si>
  <si>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</si>
  <si>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</si>
  <si>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</si>
  <si>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</si>
  <si>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</si>
  <si>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</si>
  <si>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</si>
  <si>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</si>
  <si>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</si>
  <si>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</si>
  <si>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</si>
  <si>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</si>
  <si>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</si>
  <si>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</si>
  <si>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</si>
  <si>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</si>
  <si>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</si>
  <si>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</si>
  <si>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</si>
  <si>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</si>
  <si>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</si>
  <si>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</si>
  <si>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</si>
  <si>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</si>
  <si>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</si>
  <si>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</si>
  <si>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</si>
  <si>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</si>
  <si>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</si>
  <si>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</si>
  <si>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</si>
  <si>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</si>
  <si>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</si>
  <si>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</si>
  <si>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</si>
  <si>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</si>
  <si>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</si>
  <si>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</si>
  <si>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</si>
  <si>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</si>
  <si>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</si>
  <si>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</si>
  <si>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</si>
  <si>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</si>
  <si>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</si>
  <si>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</si>
  <si>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</si>
  <si>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</si>
  <si>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</si>
  <si>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</si>
  <si>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</si>
  <si>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</si>
  <si>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</si>
  <si>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</si>
  <si>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</si>
  <si>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</si>
  <si>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</si>
  <si>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</si>
  <si>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</si>
  <si>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</si>
  <si>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</si>
  <si>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</si>
  <si>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</si>
  <si>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</si>
  <si>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</si>
  <si>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</si>
  <si>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</si>
  <si>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</si>
  <si>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</si>
  <si>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</si>
  <si>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</si>
  <si>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</si>
  <si>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</si>
  <si>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</si>
  <si>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</si>
  <si>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</si>
  <si>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</si>
  <si>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</si>
  <si>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</si>
  <si>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</si>
  <si>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</si>
  <si>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</si>
  <si>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</si>
  <si>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</si>
  <si>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</si>
  <si>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</si>
  <si>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</si>
  <si>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</si>
  <si>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</si>
  <si>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</si>
  <si>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</si>
  <si>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</si>
  <si>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</si>
  <si>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</si>
  <si>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</si>
  <si>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</si>
  <si>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</si>
  <si>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</si>
  <si>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</si>
  <si>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</si>
  <si>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</si>
  <si>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</si>
  <si>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</si>
  <si>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</si>
  <si>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</si>
  <si>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</si>
  <si>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</si>
  <si>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</si>
  <si>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</si>
  <si>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</si>
  <si>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</si>
  <si>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</si>
  <si>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</si>
  <si>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</si>
  <si>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</si>
  <si>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</si>
  <si>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</si>
  <si>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</si>
  <si>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</si>
  <si>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</si>
  <si>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</si>
  <si>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</si>
  <si>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</si>
  <si>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</si>
  <si>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</si>
  <si>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</si>
  <si>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</si>
  <si>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</si>
  <si>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</si>
  <si>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</si>
  <si>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</si>
  <si>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</si>
  <si>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</si>
  <si>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</si>
  <si>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</si>
  <si>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</si>
  <si>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</si>
  <si>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</si>
  <si>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</si>
  <si>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</si>
  <si>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</si>
  <si>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</si>
  <si>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</si>
  <si>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</si>
  <si>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</si>
  <si>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</si>
  <si>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</si>
  <si>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</si>
  <si>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</si>
  <si>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</si>
  <si>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</si>
  <si>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</si>
  <si>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</si>
  <si>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</si>
  <si>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</si>
  <si>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</si>
  <si>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</si>
  <si>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</si>
  <si>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</si>
  <si>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</si>
  <si>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</si>
  <si>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</si>
  <si>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</si>
  <si>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</si>
  <si>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</si>
  <si>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</si>
  <si>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</si>
  <si>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</si>
  <si>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</si>
  <si>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</si>
  <si>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</si>
  <si>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</si>
  <si>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</si>
  <si>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</si>
  <si>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</si>
  <si>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</si>
  <si>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</si>
  <si>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</si>
  <si>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</si>
  <si>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</si>
  <si>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</si>
  <si>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</si>
  <si>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</si>
  <si>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</si>
  <si>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</si>
  <si>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</si>
  <si>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</si>
  <si>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</si>
  <si>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</si>
  <si>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</si>
  <si>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</si>
  <si>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</si>
  <si>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</si>
  <si>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</si>
  <si>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</si>
  <si>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</si>
  <si>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</si>
  <si>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</si>
  <si>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</si>
  <si>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</si>
  <si>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</si>
  <si>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</si>
  <si>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</si>
  <si>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</si>
  <si>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</si>
  <si>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</si>
  <si>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</si>
  <si>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</si>
  <si>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</si>
  <si>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</si>
  <si>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</si>
  <si>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</si>
  <si>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</si>
  <si>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</si>
  <si>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</si>
  <si>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</si>
  <si>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</si>
  <si>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</si>
  <si>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</si>
  <si>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</si>
  <si>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</si>
  <si>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</si>
  <si>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</si>
  <si>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</si>
  <si>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</si>
  <si>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</si>
  <si>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</si>
  <si>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</si>
  <si>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</si>
  <si>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</si>
  <si>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</si>
  <si>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</si>
  <si>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</si>
  <si>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</si>
  <si>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</si>
  <si>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</si>
  <si>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</si>
  <si>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</si>
  <si>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</si>
  <si>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</si>
  <si>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</si>
  <si>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</si>
  <si>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</si>
  <si>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</si>
  <si>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</si>
  <si>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</si>
  <si>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</si>
  <si>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</si>
  <si>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</si>
  <si>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</si>
  <si>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</si>
  <si>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</si>
  <si>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</si>
  <si>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</si>
  <si>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</si>
  <si>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</si>
  <si>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</si>
  <si>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</si>
  <si>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</si>
  <si>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</si>
  <si>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</si>
  <si>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</si>
  <si>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</si>
  <si>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</si>
  <si>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</si>
  <si>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</si>
  <si>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</si>
  <si>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</si>
  <si>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</si>
  <si>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</si>
  <si>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</si>
  <si>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</si>
  <si>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</si>
  <si>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</si>
  <si>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</si>
  <si>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</si>
  <si>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</si>
  <si>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</si>
  <si>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</si>
  <si>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</si>
  <si>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</si>
  <si>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</si>
  <si>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</si>
  <si>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</si>
  <si>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</si>
  <si>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</si>
  <si>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</si>
  <si>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</si>
  <si>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</si>
  <si>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</si>
  <si>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</si>
  <si>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</si>
  <si>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</si>
  <si>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</si>
  <si>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</si>
  <si>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</si>
  <si>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</si>
  <si>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</si>
  <si>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</si>
  <si>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</si>
  <si>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</si>
  <si>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</si>
  <si>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</si>
  <si>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</si>
  <si>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</si>
  <si>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</si>
  <si>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</si>
  <si>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</si>
  <si>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</si>
  <si>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</si>
  <si>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</si>
  <si>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</si>
  <si>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</si>
  <si>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</si>
  <si>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</si>
  <si>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</si>
  <si>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</si>
  <si>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</si>
  <si>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</si>
  <si>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</si>
  <si>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</si>
  <si>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</si>
  <si>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</si>
  <si>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</si>
  <si>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</si>
  <si>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</si>
  <si>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</si>
  <si>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</si>
  <si>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</si>
  <si>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</si>
  <si>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</si>
  <si>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</si>
  <si>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</si>
  <si>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</si>
  <si>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</si>
  <si>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</si>
  <si>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</si>
  <si>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</si>
  <si>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</si>
  <si>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</si>
  <si>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</si>
  <si>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</si>
  <si>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</si>
  <si>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</si>
  <si>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</si>
  <si>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</si>
  <si>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</si>
  <si>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</si>
  <si>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</si>
  <si>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</si>
  <si>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</si>
  <si>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</si>
  <si>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</si>
  <si>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</si>
  <si>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</si>
  <si>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</si>
  <si>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</si>
  <si>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</si>
  <si>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</si>
  <si>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</si>
  <si>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</si>
  <si>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</si>
  <si>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</si>
  <si>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</si>
  <si>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</si>
  <si>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</si>
  <si>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</si>
  <si>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</si>
  <si>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</si>
  <si>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</si>
  <si>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</si>
  <si>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</si>
  <si>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</si>
  <si>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</si>
  <si>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</si>
  <si>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</si>
  <si>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</si>
  <si>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</si>
  <si>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</si>
  <si>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</si>
  <si>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</si>
  <si>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</si>
  <si>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</si>
  <si>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</si>
  <si>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</si>
  <si>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</si>
  <si>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</si>
  <si>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</si>
  <si>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</si>
  <si>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</si>
  <si>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</si>
  <si>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</si>
  <si>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</si>
  <si>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</si>
  <si>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</si>
  <si>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</si>
  <si>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</si>
  <si>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</si>
  <si>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</si>
  <si>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</si>
  <si>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</si>
  <si>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</si>
  <si>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</si>
  <si>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</si>
  <si>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</si>
  <si>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</si>
  <si>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</si>
  <si>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</si>
  <si>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</si>
  <si>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</si>
  <si>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</si>
  <si>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</si>
  <si>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</si>
  <si>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</si>
  <si>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</si>
  <si>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</si>
  <si>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</si>
  <si>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</si>
  <si>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</si>
  <si>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</si>
  <si>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</si>
  <si>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</si>
  <si>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</si>
  <si>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</si>
  <si>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</si>
  <si>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</si>
  <si>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</si>
  <si>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</si>
  <si>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</si>
  <si>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</si>
  <si>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</si>
  <si>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</si>
  <si>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</si>
  <si>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</si>
  <si>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</si>
  <si>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</si>
  <si>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</si>
  <si>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</si>
  <si>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</si>
  <si>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</si>
  <si>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</si>
  <si>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</si>
  <si>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</si>
  <si>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</si>
  <si>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</si>
  <si>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</si>
  <si>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</si>
  <si>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</si>
  <si>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</si>
  <si>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</si>
  <si>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</si>
  <si>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</si>
  <si>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</si>
  <si>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</si>
  <si>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</si>
  <si>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</si>
  <si>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</si>
  <si>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</si>
  <si>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</si>
  <si>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</si>
  <si>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</si>
  <si>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</si>
  <si>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</si>
  <si>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</si>
  <si>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</si>
  <si>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</si>
  <si>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</si>
  <si>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</si>
  <si>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</si>
  <si>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</si>
  <si>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</si>
  <si>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</si>
  <si>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</si>
  <si>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</si>
  <si>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</si>
  <si>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</si>
  <si>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</si>
  <si>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</si>
  <si>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</si>
  <si>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</si>
  <si>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</si>
  <si>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</si>
  <si>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</si>
  <si>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</si>
  <si>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</si>
  <si>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</si>
  <si>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</si>
  <si>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</si>
  <si>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</si>
  <si>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</si>
  <si>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</si>
  <si>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</si>
  <si>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</si>
  <si>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</si>
  <si>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</si>
  <si>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</si>
  <si>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</si>
  <si>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</si>
  <si>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</si>
  <si>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</si>
  <si>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</si>
  <si>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</si>
  <si>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</si>
  <si>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</si>
  <si>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</si>
  <si>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</si>
  <si>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</si>
  <si>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</si>
  <si>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</si>
  <si>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</si>
  <si>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</si>
  <si>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</si>
  <si>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</si>
  <si>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</si>
  <si>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</si>
  <si>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</si>
  <si>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</si>
  <si>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</si>
  <si>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</si>
  <si>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</si>
  <si>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</si>
  <si>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</si>
  <si>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</si>
  <si>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</si>
  <si>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</si>
  <si>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</si>
  <si>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</si>
  <si>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</si>
  <si>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</si>
  <si>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</si>
  <si>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</si>
  <si>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</si>
  <si>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</si>
  <si>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</si>
  <si>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</si>
  <si>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</si>
  <si>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</si>
  <si>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</si>
  <si>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</si>
  <si>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</si>
  <si>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</si>
  <si>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</si>
  <si>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</si>
  <si>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</si>
  <si>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</si>
  <si>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</si>
  <si>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</si>
  <si>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</si>
  <si>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</si>
  <si>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</si>
  <si>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</si>
  <si>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</si>
  <si>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</si>
  <si>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</si>
  <si>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</si>
  <si>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</si>
  <si>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</si>
  <si>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</si>
  <si>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</si>
  <si>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</si>
  <si>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</si>
  <si>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</si>
  <si>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</si>
  <si>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</si>
  <si>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</si>
  <si>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</si>
  <si>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</si>
  <si>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</si>
  <si>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</si>
  <si>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</si>
  <si>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</si>
  <si>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</si>
  <si>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</si>
  <si>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</si>
  <si>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</si>
  <si>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</si>
  <si>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</si>
  <si>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</si>
  <si>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</si>
  <si>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</si>
  <si>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</si>
  <si>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</si>
  <si>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</si>
  <si>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</si>
  <si>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</si>
  <si>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</si>
  <si>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</si>
  <si>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</si>
  <si>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</si>
  <si>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</si>
  <si>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</si>
  <si>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</si>
  <si>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</si>
  <si>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</si>
  <si>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</si>
  <si>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</si>
  <si>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</si>
  <si>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</si>
  <si>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</si>
  <si>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</si>
  <si>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</si>
  <si>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</si>
  <si>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</si>
  <si>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</si>
  <si>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</si>
  <si>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</si>
  <si>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</si>
  <si>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</si>
  <si>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</si>
  <si>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</si>
  <si>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</si>
  <si>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</si>
  <si>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</si>
  <si>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</si>
  <si>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</si>
  <si>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</si>
  <si>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</si>
  <si>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</si>
  <si>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</si>
  <si>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</si>
  <si>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</si>
  <si>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</si>
  <si>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</si>
  <si>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</si>
  <si>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</si>
  <si>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</si>
  <si>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</si>
  <si>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</si>
  <si>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</si>
  <si>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</si>
  <si>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</si>
  <si>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</si>
  <si>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</si>
  <si>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</si>
  <si>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</si>
  <si>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</si>
  <si>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</si>
  <si>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</si>
  <si>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</si>
  <si>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</si>
  <si>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</si>
  <si>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</si>
  <si>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</si>
  <si>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</si>
  <si>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</si>
  <si>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</si>
  <si>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</si>
  <si>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</si>
  <si>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</si>
  <si>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</si>
  <si>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</si>
  <si>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</si>
  <si>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</si>
  <si>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</si>
  <si>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</si>
  <si>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</si>
  <si>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</si>
  <si>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</si>
  <si>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</si>
  <si>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</si>
  <si>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</si>
  <si>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</si>
  <si>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</si>
  <si>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</si>
  <si>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</si>
  <si>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</si>
  <si>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</si>
  <si>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</si>
  <si>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</si>
  <si>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</si>
  <si>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</si>
  <si>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</si>
  <si>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</si>
  <si>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</si>
  <si>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</si>
  <si>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</si>
  <si>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</si>
  <si>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</si>
  <si>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</si>
  <si>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</si>
  <si>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</si>
  <si>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</si>
  <si>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</si>
  <si>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</si>
  <si>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</si>
  <si>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</si>
  <si>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</si>
  <si>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</si>
  <si>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</si>
  <si>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</si>
  <si>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</si>
  <si>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</si>
  <si>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</si>
  <si>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</si>
  <si>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</si>
  <si>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</si>
  <si>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</si>
  <si>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</si>
  <si>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</si>
  <si>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</si>
  <si>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</si>
  <si>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</si>
  <si>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</si>
  <si>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</si>
  <si>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</si>
  <si>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</si>
  <si>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</si>
  <si>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</si>
  <si>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</si>
  <si>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</si>
  <si>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</si>
  <si>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</si>
  <si>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</si>
  <si>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</si>
  <si>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</si>
  <si>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</si>
  <si>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</si>
  <si>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</si>
  <si>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</si>
  <si>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</si>
  <si>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</si>
  <si>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</si>
  <si>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</si>
  <si>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</si>
  <si>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</si>
  <si>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</si>
  <si>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</si>
  <si>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</si>
  <si>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</si>
  <si>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</si>
  <si>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</si>
  <si>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</si>
  <si>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</si>
  <si>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</si>
  <si>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</si>
  <si>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</si>
  <si>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</si>
  <si>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</si>
  <si>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Execution Complete</t>
  </si>
  <si>
    <t>MemAddr</t>
  </si>
  <si>
    <t>MemBefore</t>
  </si>
  <si>
    <t>MemAfter</t>
  </si>
  <si>
    <t>MemNote</t>
  </si>
  <si>
    <t>0106</t>
  </si>
  <si>
    <t>010B</t>
  </si>
  <si>
    <t>SkipBreaks</t>
  </si>
  <si>
    <t>0200</t>
  </si>
  <si>
    <t>0109</t>
  </si>
  <si>
    <t>010C</t>
  </si>
  <si>
    <t>0108</t>
  </si>
  <si>
    <t>0105</t>
  </si>
  <si>
    <t>TraceRead</t>
  </si>
  <si>
    <t>READ (HL)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</si>
</sst>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" xfId="0" quotePrefix="1" applyBorder="1"/>
    <xf numFmtId="49" fontId="1" fillId="0" borderId="0" xfId="0" applyNumberFormat="1" applyFont="1"/>
    <xf numFmtId="49" fontId="0" fillId="0" borderId="0" xfId="0" applyNumberForma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07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14</xdr:row>
          <xdr:rowOff>190500</xdr:rowOff>
        </xdr:from>
        <xdr:to>
          <xdr:col>5</xdr:col>
          <xdr:colOff>152400</xdr:colOff>
          <xdr:row>16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K12" sqref="K1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75" t="s">
        <v>1138</v>
      </c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7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0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160</v>
      </c>
      <c r="AD4" s="112">
        <f t="shared" ref="AD4:AK4" si="0">AC4-AD5*AD6</f>
        <v>32</v>
      </c>
      <c r="AE4" s="104">
        <f t="shared" si="0"/>
        <v>32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711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8">
        <f t="shared" si="1"/>
        <v>0</v>
      </c>
      <c r="AL5" s="119">
        <f>SUM(AD5:AK5)</f>
        <v>2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454</v>
      </c>
      <c r="D6" s="34" t="str">
        <f>IF(AND(E6&gt;=32,E6&lt;=126),CHAR(E6),".")</f>
        <v>.</v>
      </c>
      <c r="E6" s="35">
        <f>HEX2DEC(C6)</f>
        <v>14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160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 t="s">
        <v>296</v>
      </c>
      <c r="Q8" s="76" t="s">
        <v>310</v>
      </c>
      <c r="R8" s="100" t="s">
        <v>1065</v>
      </c>
      <c r="S8" s="153">
        <f>IF(P8="",0,IF(OR(O8=";",P8="EQU",P8="ORG"),0,IF(P8="DS",HEX2DEC(Q8),IF(P8="DB",LEN(Q8)+1,VLOOKUP(TRIM(P8),'8080 Op to Hex'!$A:$F,6,0)))))</f>
        <v>3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9"/>
      <c r="P9" s="99" t="s">
        <v>148</v>
      </c>
      <c r="Q9" s="76" t="s">
        <v>153</v>
      </c>
      <c r="R9" s="100" t="s">
        <v>890</v>
      </c>
      <c r="S9" s="154">
        <f>IF(P9="",0,IF(OR(O9=";",P9="EQU",P9="ORG"),0,IF(P9="DS",HEX2DEC(Q9),IF(P9="DB",LEN(Q9)+1,VLOOKUP(TRIM(P9),'8080 Op to Hex'!$A:$F,6,0)))))</f>
        <v>2</v>
      </c>
      <c r="V9" s="48"/>
      <c r="W9" s="16"/>
      <c r="X9" s="34"/>
      <c r="Y9" s="35"/>
      <c r="AB9" s="7" t="s">
        <v>138</v>
      </c>
      <c r="AC9" s="125" t="str">
        <f>DEC2HEX(AC10)</f>
        <v>5F</v>
      </c>
      <c r="AD9" s="121">
        <f>1-AD5</f>
        <v>0</v>
      </c>
      <c r="AE9" s="121">
        <f t="shared" ref="AE9:AK9" si="14">1-AE5</f>
        <v>1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1</v>
      </c>
      <c r="AJ9" s="121">
        <f t="shared" si="14"/>
        <v>1</v>
      </c>
      <c r="AK9" s="122">
        <f t="shared" si="14"/>
        <v>1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0105</v>
      </c>
      <c r="N10" s="69">
        <f t="shared" ref="N10:N73" si="15">N9+S9</f>
        <v>261</v>
      </c>
      <c r="O10" s="99"/>
      <c r="P10" s="99" t="s">
        <v>188</v>
      </c>
      <c r="Q10" s="76" t="s">
        <v>587</v>
      </c>
      <c r="R10" s="100" t="s">
        <v>153</v>
      </c>
      <c r="S10" s="154">
        <f>IF(P10="",0,IF(OR(O10=";",P10="EQU",P10="ORG"),0,IF(P10="DS",HEX2DEC(Q10),IF(P10="DB",LEN(Q10)+1,VLOOKUP(TRIM(P10),'8080 Op to Hex'!$A:$F,6,0)))))</f>
        <v>1</v>
      </c>
      <c r="V10" s="48"/>
      <c r="W10" s="16"/>
      <c r="X10" s="34"/>
      <c r="Y10" s="35"/>
      <c r="AB10" s="8" t="s">
        <v>405</v>
      </c>
      <c r="AC10" s="126">
        <f>SUM(AD10:AK10)</f>
        <v>95</v>
      </c>
      <c r="AD10" s="123">
        <f t="shared" ref="AD10" si="16">AD9*AD6</f>
        <v>0</v>
      </c>
      <c r="AE10" s="123">
        <f t="shared" ref="AE10" si="17">AE9*AE6</f>
        <v>64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4</v>
      </c>
      <c r="AJ10" s="123">
        <f t="shared" ref="AJ10" si="22">AJ9*AJ6</f>
        <v>2</v>
      </c>
      <c r="AK10" s="124">
        <f t="shared" ref="AK10" si="23">AK9*AK6</f>
        <v>1</v>
      </c>
    </row>
    <row r="11" spans="1:43" ht="15.75" thickBot="1">
      <c r="A11" s="27">
        <v>5</v>
      </c>
      <c r="B11" s="24" t="s">
        <v>126</v>
      </c>
      <c r="C11" s="44" t="s">
        <v>302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0106</v>
      </c>
      <c r="N11" s="69">
        <f t="shared" si="15"/>
        <v>262</v>
      </c>
      <c r="O11" s="99"/>
      <c r="P11" s="99" t="s">
        <v>148</v>
      </c>
      <c r="Q11" s="76" t="s">
        <v>153</v>
      </c>
      <c r="R11" s="100" t="s">
        <v>222</v>
      </c>
      <c r="S11" s="154">
        <f>IF(P11="",0,IF(OR(O11=";",P11="EQU",P11="ORG"),0,IF(P11="DS",HEX2DEC(Q11),IF(P11="DB",LEN(Q11)+1,VLOOKUP(TRIM(P11),'8080 Op to Hex'!$A:$F,6,0)))))</f>
        <v>2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900</v>
      </c>
      <c r="D12" s="34" t="str">
        <f t="shared" si="3"/>
        <v xml:space="preserve"> </v>
      </c>
      <c r="E12" s="35">
        <f t="shared" si="4"/>
        <v>32</v>
      </c>
      <c r="K12" s="85"/>
      <c r="L12" s="54" t="str">
        <f t="shared" si="13"/>
        <v/>
      </c>
      <c r="M12" s="38" t="str">
        <f t="shared" si="12"/>
        <v>0108</v>
      </c>
      <c r="N12" s="69">
        <f t="shared" si="15"/>
        <v>264</v>
      </c>
      <c r="O12" s="99"/>
      <c r="P12" s="99" t="s">
        <v>188</v>
      </c>
      <c r="Q12" s="171" t="s">
        <v>153</v>
      </c>
      <c r="R12" s="100" t="s">
        <v>587</v>
      </c>
      <c r="S12" s="154">
        <f>IF(P12="",0,IF(OR(O12=";",P12="EQU",P12="ORG"),0,IF(P12="DS",HEX2DEC(Q12),IF(P12="DB",LEN(Q12)+1,VLOOKUP(TRIM(P12),'8080 Op to Hex'!$A:$F,6,0)))))</f>
        <v>1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1148</v>
      </c>
      <c r="D13" s="34" t="str">
        <f t="shared" si="3"/>
        <v>.</v>
      </c>
      <c r="E13" s="35">
        <f t="shared" si="4"/>
        <v>268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0109</v>
      </c>
      <c r="N13" s="69">
        <f t="shared" si="15"/>
        <v>265</v>
      </c>
      <c r="O13" s="99"/>
      <c r="P13" s="99" t="s">
        <v>148</v>
      </c>
      <c r="Q13" s="171" t="s">
        <v>153</v>
      </c>
      <c r="R13" s="100" t="s">
        <v>467</v>
      </c>
      <c r="S13" s="154">
        <f>IF(P13="",0,IF(OR(O13=";",P13="EQU",P13="ORG"),0,IF(P13="DS",HEX2DEC(Q13),IF(P13="DB",LEN(Q13)+1,VLOOKUP(TRIM(P13),'8080 Op to Hex'!$A:$F,6,0)))))</f>
        <v>2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1146</v>
      </c>
      <c r="D14" s="36" t="str">
        <f t="shared" si="3"/>
        <v>.</v>
      </c>
      <c r="E14" s="37">
        <f t="shared" si="4"/>
        <v>512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010B</v>
      </c>
      <c r="N14" s="69">
        <f t="shared" si="15"/>
        <v>267</v>
      </c>
      <c r="O14" s="99"/>
      <c r="P14" s="99" t="s">
        <v>399</v>
      </c>
      <c r="Q14" s="171" t="s">
        <v>587</v>
      </c>
      <c r="R14" s="100"/>
      <c r="S14" s="154">
        <f>IF(P14="",0,IF(OR(O14=";",P14="EQU",P14="ORG"),0,IF(P14="DS",HEX2DEC(Q14),IF(P14="DB",LEN(Q14)+1,VLOOKUP(TRIM(P14),'8080 Op to Hex'!$A:$F,6,0)))))</f>
        <v>1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9"/>
      <c r="P15" s="99"/>
      <c r="Q15" s="171" t="s">
        <v>287</v>
      </c>
      <c r="R15" s="100"/>
      <c r="S15" s="154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40" t="s">
        <v>578</v>
      </c>
      <c r="AD15" s="141" t="s">
        <v>222</v>
      </c>
      <c r="AE15" s="141" t="s">
        <v>910</v>
      </c>
      <c r="AF15" s="141" t="s">
        <v>911</v>
      </c>
      <c r="AG15" s="141" t="s">
        <v>401</v>
      </c>
      <c r="AH15" s="141" t="s">
        <v>469</v>
      </c>
      <c r="AI15" s="141" t="s">
        <v>912</v>
      </c>
      <c r="AJ15" s="142" t="s">
        <v>222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010C</v>
      </c>
      <c r="N16" s="69">
        <f t="shared" si="15"/>
        <v>268</v>
      </c>
      <c r="O16" s="99"/>
      <c r="P16" s="99" t="s">
        <v>191</v>
      </c>
      <c r="Q16" s="171"/>
      <c r="R16" s="100"/>
      <c r="S16" s="154">
        <f>IF(P16="",0,IF(OR(O16=";",P16="EQU",P16="ORG"),0,IF(P16="DS",HEX2DEC(Q16),IF(P16="DB",LEN(Q16)+1,VLOOKUP(TRIM(P16),'8080 Op to Hex'!$A:$F,6,0)))))</f>
        <v>1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3" t="s">
        <v>901</v>
      </c>
      <c r="AD16" s="144" t="s">
        <v>888</v>
      </c>
      <c r="AE16" s="144" t="s">
        <v>302</v>
      </c>
      <c r="AF16" s="144" t="s">
        <v>893</v>
      </c>
      <c r="AG16" s="144" t="s">
        <v>913</v>
      </c>
      <c r="AH16" s="144" t="s">
        <v>914</v>
      </c>
      <c r="AI16" s="144" t="s">
        <v>915</v>
      </c>
      <c r="AJ16" s="145" t="s">
        <v>916</v>
      </c>
    </row>
    <row r="17" spans="1:36" ht="15.75" thickBot="1"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6"/>
      <c r="R17" s="98"/>
      <c r="S17" s="154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3" t="s">
        <v>909</v>
      </c>
      <c r="AD17" s="144" t="s">
        <v>222</v>
      </c>
      <c r="AE17" s="144" t="s">
        <v>578</v>
      </c>
      <c r="AF17" s="144" t="s">
        <v>371</v>
      </c>
      <c r="AG17" s="144" t="s">
        <v>901</v>
      </c>
      <c r="AH17" s="144" t="s">
        <v>403</v>
      </c>
      <c r="AI17" s="144" t="s">
        <v>302</v>
      </c>
      <c r="AJ17" s="145" t="s">
        <v>893</v>
      </c>
    </row>
    <row r="18" spans="1:36" ht="15.75" thickBot="1">
      <c r="A18" s="65" t="s">
        <v>245</v>
      </c>
      <c r="B18" s="65" t="s">
        <v>3</v>
      </c>
      <c r="G18" s="107" t="s">
        <v>417</v>
      </c>
      <c r="H18" s="59">
        <v>0</v>
      </c>
      <c r="K18" s="85"/>
      <c r="L18" s="54" t="str">
        <f t="shared" si="13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6"/>
      <c r="R18" s="98"/>
      <c r="S18" s="154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>
        <v>118</v>
      </c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3" t="s">
        <v>578</v>
      </c>
      <c r="AD18" s="144" t="s">
        <v>888</v>
      </c>
      <c r="AE18" s="144" t="s">
        <v>918</v>
      </c>
      <c r="AF18" s="144" t="s">
        <v>492</v>
      </c>
      <c r="AG18" s="144" t="s">
        <v>919</v>
      </c>
      <c r="AH18" s="144" t="s">
        <v>920</v>
      </c>
      <c r="AI18" s="144" t="s">
        <v>921</v>
      </c>
      <c r="AJ18" s="145" t="s">
        <v>222</v>
      </c>
    </row>
    <row r="19" spans="1:36" ht="15.75" thickBot="1">
      <c r="A19" s="6" t="s">
        <v>246</v>
      </c>
      <c r="B19" s="6" t="s">
        <v>303</v>
      </c>
      <c r="G19" s="107" t="s">
        <v>1133</v>
      </c>
      <c r="H19" s="59">
        <v>1</v>
      </c>
      <c r="K19" s="85"/>
      <c r="L19" s="54" t="str">
        <f t="shared" si="13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6"/>
      <c r="R19" s="98"/>
      <c r="S19" s="154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>
        <v>120</v>
      </c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3" t="s">
        <v>901</v>
      </c>
      <c r="AD19" s="144" t="s">
        <v>533</v>
      </c>
      <c r="AE19" s="144" t="s">
        <v>302</v>
      </c>
      <c r="AF19" s="144" t="s">
        <v>893</v>
      </c>
      <c r="AG19" s="144" t="s">
        <v>915</v>
      </c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1134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6"/>
      <c r="R20" s="98"/>
      <c r="S20" s="154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 ht="15.75" thickBot="1">
      <c r="A21" s="6" t="s">
        <v>250</v>
      </c>
      <c r="B21" s="6" t="s">
        <v>305</v>
      </c>
      <c r="G21" s="107" t="s">
        <v>1145</v>
      </c>
      <c r="H21" s="59">
        <v>0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6"/>
      <c r="R21" s="98"/>
      <c r="S21" s="154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 ht="15.75" thickBot="1">
      <c r="A22" s="6" t="s">
        <v>251</v>
      </c>
      <c r="B22" s="6" t="s">
        <v>306</v>
      </c>
      <c r="G22" s="107" t="s">
        <v>1151</v>
      </c>
      <c r="H22" s="59">
        <v>1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6"/>
      <c r="R23" s="98"/>
      <c r="S23" s="154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6"/>
      <c r="R24" s="98"/>
      <c r="S24" s="154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6"/>
      <c r="R25" s="98"/>
      <c r="S25" s="154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6"/>
      <c r="R26" s="98"/>
      <c r="S26" s="154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010D</v>
      </c>
      <c r="N28" s="69">
        <f t="shared" si="15"/>
        <v>269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010D</v>
      </c>
      <c r="N29" s="69">
        <f t="shared" si="15"/>
        <v>269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010D</v>
      </c>
      <c r="N30" s="69">
        <f t="shared" si="15"/>
        <v>269</v>
      </c>
      <c r="O30" s="95"/>
      <c r="P30" s="96"/>
      <c r="Q30" s="156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010D</v>
      </c>
      <c r="N31" s="69">
        <f t="shared" si="15"/>
        <v>269</v>
      </c>
      <c r="O31" s="95"/>
      <c r="P31" s="96"/>
      <c r="Q31" s="156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010D</v>
      </c>
      <c r="N32" s="69">
        <f t="shared" si="15"/>
        <v>269</v>
      </c>
      <c r="O32" s="95"/>
      <c r="P32" s="96"/>
      <c r="Q32" s="156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010D</v>
      </c>
      <c r="N33" s="69">
        <f t="shared" si="15"/>
        <v>269</v>
      </c>
      <c r="O33" s="95"/>
      <c r="P33" s="96"/>
      <c r="Q33" s="156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4:36">
      <c r="K34" s="85"/>
      <c r="L34" s="54" t="str">
        <f t="shared" si="13"/>
        <v/>
      </c>
      <c r="M34" s="38" t="str">
        <f t="shared" si="25"/>
        <v>010D</v>
      </c>
      <c r="N34" s="69">
        <f t="shared" si="15"/>
        <v>269</v>
      </c>
      <c r="O34" s="95"/>
      <c r="P34" s="96"/>
      <c r="Q34" s="156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4:36">
      <c r="K35" s="85"/>
      <c r="L35" s="54" t="str">
        <f t="shared" si="13"/>
        <v/>
      </c>
      <c r="M35" s="38" t="str">
        <f t="shared" si="25"/>
        <v>010D</v>
      </c>
      <c r="N35" s="69">
        <f t="shared" si="15"/>
        <v>269</v>
      </c>
      <c r="O35" s="95"/>
      <c r="P35" s="96"/>
      <c r="Q35" s="156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010D</v>
      </c>
      <c r="N36" s="69">
        <f t="shared" si="15"/>
        <v>269</v>
      </c>
      <c r="O36" s="95"/>
      <c r="P36" s="96"/>
      <c r="Q36" s="156"/>
      <c r="R36" s="98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010D</v>
      </c>
      <c r="N37" s="69">
        <f t="shared" si="15"/>
        <v>269</v>
      </c>
      <c r="O37" s="95"/>
      <c r="P37" s="96"/>
      <c r="Q37" s="156"/>
      <c r="R37" s="98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010D</v>
      </c>
      <c r="N38" s="69">
        <f t="shared" si="15"/>
        <v>269</v>
      </c>
      <c r="O38" s="95"/>
      <c r="P38" s="96"/>
      <c r="Q38" s="156"/>
      <c r="R38" s="98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010D</v>
      </c>
      <c r="N39" s="69">
        <f t="shared" si="15"/>
        <v>269</v>
      </c>
      <c r="O39" s="95"/>
      <c r="P39" s="96"/>
      <c r="Q39" s="156"/>
      <c r="R39" s="98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010D</v>
      </c>
      <c r="N40" s="69">
        <f t="shared" si="15"/>
        <v>269</v>
      </c>
      <c r="O40" s="95"/>
      <c r="P40" s="96"/>
      <c r="Q40" s="156"/>
      <c r="R40" s="98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4:36">
      <c r="K41" s="85"/>
      <c r="L41" s="54" t="str">
        <f t="shared" si="13"/>
        <v/>
      </c>
      <c r="M41" s="38" t="str">
        <f t="shared" si="25"/>
        <v>010D</v>
      </c>
      <c r="N41" s="69">
        <f t="shared" si="15"/>
        <v>269</v>
      </c>
      <c r="O41" s="95"/>
      <c r="P41" s="96"/>
      <c r="Q41" s="156"/>
      <c r="R41" s="98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4:36">
      <c r="K42" s="85"/>
      <c r="L42" s="54" t="str">
        <f t="shared" si="13"/>
        <v/>
      </c>
      <c r="M42" s="38" t="str">
        <f t="shared" si="25"/>
        <v>010D</v>
      </c>
      <c r="N42" s="69">
        <f t="shared" si="15"/>
        <v>269</v>
      </c>
      <c r="O42" s="95"/>
      <c r="P42" s="96"/>
      <c r="Q42" s="156"/>
      <c r="R42" s="98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4:36">
      <c r="K43" s="85"/>
      <c r="L43" s="54" t="str">
        <f t="shared" si="13"/>
        <v/>
      </c>
      <c r="M43" s="38" t="str">
        <f t="shared" si="25"/>
        <v>010D</v>
      </c>
      <c r="N43" s="69">
        <f t="shared" si="15"/>
        <v>269</v>
      </c>
      <c r="O43" s="95"/>
      <c r="P43" s="96"/>
      <c r="Q43" s="156"/>
      <c r="R43" s="98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4:36">
      <c r="K44" s="85"/>
      <c r="L44" s="54" t="str">
        <f t="shared" si="13"/>
        <v/>
      </c>
      <c r="M44" s="38" t="str">
        <f t="shared" si="25"/>
        <v>010D</v>
      </c>
      <c r="N44" s="69">
        <f t="shared" si="15"/>
        <v>269</v>
      </c>
      <c r="O44" s="95"/>
      <c r="P44" s="96"/>
      <c r="Q44" s="156"/>
      <c r="R44" s="98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4:36">
      <c r="K45" s="85"/>
      <c r="L45" s="54" t="str">
        <f t="shared" si="13"/>
        <v/>
      </c>
      <c r="M45" s="38" t="str">
        <f t="shared" si="25"/>
        <v>010D</v>
      </c>
      <c r="N45" s="69">
        <f t="shared" si="15"/>
        <v>269</v>
      </c>
      <c r="O45" s="95"/>
      <c r="P45" s="96"/>
      <c r="Q45" s="156"/>
      <c r="R45" s="98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4:36">
      <c r="K46" s="85"/>
      <c r="L46" s="54" t="str">
        <f t="shared" si="13"/>
        <v/>
      </c>
      <c r="M46" s="38" t="str">
        <f t="shared" si="25"/>
        <v>010D</v>
      </c>
      <c r="N46" s="69">
        <f t="shared" si="15"/>
        <v>269</v>
      </c>
      <c r="O46" s="95"/>
      <c r="P46" s="96"/>
      <c r="Q46" s="156"/>
      <c r="R46" s="98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4:36">
      <c r="K47" s="85"/>
      <c r="L47" s="54" t="str">
        <f t="shared" si="13"/>
        <v/>
      </c>
      <c r="M47" s="38" t="str">
        <f t="shared" si="25"/>
        <v>010D</v>
      </c>
      <c r="N47" s="69">
        <f t="shared" si="15"/>
        <v>269</v>
      </c>
      <c r="O47" s="95"/>
      <c r="P47" s="96"/>
      <c r="Q47" s="156"/>
      <c r="R47" s="98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4:36">
      <c r="K48" s="85"/>
      <c r="L48" s="54" t="str">
        <f t="shared" si="13"/>
        <v/>
      </c>
      <c r="M48" s="38" t="str">
        <f t="shared" si="25"/>
        <v>010D</v>
      </c>
      <c r="N48" s="69">
        <f t="shared" si="15"/>
        <v>269</v>
      </c>
      <c r="O48" s="95"/>
      <c r="P48" s="96"/>
      <c r="Q48" s="156"/>
      <c r="R48" s="98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010D</v>
      </c>
      <c r="N49" s="69">
        <f t="shared" si="15"/>
        <v>269</v>
      </c>
      <c r="O49" s="95"/>
      <c r="P49" s="96"/>
      <c r="Q49" s="156"/>
      <c r="R49" s="98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010D</v>
      </c>
      <c r="N50" s="69">
        <f t="shared" si="15"/>
        <v>269</v>
      </c>
      <c r="O50" s="95"/>
      <c r="P50" s="96"/>
      <c r="Q50" s="156"/>
      <c r="R50" s="98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010D</v>
      </c>
      <c r="N51" s="69">
        <f t="shared" si="15"/>
        <v>269</v>
      </c>
      <c r="O51" s="95"/>
      <c r="P51" s="96"/>
      <c r="Q51" s="156"/>
      <c r="R51" s="98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010D</v>
      </c>
      <c r="N52" s="69">
        <f t="shared" si="15"/>
        <v>269</v>
      </c>
      <c r="O52" s="95"/>
      <c r="P52" s="96"/>
      <c r="Q52" s="156"/>
      <c r="R52" s="98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010D</v>
      </c>
      <c r="N53" s="69">
        <f t="shared" si="15"/>
        <v>269</v>
      </c>
      <c r="O53" s="95"/>
      <c r="P53" s="96"/>
      <c r="Q53" s="156"/>
      <c r="R53" s="98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010D</v>
      </c>
      <c r="N54" s="69">
        <f t="shared" si="15"/>
        <v>269</v>
      </c>
      <c r="O54" s="95"/>
      <c r="P54" s="96"/>
      <c r="Q54" s="156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010D</v>
      </c>
      <c r="N55" s="69">
        <f t="shared" si="15"/>
        <v>269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010D</v>
      </c>
      <c r="N56" s="69">
        <f t="shared" si="15"/>
        <v>269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010D</v>
      </c>
      <c r="N57" s="69">
        <f t="shared" si="15"/>
        <v>269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010D</v>
      </c>
      <c r="N58" s="69">
        <f t="shared" si="15"/>
        <v>269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010D</v>
      </c>
      <c r="N59" s="69">
        <f t="shared" si="15"/>
        <v>269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010D</v>
      </c>
      <c r="N60" s="69">
        <f t="shared" si="15"/>
        <v>269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010D</v>
      </c>
      <c r="N61" s="69">
        <f t="shared" si="15"/>
        <v>269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010D</v>
      </c>
      <c r="N62" s="69">
        <f t="shared" si="15"/>
        <v>269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010D</v>
      </c>
      <c r="N63" s="69">
        <f t="shared" si="15"/>
        <v>269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010D</v>
      </c>
      <c r="N64" s="69">
        <f t="shared" si="15"/>
        <v>269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010D</v>
      </c>
      <c r="N65" s="69">
        <f t="shared" si="15"/>
        <v>269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010D</v>
      </c>
      <c r="N66" s="69">
        <f t="shared" si="15"/>
        <v>269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010D</v>
      </c>
      <c r="N67" s="69">
        <f t="shared" si="15"/>
        <v>269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010D</v>
      </c>
      <c r="N68" s="69">
        <f t="shared" si="15"/>
        <v>269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010D</v>
      </c>
      <c r="N69" s="69">
        <f t="shared" si="15"/>
        <v>269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010D</v>
      </c>
      <c r="N70" s="69">
        <f t="shared" si="15"/>
        <v>269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010D</v>
      </c>
      <c r="N71" s="69">
        <f t="shared" si="15"/>
        <v>269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010D</v>
      </c>
      <c r="N72" s="69">
        <f t="shared" si="15"/>
        <v>269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010D</v>
      </c>
      <c r="N73" s="69">
        <f t="shared" si="15"/>
        <v>269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010D</v>
      </c>
      <c r="N74" s="69">
        <f t="shared" ref="N74:N137" si="29">N73+S73</f>
        <v>269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010D</v>
      </c>
      <c r="N75" s="69">
        <f t="shared" si="29"/>
        <v>269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010D</v>
      </c>
      <c r="N76" s="69">
        <f t="shared" si="29"/>
        <v>269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010D</v>
      </c>
      <c r="N77" s="69">
        <f t="shared" si="29"/>
        <v>269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010D</v>
      </c>
      <c r="N78" s="69">
        <f t="shared" si="29"/>
        <v>269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010D</v>
      </c>
      <c r="N79" s="69">
        <f t="shared" si="29"/>
        <v>269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010D</v>
      </c>
      <c r="N80" s="69">
        <f t="shared" si="29"/>
        <v>269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010D</v>
      </c>
      <c r="N81" s="69">
        <f t="shared" si="29"/>
        <v>269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010D</v>
      </c>
      <c r="N82" s="69">
        <f t="shared" si="29"/>
        <v>269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010D</v>
      </c>
      <c r="N83" s="69">
        <f t="shared" si="29"/>
        <v>269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010D</v>
      </c>
      <c r="N84" s="69">
        <f t="shared" si="29"/>
        <v>269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010D</v>
      </c>
      <c r="N85" s="69">
        <f t="shared" si="29"/>
        <v>269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010D</v>
      </c>
      <c r="N86" s="69">
        <f t="shared" si="29"/>
        <v>269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010D</v>
      </c>
      <c r="N87" s="69">
        <f t="shared" si="29"/>
        <v>269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010D</v>
      </c>
      <c r="N88" s="69">
        <f t="shared" si="29"/>
        <v>269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010D</v>
      </c>
      <c r="N89" s="69">
        <f t="shared" si="29"/>
        <v>269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010D</v>
      </c>
      <c r="N90" s="69">
        <f t="shared" si="29"/>
        <v>269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010D</v>
      </c>
      <c r="N91" s="69">
        <f t="shared" si="29"/>
        <v>269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010D</v>
      </c>
      <c r="N92" s="69">
        <f t="shared" si="29"/>
        <v>269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010D</v>
      </c>
      <c r="N93" s="69">
        <f t="shared" si="29"/>
        <v>269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010D</v>
      </c>
      <c r="N94" s="69">
        <f t="shared" si="29"/>
        <v>269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010D</v>
      </c>
      <c r="N95" s="69">
        <f t="shared" si="29"/>
        <v>269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010D</v>
      </c>
      <c r="N96" s="69">
        <f t="shared" si="29"/>
        <v>269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010D</v>
      </c>
      <c r="N97" s="69">
        <f t="shared" si="29"/>
        <v>269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010D</v>
      </c>
      <c r="N98" s="69">
        <f t="shared" si="29"/>
        <v>269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010D</v>
      </c>
      <c r="N99" s="69">
        <f t="shared" si="29"/>
        <v>269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010D</v>
      </c>
      <c r="N100" s="69">
        <f t="shared" si="29"/>
        <v>269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010D</v>
      </c>
      <c r="N101" s="69">
        <f t="shared" si="29"/>
        <v>269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010D</v>
      </c>
      <c r="N102" s="69">
        <f t="shared" si="29"/>
        <v>269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010D</v>
      </c>
      <c r="N103" s="69">
        <f t="shared" si="29"/>
        <v>269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010D</v>
      </c>
      <c r="N104" s="69">
        <f t="shared" si="29"/>
        <v>269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010D</v>
      </c>
      <c r="N105" s="69">
        <f t="shared" si="29"/>
        <v>269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010D</v>
      </c>
      <c r="N106" s="69">
        <f t="shared" si="29"/>
        <v>269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010D</v>
      </c>
      <c r="N107" s="69">
        <f t="shared" si="29"/>
        <v>269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010D</v>
      </c>
      <c r="N108" s="69">
        <f t="shared" si="29"/>
        <v>269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010D</v>
      </c>
      <c r="N109" s="69">
        <f t="shared" si="29"/>
        <v>269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010D</v>
      </c>
      <c r="N110" s="69">
        <f t="shared" si="29"/>
        <v>269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010D</v>
      </c>
      <c r="N111" s="69">
        <f t="shared" si="29"/>
        <v>269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010D</v>
      </c>
      <c r="N112" s="69">
        <f t="shared" si="29"/>
        <v>269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010D</v>
      </c>
      <c r="N113" s="69">
        <f t="shared" si="29"/>
        <v>269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010D</v>
      </c>
      <c r="N114" s="69">
        <f t="shared" si="29"/>
        <v>269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010D</v>
      </c>
      <c r="N115" s="69">
        <f t="shared" si="29"/>
        <v>269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010D</v>
      </c>
      <c r="N116" s="69">
        <f t="shared" si="29"/>
        <v>269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010D</v>
      </c>
      <c r="N117" s="69">
        <f t="shared" si="29"/>
        <v>269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010D</v>
      </c>
      <c r="N118" s="69">
        <f t="shared" si="29"/>
        <v>269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010D</v>
      </c>
      <c r="N119" s="69">
        <f t="shared" si="29"/>
        <v>269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010D</v>
      </c>
      <c r="N120" s="69">
        <f t="shared" si="29"/>
        <v>269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010D</v>
      </c>
      <c r="N121" s="69">
        <f t="shared" si="29"/>
        <v>269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010D</v>
      </c>
      <c r="N122" s="69">
        <f t="shared" si="29"/>
        <v>269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010D</v>
      </c>
      <c r="N123" s="69">
        <f t="shared" si="29"/>
        <v>269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010D</v>
      </c>
      <c r="N124" s="69">
        <f t="shared" si="29"/>
        <v>269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010D</v>
      </c>
      <c r="N125" s="69">
        <f t="shared" si="29"/>
        <v>269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010D</v>
      </c>
      <c r="N126" s="69">
        <f t="shared" si="29"/>
        <v>269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010D</v>
      </c>
      <c r="N127" s="69">
        <f t="shared" si="29"/>
        <v>269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010D</v>
      </c>
      <c r="N128" s="69">
        <f t="shared" si="29"/>
        <v>269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010D</v>
      </c>
      <c r="N129" s="69">
        <f t="shared" si="29"/>
        <v>269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010D</v>
      </c>
      <c r="N130" s="69">
        <f t="shared" si="29"/>
        <v>269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010D</v>
      </c>
      <c r="N131" s="69">
        <f t="shared" si="29"/>
        <v>269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010D</v>
      </c>
      <c r="N132" s="69">
        <f t="shared" si="29"/>
        <v>269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010D</v>
      </c>
      <c r="N133" s="69">
        <f t="shared" si="29"/>
        <v>269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010D</v>
      </c>
      <c r="N134" s="69">
        <f t="shared" si="29"/>
        <v>269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010D</v>
      </c>
      <c r="N135" s="69">
        <f t="shared" si="29"/>
        <v>269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010D</v>
      </c>
      <c r="N136" s="69">
        <f t="shared" si="29"/>
        <v>269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010D</v>
      </c>
      <c r="N137" s="69">
        <f t="shared" si="29"/>
        <v>269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010D</v>
      </c>
      <c r="N138" s="69">
        <f t="shared" ref="N138:N201" si="33">N137+S137</f>
        <v>269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010D</v>
      </c>
      <c r="N139" s="69">
        <f t="shared" si="33"/>
        <v>269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010D</v>
      </c>
      <c r="N140" s="69">
        <f t="shared" si="33"/>
        <v>269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010D</v>
      </c>
      <c r="N141" s="69">
        <f t="shared" si="33"/>
        <v>269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010D</v>
      </c>
      <c r="N142" s="69">
        <f t="shared" si="33"/>
        <v>269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010D</v>
      </c>
      <c r="N143" s="69">
        <f t="shared" si="33"/>
        <v>269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010D</v>
      </c>
      <c r="N144" s="69">
        <f t="shared" si="33"/>
        <v>269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010D</v>
      </c>
      <c r="N145" s="69">
        <f t="shared" si="33"/>
        <v>269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010D</v>
      </c>
      <c r="N146" s="69">
        <f t="shared" si="33"/>
        <v>269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010D</v>
      </c>
      <c r="N147" s="69">
        <f t="shared" si="33"/>
        <v>269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010D</v>
      </c>
      <c r="N148" s="69">
        <f t="shared" si="33"/>
        <v>269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010D</v>
      </c>
      <c r="N149" s="69">
        <f t="shared" si="33"/>
        <v>269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010D</v>
      </c>
      <c r="N150" s="69">
        <f t="shared" si="33"/>
        <v>269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010D</v>
      </c>
      <c r="N151" s="69">
        <f t="shared" si="33"/>
        <v>269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010D</v>
      </c>
      <c r="N152" s="69">
        <f t="shared" si="33"/>
        <v>269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010D</v>
      </c>
      <c r="N153" s="69">
        <f t="shared" si="33"/>
        <v>269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010D</v>
      </c>
      <c r="N154" s="69">
        <f t="shared" si="33"/>
        <v>269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010D</v>
      </c>
      <c r="N155" s="69">
        <f t="shared" si="33"/>
        <v>269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010D</v>
      </c>
      <c r="N156" s="69">
        <f t="shared" si="33"/>
        <v>269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010D</v>
      </c>
      <c r="N157" s="69">
        <f t="shared" si="33"/>
        <v>269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010D</v>
      </c>
      <c r="N158" s="69">
        <f t="shared" si="33"/>
        <v>269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010D</v>
      </c>
      <c r="N159" s="69">
        <f t="shared" si="33"/>
        <v>269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010D</v>
      </c>
      <c r="N160" s="69">
        <f t="shared" si="33"/>
        <v>269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010D</v>
      </c>
      <c r="N161" s="69">
        <f t="shared" si="33"/>
        <v>269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010D</v>
      </c>
      <c r="N162" s="69">
        <f t="shared" si="33"/>
        <v>269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010D</v>
      </c>
      <c r="N163" s="69">
        <f t="shared" si="33"/>
        <v>269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010D</v>
      </c>
      <c r="N164" s="69">
        <f t="shared" si="33"/>
        <v>269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010D</v>
      </c>
      <c r="N165" s="69">
        <f t="shared" si="33"/>
        <v>269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010D</v>
      </c>
      <c r="N166" s="69">
        <f t="shared" si="33"/>
        <v>269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010D</v>
      </c>
      <c r="N167" s="69">
        <f t="shared" si="33"/>
        <v>269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010D</v>
      </c>
      <c r="N168" s="69">
        <f t="shared" si="33"/>
        <v>269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010D</v>
      </c>
      <c r="N169" s="69">
        <f t="shared" si="33"/>
        <v>269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010D</v>
      </c>
      <c r="N170" s="69">
        <f t="shared" si="33"/>
        <v>269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010D</v>
      </c>
      <c r="N171" s="69">
        <f t="shared" si="33"/>
        <v>269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010D</v>
      </c>
      <c r="N172" s="69">
        <f t="shared" si="33"/>
        <v>269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010D</v>
      </c>
      <c r="N173" s="69">
        <f t="shared" si="33"/>
        <v>269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010D</v>
      </c>
      <c r="N174" s="69">
        <f t="shared" si="33"/>
        <v>269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010D</v>
      </c>
      <c r="N175" s="69">
        <f t="shared" si="33"/>
        <v>269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010D</v>
      </c>
      <c r="N176" s="69">
        <f t="shared" si="33"/>
        <v>269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010D</v>
      </c>
      <c r="N177" s="69">
        <f t="shared" si="33"/>
        <v>269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010D</v>
      </c>
      <c r="N178" s="69">
        <f t="shared" si="33"/>
        <v>269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010D</v>
      </c>
      <c r="N179" s="69">
        <f t="shared" si="33"/>
        <v>269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010D</v>
      </c>
      <c r="N180" s="69">
        <f t="shared" si="33"/>
        <v>269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010D</v>
      </c>
      <c r="N181" s="69">
        <f t="shared" si="33"/>
        <v>269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010D</v>
      </c>
      <c r="N182" s="69">
        <f t="shared" si="33"/>
        <v>269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010D</v>
      </c>
      <c r="N183" s="69">
        <f t="shared" si="33"/>
        <v>269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010D</v>
      </c>
      <c r="N184" s="69">
        <f t="shared" si="33"/>
        <v>269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010D</v>
      </c>
      <c r="N185" s="69">
        <f t="shared" si="33"/>
        <v>269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010D</v>
      </c>
      <c r="N186" s="69">
        <f t="shared" si="33"/>
        <v>269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010D</v>
      </c>
      <c r="N187" s="69">
        <f t="shared" si="33"/>
        <v>269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010D</v>
      </c>
      <c r="N188" s="69">
        <f t="shared" si="33"/>
        <v>269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010D</v>
      </c>
      <c r="N189" s="69">
        <f t="shared" si="33"/>
        <v>269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010D</v>
      </c>
      <c r="N190" s="69">
        <f t="shared" si="33"/>
        <v>269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010D</v>
      </c>
      <c r="N191" s="69">
        <f t="shared" si="33"/>
        <v>269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010D</v>
      </c>
      <c r="N192" s="69">
        <f t="shared" si="33"/>
        <v>269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010D</v>
      </c>
      <c r="N193" s="69">
        <f t="shared" si="33"/>
        <v>269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010D</v>
      </c>
      <c r="N194" s="69">
        <f t="shared" si="33"/>
        <v>269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010D</v>
      </c>
      <c r="N195" s="69">
        <f t="shared" si="33"/>
        <v>269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010D</v>
      </c>
      <c r="N196" s="69">
        <f t="shared" si="33"/>
        <v>269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010D</v>
      </c>
      <c r="N197" s="69">
        <f t="shared" si="33"/>
        <v>269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010D</v>
      </c>
      <c r="N198" s="69">
        <f t="shared" si="33"/>
        <v>269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010D</v>
      </c>
      <c r="N199" s="69">
        <f t="shared" si="33"/>
        <v>269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010D</v>
      </c>
      <c r="N200" s="69">
        <f t="shared" si="33"/>
        <v>269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010D</v>
      </c>
      <c r="N201" s="69">
        <f t="shared" si="33"/>
        <v>269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010D</v>
      </c>
      <c r="N202" s="69">
        <f t="shared" ref="N202:N265" si="37">N201+S201</f>
        <v>269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010D</v>
      </c>
      <c r="N203" s="69">
        <f t="shared" si="37"/>
        <v>269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010D</v>
      </c>
      <c r="N204" s="69">
        <f t="shared" si="37"/>
        <v>269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010D</v>
      </c>
      <c r="N205" s="69">
        <f t="shared" si="37"/>
        <v>269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010D</v>
      </c>
      <c r="N206" s="69">
        <f t="shared" si="37"/>
        <v>269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010D</v>
      </c>
      <c r="N207" s="69">
        <f t="shared" si="37"/>
        <v>269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010D</v>
      </c>
      <c r="N208" s="69">
        <f t="shared" si="37"/>
        <v>269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010D</v>
      </c>
      <c r="N209" s="69">
        <f t="shared" si="37"/>
        <v>269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010D</v>
      </c>
      <c r="N210" s="69">
        <f t="shared" si="37"/>
        <v>269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010D</v>
      </c>
      <c r="N211" s="69">
        <f t="shared" si="37"/>
        <v>269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010D</v>
      </c>
      <c r="N212" s="69">
        <f t="shared" si="37"/>
        <v>269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010D</v>
      </c>
      <c r="N213" s="69">
        <f t="shared" si="37"/>
        <v>269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010D</v>
      </c>
      <c r="N214" s="69">
        <f t="shared" si="37"/>
        <v>269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010D</v>
      </c>
      <c r="N215" s="69">
        <f t="shared" si="37"/>
        <v>269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010D</v>
      </c>
      <c r="N216" s="69">
        <f t="shared" si="37"/>
        <v>269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010D</v>
      </c>
      <c r="N217" s="69">
        <f t="shared" si="37"/>
        <v>269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010D</v>
      </c>
      <c r="N218" s="69">
        <f t="shared" si="37"/>
        <v>269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010D</v>
      </c>
      <c r="N219" s="69">
        <f t="shared" si="37"/>
        <v>269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010D</v>
      </c>
      <c r="N220" s="69">
        <f t="shared" si="37"/>
        <v>269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010D</v>
      </c>
      <c r="N221" s="69">
        <f t="shared" si="37"/>
        <v>269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010D</v>
      </c>
      <c r="N222" s="69">
        <f t="shared" si="37"/>
        <v>269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010D</v>
      </c>
      <c r="N223" s="69">
        <f t="shared" si="37"/>
        <v>269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010D</v>
      </c>
      <c r="N224" s="69">
        <f t="shared" si="37"/>
        <v>269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010D</v>
      </c>
      <c r="N225" s="69">
        <f t="shared" si="37"/>
        <v>269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010D</v>
      </c>
      <c r="N226" s="69">
        <f t="shared" si="37"/>
        <v>269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010D</v>
      </c>
      <c r="N227" s="69">
        <f t="shared" si="37"/>
        <v>269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010D</v>
      </c>
      <c r="N228" s="69">
        <f t="shared" si="37"/>
        <v>269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010D</v>
      </c>
      <c r="N229" s="69">
        <f t="shared" si="37"/>
        <v>269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010D</v>
      </c>
      <c r="N230" s="69">
        <f t="shared" si="37"/>
        <v>269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010D</v>
      </c>
      <c r="N231" s="69">
        <f t="shared" si="37"/>
        <v>269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010D</v>
      </c>
      <c r="N232" s="69">
        <f t="shared" si="37"/>
        <v>269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010D</v>
      </c>
      <c r="N233" s="69">
        <f t="shared" si="37"/>
        <v>269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010D</v>
      </c>
      <c r="N234" s="69">
        <f t="shared" si="37"/>
        <v>269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010D</v>
      </c>
      <c r="N235" s="69">
        <f t="shared" si="37"/>
        <v>269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010D</v>
      </c>
      <c r="N236" s="69">
        <f t="shared" si="37"/>
        <v>269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010D</v>
      </c>
      <c r="N237" s="69">
        <f t="shared" si="37"/>
        <v>269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010D</v>
      </c>
      <c r="N238" s="69">
        <f t="shared" si="37"/>
        <v>269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010D</v>
      </c>
      <c r="N239" s="69">
        <f t="shared" si="37"/>
        <v>269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010D</v>
      </c>
      <c r="N240" s="69">
        <f t="shared" si="37"/>
        <v>269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010D</v>
      </c>
      <c r="N241" s="69">
        <f t="shared" si="37"/>
        <v>269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010D</v>
      </c>
      <c r="N242" s="69">
        <f t="shared" si="37"/>
        <v>269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010D</v>
      </c>
      <c r="N243" s="69">
        <f t="shared" si="37"/>
        <v>269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010D</v>
      </c>
      <c r="N244" s="69">
        <f t="shared" si="37"/>
        <v>269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010D</v>
      </c>
      <c r="N245" s="69">
        <f t="shared" si="37"/>
        <v>269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010D</v>
      </c>
      <c r="N246" s="69">
        <f t="shared" si="37"/>
        <v>269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010D</v>
      </c>
      <c r="N247" s="69">
        <f t="shared" si="37"/>
        <v>269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010D</v>
      </c>
      <c r="N248" s="69">
        <f t="shared" si="37"/>
        <v>269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010D</v>
      </c>
      <c r="N249" s="69">
        <f t="shared" si="37"/>
        <v>269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010D</v>
      </c>
      <c r="N250" s="69">
        <f t="shared" si="37"/>
        <v>269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010D</v>
      </c>
      <c r="N251" s="69">
        <f t="shared" si="37"/>
        <v>269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010D</v>
      </c>
      <c r="N252" s="69">
        <f t="shared" si="37"/>
        <v>269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010D</v>
      </c>
      <c r="N253" s="69">
        <f t="shared" si="37"/>
        <v>269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010D</v>
      </c>
      <c r="N254" s="69">
        <f t="shared" si="37"/>
        <v>269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010D</v>
      </c>
      <c r="N255" s="69">
        <f t="shared" si="37"/>
        <v>269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010D</v>
      </c>
      <c r="N256" s="69">
        <f t="shared" si="37"/>
        <v>269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010D</v>
      </c>
      <c r="N257" s="69">
        <f t="shared" si="37"/>
        <v>269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010D</v>
      </c>
      <c r="N258" s="69">
        <f t="shared" si="37"/>
        <v>269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010D</v>
      </c>
      <c r="N259" s="69">
        <f t="shared" si="37"/>
        <v>269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010D</v>
      </c>
      <c r="N260" s="69">
        <f t="shared" si="37"/>
        <v>269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010D</v>
      </c>
      <c r="N261" s="69">
        <f t="shared" si="37"/>
        <v>269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010D</v>
      </c>
      <c r="N262" s="69">
        <f t="shared" si="37"/>
        <v>269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010D</v>
      </c>
      <c r="N263" s="69">
        <f t="shared" si="37"/>
        <v>269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010D</v>
      </c>
      <c r="N264" s="69">
        <f t="shared" si="37"/>
        <v>269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010D</v>
      </c>
      <c r="N265" s="69">
        <f t="shared" si="37"/>
        <v>269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010D</v>
      </c>
      <c r="N266" s="69">
        <f t="shared" ref="N266:N329" si="41">N265+S265</f>
        <v>269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010D</v>
      </c>
      <c r="N267" s="69">
        <f t="shared" si="41"/>
        <v>269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010D</v>
      </c>
      <c r="N268" s="69">
        <f t="shared" si="41"/>
        <v>269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010D</v>
      </c>
      <c r="N269" s="69">
        <f t="shared" si="41"/>
        <v>269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010D</v>
      </c>
      <c r="N270" s="69">
        <f t="shared" si="41"/>
        <v>269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010D</v>
      </c>
      <c r="N271" s="69">
        <f t="shared" si="41"/>
        <v>269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010D</v>
      </c>
      <c r="N272" s="69">
        <f t="shared" si="41"/>
        <v>269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010D</v>
      </c>
      <c r="N273" s="69">
        <f t="shared" si="41"/>
        <v>269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010D</v>
      </c>
      <c r="N274" s="69">
        <f t="shared" si="41"/>
        <v>269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010D</v>
      </c>
      <c r="N275" s="69">
        <f t="shared" si="41"/>
        <v>269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010D</v>
      </c>
      <c r="N276" s="69">
        <f t="shared" si="41"/>
        <v>269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010D</v>
      </c>
      <c r="N277" s="69">
        <f t="shared" si="41"/>
        <v>269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010D</v>
      </c>
      <c r="N278" s="69">
        <f t="shared" si="41"/>
        <v>269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010D</v>
      </c>
      <c r="N279" s="69">
        <f t="shared" si="41"/>
        <v>269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010D</v>
      </c>
      <c r="N280" s="69">
        <f t="shared" si="41"/>
        <v>269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010D</v>
      </c>
      <c r="N281" s="69">
        <f t="shared" si="41"/>
        <v>269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010D</v>
      </c>
      <c r="N282" s="69">
        <f t="shared" si="41"/>
        <v>269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010D</v>
      </c>
      <c r="N283" s="69">
        <f t="shared" si="41"/>
        <v>269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010D</v>
      </c>
      <c r="N284" s="69">
        <f t="shared" si="41"/>
        <v>269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010D</v>
      </c>
      <c r="N285" s="69">
        <f t="shared" si="41"/>
        <v>269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010D</v>
      </c>
      <c r="N286" s="69">
        <f t="shared" si="41"/>
        <v>269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010D</v>
      </c>
      <c r="N287" s="69">
        <f t="shared" si="41"/>
        <v>269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010D</v>
      </c>
      <c r="N288" s="69">
        <f t="shared" si="41"/>
        <v>269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010D</v>
      </c>
      <c r="N289" s="69">
        <f t="shared" si="41"/>
        <v>269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010D</v>
      </c>
      <c r="N290" s="69">
        <f t="shared" si="41"/>
        <v>269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010D</v>
      </c>
      <c r="N291" s="69">
        <f t="shared" si="41"/>
        <v>269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010D</v>
      </c>
      <c r="N292" s="69">
        <f t="shared" si="41"/>
        <v>269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010D</v>
      </c>
      <c r="N293" s="69">
        <f t="shared" si="41"/>
        <v>269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010D</v>
      </c>
      <c r="N294" s="69">
        <f t="shared" si="41"/>
        <v>269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010D</v>
      </c>
      <c r="N295" s="69">
        <f t="shared" si="41"/>
        <v>269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010D</v>
      </c>
      <c r="N296" s="69">
        <f t="shared" si="41"/>
        <v>269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010D</v>
      </c>
      <c r="N297" s="69">
        <f t="shared" si="41"/>
        <v>269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010D</v>
      </c>
      <c r="N298" s="69">
        <f t="shared" si="41"/>
        <v>269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010D</v>
      </c>
      <c r="N299" s="69">
        <f t="shared" si="41"/>
        <v>269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010D</v>
      </c>
      <c r="N300" s="69">
        <f t="shared" si="41"/>
        <v>269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010D</v>
      </c>
      <c r="N301" s="69">
        <f t="shared" si="41"/>
        <v>269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010D</v>
      </c>
      <c r="N302" s="69">
        <f t="shared" si="41"/>
        <v>269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010D</v>
      </c>
      <c r="N303" s="69">
        <f t="shared" si="41"/>
        <v>269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010D</v>
      </c>
      <c r="N304" s="69">
        <f t="shared" si="41"/>
        <v>269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010D</v>
      </c>
      <c r="N305" s="69">
        <f t="shared" si="41"/>
        <v>269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010D</v>
      </c>
      <c r="N306" s="69">
        <f t="shared" si="41"/>
        <v>269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010D</v>
      </c>
      <c r="N307" s="69">
        <f t="shared" si="41"/>
        <v>269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010D</v>
      </c>
      <c r="N308" s="69">
        <f t="shared" si="41"/>
        <v>269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010D</v>
      </c>
      <c r="N309" s="69">
        <f t="shared" si="41"/>
        <v>269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010D</v>
      </c>
      <c r="N310" s="69">
        <f t="shared" si="41"/>
        <v>269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010D</v>
      </c>
      <c r="N311" s="69">
        <f t="shared" si="41"/>
        <v>269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010D</v>
      </c>
      <c r="N312" s="69">
        <f t="shared" si="41"/>
        <v>269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010D</v>
      </c>
      <c r="N313" s="69">
        <f t="shared" si="41"/>
        <v>269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010D</v>
      </c>
      <c r="N314" s="69">
        <f t="shared" si="41"/>
        <v>269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010D</v>
      </c>
      <c r="N315" s="69">
        <f t="shared" si="41"/>
        <v>269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010D</v>
      </c>
      <c r="N316" s="69">
        <f t="shared" si="41"/>
        <v>269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010D</v>
      </c>
      <c r="N317" s="69">
        <f t="shared" si="41"/>
        <v>269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010D</v>
      </c>
      <c r="N318" s="69">
        <f t="shared" si="41"/>
        <v>269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010D</v>
      </c>
      <c r="N319" s="69">
        <f t="shared" si="41"/>
        <v>269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010D</v>
      </c>
      <c r="N320" s="69">
        <f t="shared" si="41"/>
        <v>269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010D</v>
      </c>
      <c r="N321" s="69">
        <f t="shared" si="41"/>
        <v>269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010D</v>
      </c>
      <c r="N322" s="69">
        <f t="shared" si="41"/>
        <v>269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010D</v>
      </c>
      <c r="N323" s="69">
        <f t="shared" si="41"/>
        <v>269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010D</v>
      </c>
      <c r="N324" s="69">
        <f t="shared" si="41"/>
        <v>269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010D</v>
      </c>
      <c r="N325" s="69">
        <f t="shared" si="41"/>
        <v>269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010D</v>
      </c>
      <c r="N326" s="69">
        <f t="shared" si="41"/>
        <v>269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010D</v>
      </c>
      <c r="N327" s="69">
        <f t="shared" si="41"/>
        <v>269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010D</v>
      </c>
      <c r="N328" s="69">
        <f t="shared" si="41"/>
        <v>269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010D</v>
      </c>
      <c r="N329" s="69">
        <f t="shared" si="41"/>
        <v>269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010D</v>
      </c>
      <c r="N330" s="69">
        <f t="shared" ref="N330:N393" si="45">N329+S329</f>
        <v>269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010D</v>
      </c>
      <c r="N331" s="69">
        <f t="shared" si="45"/>
        <v>269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010D</v>
      </c>
      <c r="N332" s="69">
        <f t="shared" si="45"/>
        <v>269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010D</v>
      </c>
      <c r="N333" s="69">
        <f t="shared" si="45"/>
        <v>269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010D</v>
      </c>
      <c r="N334" s="69">
        <f t="shared" si="45"/>
        <v>269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010D</v>
      </c>
      <c r="N335" s="69">
        <f t="shared" si="45"/>
        <v>269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010D</v>
      </c>
      <c r="N336" s="69">
        <f t="shared" si="45"/>
        <v>269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010D</v>
      </c>
      <c r="N337" s="69">
        <f t="shared" si="45"/>
        <v>269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010D</v>
      </c>
      <c r="N338" s="69">
        <f t="shared" si="45"/>
        <v>269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010D</v>
      </c>
      <c r="N339" s="69">
        <f t="shared" si="45"/>
        <v>269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010D</v>
      </c>
      <c r="N340" s="69">
        <f t="shared" si="45"/>
        <v>269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010D</v>
      </c>
      <c r="N341" s="69">
        <f t="shared" si="45"/>
        <v>269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010D</v>
      </c>
      <c r="N342" s="69">
        <f t="shared" si="45"/>
        <v>269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010D</v>
      </c>
      <c r="N343" s="69">
        <f t="shared" si="45"/>
        <v>269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010D</v>
      </c>
      <c r="N344" s="69">
        <f t="shared" si="45"/>
        <v>269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010D</v>
      </c>
      <c r="N345" s="69">
        <f t="shared" si="45"/>
        <v>269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010D</v>
      </c>
      <c r="N346" s="69">
        <f t="shared" si="45"/>
        <v>269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010D</v>
      </c>
      <c r="N347" s="69">
        <f t="shared" si="45"/>
        <v>269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010D</v>
      </c>
      <c r="N348" s="69">
        <f t="shared" si="45"/>
        <v>269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010D</v>
      </c>
      <c r="N349" s="69">
        <f t="shared" si="45"/>
        <v>269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010D</v>
      </c>
      <c r="N350" s="69">
        <f t="shared" si="45"/>
        <v>269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010D</v>
      </c>
      <c r="N351" s="69">
        <f t="shared" si="45"/>
        <v>269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010D</v>
      </c>
      <c r="N352" s="69">
        <f t="shared" si="45"/>
        <v>269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010D</v>
      </c>
      <c r="N353" s="69">
        <f t="shared" si="45"/>
        <v>269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010D</v>
      </c>
      <c r="N354" s="69">
        <f t="shared" si="45"/>
        <v>269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010D</v>
      </c>
      <c r="N355" s="69">
        <f t="shared" si="45"/>
        <v>269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010D</v>
      </c>
      <c r="N356" s="69">
        <f t="shared" si="45"/>
        <v>269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010D</v>
      </c>
      <c r="N357" s="69">
        <f t="shared" si="45"/>
        <v>269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010D</v>
      </c>
      <c r="N358" s="69">
        <f t="shared" si="45"/>
        <v>269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010D</v>
      </c>
      <c r="N359" s="69">
        <f t="shared" si="45"/>
        <v>269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010D</v>
      </c>
      <c r="N360" s="69">
        <f t="shared" si="45"/>
        <v>269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010D</v>
      </c>
      <c r="N361" s="69">
        <f t="shared" si="45"/>
        <v>269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010D</v>
      </c>
      <c r="N362" s="69">
        <f t="shared" si="45"/>
        <v>269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010D</v>
      </c>
      <c r="N363" s="69">
        <f t="shared" si="45"/>
        <v>269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010D</v>
      </c>
      <c r="N364" s="69">
        <f t="shared" si="45"/>
        <v>269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010D</v>
      </c>
      <c r="N365" s="69">
        <f t="shared" si="45"/>
        <v>269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010D</v>
      </c>
      <c r="N366" s="69">
        <f t="shared" si="45"/>
        <v>269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010D</v>
      </c>
      <c r="N367" s="69">
        <f t="shared" si="45"/>
        <v>269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010D</v>
      </c>
      <c r="N368" s="69">
        <f t="shared" si="45"/>
        <v>269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010D</v>
      </c>
      <c r="N369" s="69">
        <f t="shared" si="45"/>
        <v>269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010D</v>
      </c>
      <c r="N370" s="69">
        <f t="shared" si="45"/>
        <v>269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010D</v>
      </c>
      <c r="N371" s="69">
        <f t="shared" si="45"/>
        <v>269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010D</v>
      </c>
      <c r="N372" s="69">
        <f t="shared" si="45"/>
        <v>269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010D</v>
      </c>
      <c r="N373" s="69">
        <f t="shared" si="45"/>
        <v>269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010D</v>
      </c>
      <c r="N374" s="69">
        <f t="shared" si="45"/>
        <v>269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010D</v>
      </c>
      <c r="N375" s="69">
        <f t="shared" si="45"/>
        <v>269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010D</v>
      </c>
      <c r="N376" s="69">
        <f t="shared" si="45"/>
        <v>269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010D</v>
      </c>
      <c r="N377" s="69">
        <f t="shared" si="45"/>
        <v>269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010D</v>
      </c>
      <c r="N378" s="69">
        <f t="shared" si="45"/>
        <v>269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010D</v>
      </c>
      <c r="N379" s="69">
        <f t="shared" si="45"/>
        <v>269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010D</v>
      </c>
      <c r="N380" s="69">
        <f t="shared" si="45"/>
        <v>269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010D</v>
      </c>
      <c r="N381" s="69">
        <f t="shared" si="45"/>
        <v>269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010D</v>
      </c>
      <c r="N382" s="69">
        <f t="shared" si="45"/>
        <v>269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010D</v>
      </c>
      <c r="N383" s="69">
        <f t="shared" si="45"/>
        <v>269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010D</v>
      </c>
      <c r="N384" s="69">
        <f t="shared" si="45"/>
        <v>269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010D</v>
      </c>
      <c r="N385" s="69">
        <f t="shared" si="45"/>
        <v>269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010D</v>
      </c>
      <c r="N386" s="69">
        <f t="shared" si="45"/>
        <v>269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010D</v>
      </c>
      <c r="N387" s="69">
        <f t="shared" si="45"/>
        <v>269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010D</v>
      </c>
      <c r="N388" s="69">
        <f t="shared" si="45"/>
        <v>269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010D</v>
      </c>
      <c r="N389" s="69">
        <f t="shared" si="45"/>
        <v>269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010D</v>
      </c>
      <c r="N390" s="69">
        <f t="shared" si="45"/>
        <v>269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010D</v>
      </c>
      <c r="N391" s="69">
        <f t="shared" si="45"/>
        <v>269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010D</v>
      </c>
      <c r="N392" s="69">
        <f t="shared" si="45"/>
        <v>269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010D</v>
      </c>
      <c r="N393" s="69">
        <f t="shared" si="45"/>
        <v>269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010D</v>
      </c>
      <c r="N394" s="69">
        <f t="shared" ref="N394:N457" si="49">N393+S393</f>
        <v>269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010D</v>
      </c>
      <c r="N395" s="69">
        <f t="shared" si="49"/>
        <v>269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010D</v>
      </c>
      <c r="N396" s="69">
        <f t="shared" si="49"/>
        <v>269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010D</v>
      </c>
      <c r="N397" s="69">
        <f t="shared" si="49"/>
        <v>269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010D</v>
      </c>
      <c r="N398" s="69">
        <f t="shared" si="49"/>
        <v>269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010D</v>
      </c>
      <c r="N399" s="69">
        <f t="shared" si="49"/>
        <v>269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010D</v>
      </c>
      <c r="N400" s="69">
        <f t="shared" si="49"/>
        <v>269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010D</v>
      </c>
      <c r="N401" s="69">
        <f t="shared" si="49"/>
        <v>269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010D</v>
      </c>
      <c r="N402" s="69">
        <f t="shared" si="49"/>
        <v>269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010D</v>
      </c>
      <c r="N403" s="69">
        <f t="shared" si="49"/>
        <v>269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010D</v>
      </c>
      <c r="N404" s="69">
        <f t="shared" si="49"/>
        <v>269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010D</v>
      </c>
      <c r="N405" s="69">
        <f t="shared" si="49"/>
        <v>269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010D</v>
      </c>
      <c r="N406" s="69">
        <f t="shared" si="49"/>
        <v>269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010D</v>
      </c>
      <c r="N407" s="69">
        <f t="shared" si="49"/>
        <v>269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010D</v>
      </c>
      <c r="N408" s="69">
        <f t="shared" si="49"/>
        <v>269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010D</v>
      </c>
      <c r="N409" s="69">
        <f t="shared" si="49"/>
        <v>269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010D</v>
      </c>
      <c r="N410" s="69">
        <f t="shared" si="49"/>
        <v>269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010D</v>
      </c>
      <c r="N411" s="69">
        <f t="shared" si="49"/>
        <v>269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010D</v>
      </c>
      <c r="N412" s="69">
        <f t="shared" si="49"/>
        <v>269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010D</v>
      </c>
      <c r="N413" s="69">
        <f t="shared" si="49"/>
        <v>269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010D</v>
      </c>
      <c r="N414" s="69">
        <f t="shared" si="49"/>
        <v>269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010D</v>
      </c>
      <c r="N415" s="69">
        <f t="shared" si="49"/>
        <v>269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010D</v>
      </c>
      <c r="N416" s="69">
        <f t="shared" si="49"/>
        <v>269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010D</v>
      </c>
      <c r="N417" s="69">
        <f t="shared" si="49"/>
        <v>269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010D</v>
      </c>
      <c r="N418" s="69">
        <f t="shared" si="49"/>
        <v>269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010D</v>
      </c>
      <c r="N419" s="69">
        <f t="shared" si="49"/>
        <v>269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010D</v>
      </c>
      <c r="N420" s="69">
        <f t="shared" si="49"/>
        <v>269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010D</v>
      </c>
      <c r="N421" s="69">
        <f t="shared" si="49"/>
        <v>269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010D</v>
      </c>
      <c r="N422" s="69">
        <f t="shared" si="49"/>
        <v>269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010D</v>
      </c>
      <c r="N423" s="69">
        <f t="shared" si="49"/>
        <v>269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010D</v>
      </c>
      <c r="N424" s="69">
        <f t="shared" si="49"/>
        <v>269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010D</v>
      </c>
      <c r="N425" s="69">
        <f t="shared" si="49"/>
        <v>269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010D</v>
      </c>
      <c r="N426" s="69">
        <f t="shared" si="49"/>
        <v>269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010D</v>
      </c>
      <c r="N427" s="69">
        <f t="shared" si="49"/>
        <v>269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010D</v>
      </c>
      <c r="N428" s="69">
        <f t="shared" si="49"/>
        <v>269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010D</v>
      </c>
      <c r="N429" s="69">
        <f t="shared" si="49"/>
        <v>269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010D</v>
      </c>
      <c r="N430" s="69">
        <f t="shared" si="49"/>
        <v>269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010D</v>
      </c>
      <c r="N431" s="69">
        <f t="shared" si="49"/>
        <v>269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010D</v>
      </c>
      <c r="N432" s="69">
        <f t="shared" si="49"/>
        <v>269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010D</v>
      </c>
      <c r="N433" s="69">
        <f t="shared" si="49"/>
        <v>269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010D</v>
      </c>
      <c r="N434" s="69">
        <f t="shared" si="49"/>
        <v>269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010D</v>
      </c>
      <c r="N435" s="69">
        <f t="shared" si="49"/>
        <v>269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010D</v>
      </c>
      <c r="N436" s="69">
        <f t="shared" si="49"/>
        <v>269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010D</v>
      </c>
      <c r="N437" s="69">
        <f t="shared" si="49"/>
        <v>269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010D</v>
      </c>
      <c r="N438" s="69">
        <f t="shared" si="49"/>
        <v>269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010D</v>
      </c>
      <c r="N439" s="69">
        <f t="shared" si="49"/>
        <v>269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010D</v>
      </c>
      <c r="N440" s="69">
        <f t="shared" si="49"/>
        <v>269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010D</v>
      </c>
      <c r="N441" s="69">
        <f t="shared" si="49"/>
        <v>269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010D</v>
      </c>
      <c r="N442" s="69">
        <f t="shared" si="49"/>
        <v>269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010D</v>
      </c>
      <c r="N443" s="69">
        <f t="shared" si="49"/>
        <v>269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010D</v>
      </c>
      <c r="N444" s="69">
        <f t="shared" si="49"/>
        <v>269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010D</v>
      </c>
      <c r="N445" s="69">
        <f t="shared" si="49"/>
        <v>269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010D</v>
      </c>
      <c r="N446" s="69">
        <f t="shared" si="49"/>
        <v>269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010D</v>
      </c>
      <c r="N447" s="69">
        <f t="shared" si="49"/>
        <v>269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010D</v>
      </c>
      <c r="N448" s="69">
        <f t="shared" si="49"/>
        <v>269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010D</v>
      </c>
      <c r="N449" s="69">
        <f t="shared" si="49"/>
        <v>269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010D</v>
      </c>
      <c r="N450" s="69">
        <f t="shared" si="49"/>
        <v>269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010D</v>
      </c>
      <c r="N451" s="69">
        <f t="shared" si="49"/>
        <v>269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010D</v>
      </c>
      <c r="N452" s="69">
        <f t="shared" si="49"/>
        <v>269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010D</v>
      </c>
      <c r="N453" s="69">
        <f t="shared" si="49"/>
        <v>269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010D</v>
      </c>
      <c r="N454" s="69">
        <f t="shared" si="49"/>
        <v>269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010D</v>
      </c>
      <c r="N455" s="69">
        <f t="shared" si="49"/>
        <v>269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010D</v>
      </c>
      <c r="N456" s="69">
        <f t="shared" si="49"/>
        <v>269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010D</v>
      </c>
      <c r="N457" s="69">
        <f t="shared" si="49"/>
        <v>269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010D</v>
      </c>
      <c r="N458" s="69">
        <f t="shared" ref="N458:N521" si="53">N457+S457</f>
        <v>269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010D</v>
      </c>
      <c r="N459" s="69">
        <f t="shared" si="53"/>
        <v>269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010D</v>
      </c>
      <c r="N460" s="69">
        <f t="shared" si="53"/>
        <v>269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010D</v>
      </c>
      <c r="N461" s="69">
        <f t="shared" si="53"/>
        <v>269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010D</v>
      </c>
      <c r="N462" s="69">
        <f t="shared" si="53"/>
        <v>269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010D</v>
      </c>
      <c r="N463" s="69">
        <f t="shared" si="53"/>
        <v>269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010D</v>
      </c>
      <c r="N464" s="69">
        <f t="shared" si="53"/>
        <v>269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010D</v>
      </c>
      <c r="N465" s="69">
        <f t="shared" si="53"/>
        <v>269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010D</v>
      </c>
      <c r="N466" s="69">
        <f t="shared" si="53"/>
        <v>269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010D</v>
      </c>
      <c r="N467" s="69">
        <f t="shared" si="53"/>
        <v>269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010D</v>
      </c>
      <c r="N468" s="69">
        <f t="shared" si="53"/>
        <v>269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010D</v>
      </c>
      <c r="N469" s="69">
        <f t="shared" si="53"/>
        <v>269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010D</v>
      </c>
      <c r="N470" s="69">
        <f t="shared" si="53"/>
        <v>269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010D</v>
      </c>
      <c r="N471" s="69">
        <f t="shared" si="53"/>
        <v>269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010D</v>
      </c>
      <c r="N472" s="69">
        <f t="shared" si="53"/>
        <v>269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010D</v>
      </c>
      <c r="N473" s="69">
        <f t="shared" si="53"/>
        <v>269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010D</v>
      </c>
      <c r="N474" s="69">
        <f t="shared" si="53"/>
        <v>269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010D</v>
      </c>
      <c r="N475" s="69">
        <f t="shared" si="53"/>
        <v>269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010D</v>
      </c>
      <c r="N476" s="69">
        <f t="shared" si="53"/>
        <v>269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010D</v>
      </c>
      <c r="N477" s="69">
        <f t="shared" si="53"/>
        <v>269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010D</v>
      </c>
      <c r="N478" s="69">
        <f t="shared" si="53"/>
        <v>269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010D</v>
      </c>
      <c r="N479" s="69">
        <f t="shared" si="53"/>
        <v>269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010D</v>
      </c>
      <c r="N480" s="69">
        <f t="shared" si="53"/>
        <v>269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010D</v>
      </c>
      <c r="N481" s="69">
        <f t="shared" si="53"/>
        <v>269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010D</v>
      </c>
      <c r="N482" s="69">
        <f t="shared" si="53"/>
        <v>269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010D</v>
      </c>
      <c r="N483" s="69">
        <f t="shared" si="53"/>
        <v>269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010D</v>
      </c>
      <c r="N484" s="69">
        <f t="shared" si="53"/>
        <v>269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010D</v>
      </c>
      <c r="N485" s="69">
        <f t="shared" si="53"/>
        <v>269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010D</v>
      </c>
      <c r="N486" s="69">
        <f t="shared" si="53"/>
        <v>269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010D</v>
      </c>
      <c r="N487" s="69">
        <f t="shared" si="53"/>
        <v>269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010D</v>
      </c>
      <c r="N488" s="69">
        <f t="shared" si="53"/>
        <v>269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010D</v>
      </c>
      <c r="N489" s="69">
        <f t="shared" si="53"/>
        <v>269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010D</v>
      </c>
      <c r="N490" s="69">
        <f t="shared" si="53"/>
        <v>269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010D</v>
      </c>
      <c r="N491" s="69">
        <f t="shared" si="53"/>
        <v>269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010D</v>
      </c>
      <c r="N492" s="69">
        <f t="shared" si="53"/>
        <v>269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010D</v>
      </c>
      <c r="N493" s="69">
        <f t="shared" si="53"/>
        <v>269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010D</v>
      </c>
      <c r="N494" s="69">
        <f t="shared" si="53"/>
        <v>269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010D</v>
      </c>
      <c r="N495" s="69">
        <f t="shared" si="53"/>
        <v>269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010D</v>
      </c>
      <c r="N496" s="69">
        <f t="shared" si="53"/>
        <v>269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010D</v>
      </c>
      <c r="N497" s="69">
        <f t="shared" si="53"/>
        <v>269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010D</v>
      </c>
      <c r="N498" s="69">
        <f t="shared" si="53"/>
        <v>269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010D</v>
      </c>
      <c r="N499" s="69">
        <f t="shared" si="53"/>
        <v>269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010D</v>
      </c>
      <c r="N500" s="69">
        <f t="shared" si="53"/>
        <v>269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010D</v>
      </c>
      <c r="N501" s="69">
        <f t="shared" si="53"/>
        <v>269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010D</v>
      </c>
      <c r="N502" s="69">
        <f t="shared" si="53"/>
        <v>269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010D</v>
      </c>
      <c r="N503" s="69">
        <f t="shared" si="53"/>
        <v>269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010D</v>
      </c>
      <c r="N504" s="69">
        <f t="shared" si="53"/>
        <v>269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010D</v>
      </c>
      <c r="N505" s="69">
        <f t="shared" si="53"/>
        <v>269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010D</v>
      </c>
      <c r="N506" s="69">
        <f t="shared" si="53"/>
        <v>269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010D</v>
      </c>
      <c r="N507" s="69">
        <f t="shared" si="53"/>
        <v>269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010D</v>
      </c>
      <c r="N508" s="69">
        <f t="shared" si="53"/>
        <v>269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010D</v>
      </c>
      <c r="N509" s="69">
        <f t="shared" si="53"/>
        <v>269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010D</v>
      </c>
      <c r="N510" s="69">
        <f t="shared" si="53"/>
        <v>269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010D</v>
      </c>
      <c r="N511" s="69">
        <f t="shared" si="53"/>
        <v>269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010D</v>
      </c>
      <c r="N512" s="69">
        <f t="shared" si="53"/>
        <v>269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010D</v>
      </c>
      <c r="N513" s="69">
        <f t="shared" si="53"/>
        <v>269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010D</v>
      </c>
      <c r="N514" s="69">
        <f t="shared" si="53"/>
        <v>269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010D</v>
      </c>
      <c r="N515" s="69">
        <f t="shared" si="53"/>
        <v>269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010D</v>
      </c>
      <c r="N516" s="69">
        <f t="shared" si="53"/>
        <v>269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010D</v>
      </c>
      <c r="N517" s="69">
        <f t="shared" si="53"/>
        <v>269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010D</v>
      </c>
      <c r="N518" s="69">
        <f t="shared" si="53"/>
        <v>269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010D</v>
      </c>
      <c r="N519" s="69">
        <f t="shared" si="53"/>
        <v>269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010D</v>
      </c>
      <c r="N520" s="69">
        <f t="shared" si="53"/>
        <v>269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010D</v>
      </c>
      <c r="N521" s="69">
        <f t="shared" si="53"/>
        <v>269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010D</v>
      </c>
      <c r="N522" s="69">
        <f t="shared" ref="N522:N585" si="57">N521+S521</f>
        <v>269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010D</v>
      </c>
      <c r="N523" s="69">
        <f t="shared" si="57"/>
        <v>269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010D</v>
      </c>
      <c r="N524" s="69">
        <f t="shared" si="57"/>
        <v>269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010D</v>
      </c>
      <c r="N525" s="69">
        <f t="shared" si="57"/>
        <v>269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010D</v>
      </c>
      <c r="N526" s="69">
        <f t="shared" si="57"/>
        <v>269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010D</v>
      </c>
      <c r="N527" s="69">
        <f t="shared" si="57"/>
        <v>269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010D</v>
      </c>
      <c r="N528" s="69">
        <f t="shared" si="57"/>
        <v>269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010D</v>
      </c>
      <c r="N529" s="69">
        <f t="shared" si="57"/>
        <v>269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010D</v>
      </c>
      <c r="N530" s="69">
        <f t="shared" si="57"/>
        <v>269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010D</v>
      </c>
      <c r="N531" s="69">
        <f t="shared" si="57"/>
        <v>269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010D</v>
      </c>
      <c r="N532" s="69">
        <f t="shared" si="57"/>
        <v>269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010D</v>
      </c>
      <c r="N533" s="69">
        <f t="shared" si="57"/>
        <v>269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010D</v>
      </c>
      <c r="N534" s="69">
        <f t="shared" si="57"/>
        <v>269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010D</v>
      </c>
      <c r="N535" s="69">
        <f t="shared" si="57"/>
        <v>269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010D</v>
      </c>
      <c r="N536" s="69">
        <f t="shared" si="57"/>
        <v>269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010D</v>
      </c>
      <c r="N537" s="69">
        <f t="shared" si="57"/>
        <v>269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010D</v>
      </c>
      <c r="N538" s="69">
        <f t="shared" si="57"/>
        <v>269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010D</v>
      </c>
      <c r="N539" s="69">
        <f t="shared" si="57"/>
        <v>269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010D</v>
      </c>
      <c r="N540" s="69">
        <f t="shared" si="57"/>
        <v>269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010D</v>
      </c>
      <c r="N541" s="69">
        <f t="shared" si="57"/>
        <v>269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010D</v>
      </c>
      <c r="N542" s="69">
        <f t="shared" si="57"/>
        <v>269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010D</v>
      </c>
      <c r="N543" s="69">
        <f t="shared" si="57"/>
        <v>269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010D</v>
      </c>
      <c r="N544" s="69">
        <f t="shared" si="57"/>
        <v>269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010D</v>
      </c>
      <c r="N545" s="69">
        <f t="shared" si="57"/>
        <v>269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010D</v>
      </c>
      <c r="N546" s="69">
        <f t="shared" si="57"/>
        <v>269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010D</v>
      </c>
      <c r="N547" s="69">
        <f t="shared" si="57"/>
        <v>269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010D</v>
      </c>
      <c r="N548" s="69">
        <f t="shared" si="57"/>
        <v>269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010D</v>
      </c>
      <c r="N549" s="69">
        <f t="shared" si="57"/>
        <v>269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010D</v>
      </c>
      <c r="N550" s="69">
        <f t="shared" si="57"/>
        <v>269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010D</v>
      </c>
      <c r="N551" s="69">
        <f t="shared" si="57"/>
        <v>269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010D</v>
      </c>
      <c r="N552" s="69">
        <f t="shared" si="57"/>
        <v>269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010D</v>
      </c>
      <c r="N553" s="69">
        <f t="shared" si="57"/>
        <v>269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010D</v>
      </c>
      <c r="N554" s="69">
        <f t="shared" si="57"/>
        <v>269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010D</v>
      </c>
      <c r="N555" s="69">
        <f t="shared" si="57"/>
        <v>269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010D</v>
      </c>
      <c r="N556" s="69">
        <f t="shared" si="57"/>
        <v>269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010D</v>
      </c>
      <c r="N557" s="69">
        <f t="shared" si="57"/>
        <v>269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010D</v>
      </c>
      <c r="N558" s="69">
        <f t="shared" si="57"/>
        <v>269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010D</v>
      </c>
      <c r="N559" s="69">
        <f t="shared" si="57"/>
        <v>269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010D</v>
      </c>
      <c r="N560" s="69">
        <f t="shared" si="57"/>
        <v>269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010D</v>
      </c>
      <c r="N561" s="69">
        <f t="shared" si="57"/>
        <v>269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010D</v>
      </c>
      <c r="N562" s="69">
        <f t="shared" si="57"/>
        <v>269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010D</v>
      </c>
      <c r="N563" s="69">
        <f t="shared" si="57"/>
        <v>269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010D</v>
      </c>
      <c r="N564" s="69">
        <f t="shared" si="57"/>
        <v>269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010D</v>
      </c>
      <c r="N565" s="69">
        <f t="shared" si="57"/>
        <v>269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010D</v>
      </c>
      <c r="N566" s="69">
        <f t="shared" si="57"/>
        <v>269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010D</v>
      </c>
      <c r="N567" s="69">
        <f t="shared" si="57"/>
        <v>269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010D</v>
      </c>
      <c r="N568" s="69">
        <f t="shared" si="57"/>
        <v>269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010D</v>
      </c>
      <c r="N569" s="69">
        <f t="shared" si="57"/>
        <v>269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010D</v>
      </c>
      <c r="N570" s="69">
        <f t="shared" si="57"/>
        <v>269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010D</v>
      </c>
      <c r="N571" s="69">
        <f t="shared" si="57"/>
        <v>269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010D</v>
      </c>
      <c r="N572" s="69">
        <f t="shared" si="57"/>
        <v>269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010D</v>
      </c>
      <c r="N573" s="69">
        <f t="shared" si="57"/>
        <v>269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010D</v>
      </c>
      <c r="N574" s="69">
        <f t="shared" si="57"/>
        <v>269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010D</v>
      </c>
      <c r="N575" s="69">
        <f t="shared" si="57"/>
        <v>269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010D</v>
      </c>
      <c r="N576" s="69">
        <f t="shared" si="57"/>
        <v>269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010D</v>
      </c>
      <c r="N577" s="69">
        <f t="shared" si="57"/>
        <v>269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010D</v>
      </c>
      <c r="N578" s="69">
        <f t="shared" si="57"/>
        <v>269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010D</v>
      </c>
      <c r="N579" s="69">
        <f t="shared" si="57"/>
        <v>269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010D</v>
      </c>
      <c r="N580" s="69">
        <f t="shared" si="57"/>
        <v>269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010D</v>
      </c>
      <c r="N581" s="69">
        <f t="shared" si="57"/>
        <v>269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010D</v>
      </c>
      <c r="N582" s="69">
        <f t="shared" si="57"/>
        <v>269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010D</v>
      </c>
      <c r="N583" s="69">
        <f t="shared" si="57"/>
        <v>269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010D</v>
      </c>
      <c r="N584" s="69">
        <f t="shared" si="57"/>
        <v>269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010D</v>
      </c>
      <c r="N585" s="69">
        <f t="shared" si="57"/>
        <v>269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010D</v>
      </c>
      <c r="N586" s="69">
        <f t="shared" ref="N586:N649" si="61">N585+S585</f>
        <v>269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010D</v>
      </c>
      <c r="N587" s="69">
        <f t="shared" si="61"/>
        <v>269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010D</v>
      </c>
      <c r="N588" s="69">
        <f t="shared" si="61"/>
        <v>269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010D</v>
      </c>
      <c r="N589" s="69">
        <f t="shared" si="61"/>
        <v>269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010D</v>
      </c>
      <c r="N590" s="69">
        <f t="shared" si="61"/>
        <v>269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010D</v>
      </c>
      <c r="N591" s="69">
        <f t="shared" si="61"/>
        <v>269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010D</v>
      </c>
      <c r="N592" s="69">
        <f t="shared" si="61"/>
        <v>269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010D</v>
      </c>
      <c r="N593" s="69">
        <f t="shared" si="61"/>
        <v>269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010D</v>
      </c>
      <c r="N594" s="69">
        <f t="shared" si="61"/>
        <v>269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010D</v>
      </c>
      <c r="N595" s="69">
        <f t="shared" si="61"/>
        <v>269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010D</v>
      </c>
      <c r="N596" s="69">
        <f t="shared" si="61"/>
        <v>269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010D</v>
      </c>
      <c r="N597" s="69">
        <f t="shared" si="61"/>
        <v>269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010D</v>
      </c>
      <c r="N598" s="69">
        <f t="shared" si="61"/>
        <v>269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010D</v>
      </c>
      <c r="N599" s="69">
        <f t="shared" si="61"/>
        <v>269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010D</v>
      </c>
      <c r="N600" s="69">
        <f t="shared" si="61"/>
        <v>269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010D</v>
      </c>
      <c r="N601" s="69">
        <f t="shared" si="61"/>
        <v>269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010D</v>
      </c>
      <c r="N602" s="69">
        <f t="shared" si="61"/>
        <v>269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010D</v>
      </c>
      <c r="N603" s="69">
        <f t="shared" si="61"/>
        <v>269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010D</v>
      </c>
      <c r="N604" s="69">
        <f t="shared" si="61"/>
        <v>269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010D</v>
      </c>
      <c r="N605" s="69">
        <f t="shared" si="61"/>
        <v>269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010D</v>
      </c>
      <c r="N606" s="69">
        <f t="shared" si="61"/>
        <v>269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010D</v>
      </c>
      <c r="N607" s="69">
        <f t="shared" si="61"/>
        <v>269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010D</v>
      </c>
      <c r="N608" s="69">
        <f t="shared" si="61"/>
        <v>269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010D</v>
      </c>
      <c r="N609" s="69">
        <f t="shared" si="61"/>
        <v>269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010D</v>
      </c>
      <c r="N610" s="69">
        <f t="shared" si="61"/>
        <v>269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010D</v>
      </c>
      <c r="N611" s="69">
        <f t="shared" si="61"/>
        <v>269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010D</v>
      </c>
      <c r="N612" s="69">
        <f t="shared" si="61"/>
        <v>269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010D</v>
      </c>
      <c r="N613" s="69">
        <f t="shared" si="61"/>
        <v>269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010D</v>
      </c>
      <c r="N614" s="69">
        <f t="shared" si="61"/>
        <v>269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010D</v>
      </c>
      <c r="N615" s="69">
        <f t="shared" si="61"/>
        <v>269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010D</v>
      </c>
      <c r="N616" s="69">
        <f t="shared" si="61"/>
        <v>269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010D</v>
      </c>
      <c r="N617" s="69">
        <f t="shared" si="61"/>
        <v>269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010D</v>
      </c>
      <c r="N618" s="69">
        <f t="shared" si="61"/>
        <v>269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010D</v>
      </c>
      <c r="N619" s="69">
        <f t="shared" si="61"/>
        <v>269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010D</v>
      </c>
      <c r="N620" s="69">
        <f t="shared" si="61"/>
        <v>269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010D</v>
      </c>
      <c r="N621" s="69">
        <f t="shared" si="61"/>
        <v>269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010D</v>
      </c>
      <c r="N622" s="69">
        <f t="shared" si="61"/>
        <v>269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010D</v>
      </c>
      <c r="N623" s="69">
        <f t="shared" si="61"/>
        <v>269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010D</v>
      </c>
      <c r="N624" s="69">
        <f t="shared" si="61"/>
        <v>269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010D</v>
      </c>
      <c r="N625" s="69">
        <f t="shared" si="61"/>
        <v>269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010D</v>
      </c>
      <c r="N626" s="69">
        <f t="shared" si="61"/>
        <v>269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010D</v>
      </c>
      <c r="N627" s="69">
        <f t="shared" si="61"/>
        <v>269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010D</v>
      </c>
      <c r="N628" s="69">
        <f t="shared" si="61"/>
        <v>269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010D</v>
      </c>
      <c r="N629" s="69">
        <f t="shared" si="61"/>
        <v>269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010D</v>
      </c>
      <c r="N630" s="69">
        <f t="shared" si="61"/>
        <v>269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010D</v>
      </c>
      <c r="N631" s="69">
        <f t="shared" si="61"/>
        <v>269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010D</v>
      </c>
      <c r="N632" s="69">
        <f t="shared" si="61"/>
        <v>269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010D</v>
      </c>
      <c r="N633" s="69">
        <f t="shared" si="61"/>
        <v>269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010D</v>
      </c>
      <c r="N634" s="69">
        <f t="shared" si="61"/>
        <v>269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010D</v>
      </c>
      <c r="N635" s="69">
        <f t="shared" si="61"/>
        <v>269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010D</v>
      </c>
      <c r="N636" s="69">
        <f t="shared" si="61"/>
        <v>269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010D</v>
      </c>
      <c r="N637" s="69">
        <f t="shared" si="61"/>
        <v>269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010D</v>
      </c>
      <c r="N638" s="69">
        <f t="shared" si="61"/>
        <v>269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010D</v>
      </c>
      <c r="N639" s="69">
        <f t="shared" si="61"/>
        <v>269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010D</v>
      </c>
      <c r="N640" s="69">
        <f t="shared" si="61"/>
        <v>269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010D</v>
      </c>
      <c r="N641" s="69">
        <f t="shared" si="61"/>
        <v>269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010D</v>
      </c>
      <c r="N642" s="69">
        <f t="shared" si="61"/>
        <v>269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010D</v>
      </c>
      <c r="N643" s="69">
        <f t="shared" si="61"/>
        <v>269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010D</v>
      </c>
      <c r="N644" s="69">
        <f t="shared" si="61"/>
        <v>269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010D</v>
      </c>
      <c r="N645" s="69">
        <f t="shared" si="61"/>
        <v>269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010D</v>
      </c>
      <c r="N646" s="69">
        <f t="shared" si="61"/>
        <v>269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010D</v>
      </c>
      <c r="N647" s="69">
        <f t="shared" si="61"/>
        <v>269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010D</v>
      </c>
      <c r="N648" s="69">
        <f t="shared" si="61"/>
        <v>269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010D</v>
      </c>
      <c r="N649" s="69">
        <f t="shared" si="61"/>
        <v>269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010D</v>
      </c>
      <c r="N650" s="69">
        <f t="shared" ref="N650:N713" si="65">N649+S649</f>
        <v>269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010D</v>
      </c>
      <c r="N651" s="69">
        <f t="shared" si="65"/>
        <v>269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010D</v>
      </c>
      <c r="N652" s="69">
        <f t="shared" si="65"/>
        <v>269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010D</v>
      </c>
      <c r="N653" s="69">
        <f t="shared" si="65"/>
        <v>269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010D</v>
      </c>
      <c r="N654" s="69">
        <f t="shared" si="65"/>
        <v>269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010D</v>
      </c>
      <c r="N655" s="69">
        <f t="shared" si="65"/>
        <v>269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010D</v>
      </c>
      <c r="N656" s="69">
        <f t="shared" si="65"/>
        <v>269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010D</v>
      </c>
      <c r="N657" s="69">
        <f t="shared" si="65"/>
        <v>269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010D</v>
      </c>
      <c r="N658" s="69">
        <f t="shared" si="65"/>
        <v>269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010D</v>
      </c>
      <c r="N659" s="69">
        <f t="shared" si="65"/>
        <v>269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010D</v>
      </c>
      <c r="N660" s="69">
        <f t="shared" si="65"/>
        <v>269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010D</v>
      </c>
      <c r="N661" s="69">
        <f t="shared" si="65"/>
        <v>269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010D</v>
      </c>
      <c r="N662" s="69">
        <f t="shared" si="65"/>
        <v>269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010D</v>
      </c>
      <c r="N663" s="69">
        <f t="shared" si="65"/>
        <v>269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010D</v>
      </c>
      <c r="N664" s="69">
        <f t="shared" si="65"/>
        <v>269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010D</v>
      </c>
      <c r="N665" s="69">
        <f t="shared" si="65"/>
        <v>269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010D</v>
      </c>
      <c r="N666" s="69">
        <f t="shared" si="65"/>
        <v>269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010D</v>
      </c>
      <c r="N667" s="69">
        <f t="shared" si="65"/>
        <v>269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010D</v>
      </c>
      <c r="N668" s="69">
        <f t="shared" si="65"/>
        <v>269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010D</v>
      </c>
      <c r="N669" s="69">
        <f t="shared" si="65"/>
        <v>269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010D</v>
      </c>
      <c r="N670" s="69">
        <f t="shared" si="65"/>
        <v>269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010D</v>
      </c>
      <c r="N671" s="69">
        <f t="shared" si="65"/>
        <v>269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010D</v>
      </c>
      <c r="N672" s="69">
        <f t="shared" si="65"/>
        <v>269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010D</v>
      </c>
      <c r="N673" s="69">
        <f t="shared" si="65"/>
        <v>269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010D</v>
      </c>
      <c r="N674" s="69">
        <f t="shared" si="65"/>
        <v>269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010D</v>
      </c>
      <c r="N675" s="69">
        <f t="shared" si="65"/>
        <v>269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010D</v>
      </c>
      <c r="N676" s="69">
        <f t="shared" si="65"/>
        <v>269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010D</v>
      </c>
      <c r="N677" s="69">
        <f t="shared" si="65"/>
        <v>269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010D</v>
      </c>
      <c r="N678" s="69">
        <f t="shared" si="65"/>
        <v>269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010D</v>
      </c>
      <c r="N679" s="69">
        <f t="shared" si="65"/>
        <v>269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010D</v>
      </c>
      <c r="N680" s="69">
        <f t="shared" si="65"/>
        <v>269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010D</v>
      </c>
      <c r="N681" s="69">
        <f t="shared" si="65"/>
        <v>269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010D</v>
      </c>
      <c r="N682" s="69">
        <f t="shared" si="65"/>
        <v>269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010D</v>
      </c>
      <c r="N683" s="69">
        <f t="shared" si="65"/>
        <v>269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010D</v>
      </c>
      <c r="N684" s="69">
        <f t="shared" si="65"/>
        <v>269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010D</v>
      </c>
      <c r="N685" s="69">
        <f t="shared" si="65"/>
        <v>269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010D</v>
      </c>
      <c r="N686" s="69">
        <f t="shared" si="65"/>
        <v>269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010D</v>
      </c>
      <c r="N687" s="69">
        <f t="shared" si="65"/>
        <v>269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010D</v>
      </c>
      <c r="N688" s="69">
        <f t="shared" si="65"/>
        <v>269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010D</v>
      </c>
      <c r="N689" s="69">
        <f t="shared" si="65"/>
        <v>269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010D</v>
      </c>
      <c r="N690" s="69">
        <f t="shared" si="65"/>
        <v>269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010D</v>
      </c>
      <c r="N691" s="69">
        <f t="shared" si="65"/>
        <v>269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010D</v>
      </c>
      <c r="N692" s="69">
        <f t="shared" si="65"/>
        <v>269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010D</v>
      </c>
      <c r="N693" s="69">
        <f t="shared" si="65"/>
        <v>269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010D</v>
      </c>
      <c r="N694" s="69">
        <f t="shared" si="65"/>
        <v>269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010D</v>
      </c>
      <c r="N695" s="69">
        <f t="shared" si="65"/>
        <v>269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010D</v>
      </c>
      <c r="N696" s="69">
        <f t="shared" si="65"/>
        <v>269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010D</v>
      </c>
      <c r="N697" s="69">
        <f t="shared" si="65"/>
        <v>269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010D</v>
      </c>
      <c r="N698" s="69">
        <f t="shared" si="65"/>
        <v>269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010D</v>
      </c>
      <c r="N699" s="69">
        <f t="shared" si="65"/>
        <v>269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010D</v>
      </c>
      <c r="N700" s="69">
        <f t="shared" si="65"/>
        <v>269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010D</v>
      </c>
      <c r="N701" s="69">
        <f t="shared" si="65"/>
        <v>269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010D</v>
      </c>
      <c r="N702" s="69">
        <f t="shared" si="65"/>
        <v>269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010D</v>
      </c>
      <c r="N703" s="69">
        <f t="shared" si="65"/>
        <v>269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010D</v>
      </c>
      <c r="N704" s="69">
        <f t="shared" si="65"/>
        <v>269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010D</v>
      </c>
      <c r="N705" s="69">
        <f t="shared" si="65"/>
        <v>269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010D</v>
      </c>
      <c r="N706" s="69">
        <f t="shared" si="65"/>
        <v>269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010D</v>
      </c>
      <c r="N707" s="69">
        <f t="shared" si="65"/>
        <v>269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010D</v>
      </c>
      <c r="N708" s="69">
        <f t="shared" si="65"/>
        <v>269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010D</v>
      </c>
      <c r="N709" s="69">
        <f t="shared" si="65"/>
        <v>269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010D</v>
      </c>
      <c r="N710" s="69">
        <f t="shared" si="65"/>
        <v>269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010D</v>
      </c>
      <c r="N711" s="69">
        <f t="shared" si="65"/>
        <v>269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010D</v>
      </c>
      <c r="N712" s="69">
        <f t="shared" si="65"/>
        <v>269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010D</v>
      </c>
      <c r="N713" s="69">
        <f t="shared" si="65"/>
        <v>269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010D</v>
      </c>
      <c r="N714" s="69">
        <f t="shared" ref="N714:N777" si="69">N713+S713</f>
        <v>269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010D</v>
      </c>
      <c r="N715" s="69">
        <f t="shared" si="69"/>
        <v>269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010D</v>
      </c>
      <c r="N716" s="69">
        <f t="shared" si="69"/>
        <v>269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010D</v>
      </c>
      <c r="N717" s="69">
        <f t="shared" si="69"/>
        <v>269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010D</v>
      </c>
      <c r="N718" s="69">
        <f t="shared" si="69"/>
        <v>269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010D</v>
      </c>
      <c r="N719" s="69">
        <f t="shared" si="69"/>
        <v>269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010D</v>
      </c>
      <c r="N720" s="69">
        <f t="shared" si="69"/>
        <v>269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010D</v>
      </c>
      <c r="N721" s="69">
        <f t="shared" si="69"/>
        <v>269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010D</v>
      </c>
      <c r="N722" s="69">
        <f t="shared" si="69"/>
        <v>269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010D</v>
      </c>
      <c r="N723" s="69">
        <f t="shared" si="69"/>
        <v>269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010D</v>
      </c>
      <c r="N724" s="69">
        <f t="shared" si="69"/>
        <v>269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010D</v>
      </c>
      <c r="N725" s="69">
        <f t="shared" si="69"/>
        <v>269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010D</v>
      </c>
      <c r="N726" s="69">
        <f t="shared" si="69"/>
        <v>269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010D</v>
      </c>
      <c r="N727" s="69">
        <f t="shared" si="69"/>
        <v>269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010D</v>
      </c>
      <c r="N728" s="69">
        <f t="shared" si="69"/>
        <v>269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010D</v>
      </c>
      <c r="N729" s="69">
        <f t="shared" si="69"/>
        <v>269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010D</v>
      </c>
      <c r="N730" s="69">
        <f t="shared" si="69"/>
        <v>269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010D</v>
      </c>
      <c r="N731" s="69">
        <f t="shared" si="69"/>
        <v>269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010D</v>
      </c>
      <c r="N732" s="69">
        <f t="shared" si="69"/>
        <v>269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010D</v>
      </c>
      <c r="N733" s="69">
        <f t="shared" si="69"/>
        <v>269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010D</v>
      </c>
      <c r="N734" s="69">
        <f t="shared" si="69"/>
        <v>269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010D</v>
      </c>
      <c r="N735" s="69">
        <f t="shared" si="69"/>
        <v>269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010D</v>
      </c>
      <c r="N736" s="69">
        <f t="shared" si="69"/>
        <v>269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010D</v>
      </c>
      <c r="N737" s="69">
        <f t="shared" si="69"/>
        <v>269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010D</v>
      </c>
      <c r="N738" s="69">
        <f t="shared" si="69"/>
        <v>269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010D</v>
      </c>
      <c r="N739" s="69">
        <f t="shared" si="69"/>
        <v>269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010D</v>
      </c>
      <c r="N740" s="69">
        <f t="shared" si="69"/>
        <v>269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010D</v>
      </c>
      <c r="N741" s="69">
        <f t="shared" si="69"/>
        <v>269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010D</v>
      </c>
      <c r="N742" s="69">
        <f t="shared" si="69"/>
        <v>269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010D</v>
      </c>
      <c r="N743" s="69">
        <f t="shared" si="69"/>
        <v>269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010D</v>
      </c>
      <c r="N744" s="69">
        <f t="shared" si="69"/>
        <v>269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010D</v>
      </c>
      <c r="N745" s="69">
        <f t="shared" si="69"/>
        <v>269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010D</v>
      </c>
      <c r="N746" s="69">
        <f t="shared" si="69"/>
        <v>269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010D</v>
      </c>
      <c r="N747" s="69">
        <f t="shared" si="69"/>
        <v>269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010D</v>
      </c>
      <c r="N748" s="69">
        <f t="shared" si="69"/>
        <v>269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010D</v>
      </c>
      <c r="N749" s="69">
        <f t="shared" si="69"/>
        <v>269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010D</v>
      </c>
      <c r="N750" s="69">
        <f t="shared" si="69"/>
        <v>269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010D</v>
      </c>
      <c r="N751" s="69">
        <f t="shared" si="69"/>
        <v>269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010D</v>
      </c>
      <c r="N752" s="69">
        <f t="shared" si="69"/>
        <v>269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010D</v>
      </c>
      <c r="N753" s="69">
        <f t="shared" si="69"/>
        <v>269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010D</v>
      </c>
      <c r="N754" s="69">
        <f t="shared" si="69"/>
        <v>269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010D</v>
      </c>
      <c r="N755" s="69">
        <f t="shared" si="69"/>
        <v>269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010D</v>
      </c>
      <c r="N756" s="69">
        <f t="shared" si="69"/>
        <v>269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010D</v>
      </c>
      <c r="N757" s="69">
        <f t="shared" si="69"/>
        <v>269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010D</v>
      </c>
      <c r="N758" s="69">
        <f t="shared" si="69"/>
        <v>269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010D</v>
      </c>
      <c r="N759" s="69">
        <f t="shared" si="69"/>
        <v>269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010D</v>
      </c>
      <c r="N760" s="69">
        <f t="shared" si="69"/>
        <v>269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010D</v>
      </c>
      <c r="N761" s="69">
        <f t="shared" si="69"/>
        <v>269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010D</v>
      </c>
      <c r="N762" s="69">
        <f t="shared" si="69"/>
        <v>269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010D</v>
      </c>
      <c r="N763" s="69">
        <f t="shared" si="69"/>
        <v>269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010D</v>
      </c>
      <c r="N764" s="69">
        <f t="shared" si="69"/>
        <v>269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010D</v>
      </c>
      <c r="N765" s="69">
        <f t="shared" si="69"/>
        <v>269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010D</v>
      </c>
      <c r="N766" s="69">
        <f t="shared" si="69"/>
        <v>269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010D</v>
      </c>
      <c r="N767" s="69">
        <f t="shared" si="69"/>
        <v>269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010D</v>
      </c>
      <c r="N768" s="69">
        <f t="shared" si="69"/>
        <v>269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010D</v>
      </c>
      <c r="N769" s="69">
        <f t="shared" si="69"/>
        <v>269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010D</v>
      </c>
      <c r="N770" s="69">
        <f t="shared" si="69"/>
        <v>269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010D</v>
      </c>
      <c r="N771" s="69">
        <f t="shared" si="69"/>
        <v>269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010D</v>
      </c>
      <c r="N772" s="69">
        <f t="shared" si="69"/>
        <v>269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010D</v>
      </c>
      <c r="N773" s="69">
        <f t="shared" si="69"/>
        <v>269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010D</v>
      </c>
      <c r="N774" s="69">
        <f t="shared" si="69"/>
        <v>269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010D</v>
      </c>
      <c r="N775" s="69">
        <f t="shared" si="69"/>
        <v>269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010D</v>
      </c>
      <c r="N776" s="69">
        <f t="shared" si="69"/>
        <v>269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010D</v>
      </c>
      <c r="N777" s="69">
        <f t="shared" si="69"/>
        <v>269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010D</v>
      </c>
      <c r="N778" s="69">
        <f t="shared" ref="N778:N841" si="73">N777+S777</f>
        <v>269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010D</v>
      </c>
      <c r="N779" s="69">
        <f t="shared" si="73"/>
        <v>269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010D</v>
      </c>
      <c r="N780" s="69">
        <f t="shared" si="73"/>
        <v>269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010D</v>
      </c>
      <c r="N781" s="69">
        <f t="shared" si="73"/>
        <v>269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010D</v>
      </c>
      <c r="N782" s="69">
        <f t="shared" si="73"/>
        <v>269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010D</v>
      </c>
      <c r="N783" s="69">
        <f t="shared" si="73"/>
        <v>269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010D</v>
      </c>
      <c r="N784" s="69">
        <f t="shared" si="73"/>
        <v>269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010D</v>
      </c>
      <c r="N785" s="69">
        <f t="shared" si="73"/>
        <v>269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010D</v>
      </c>
      <c r="N786" s="69">
        <f t="shared" si="73"/>
        <v>269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010D</v>
      </c>
      <c r="N787" s="69">
        <f t="shared" si="73"/>
        <v>269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010D</v>
      </c>
      <c r="N788" s="69">
        <f t="shared" si="73"/>
        <v>269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010D</v>
      </c>
      <c r="N789" s="69">
        <f t="shared" si="73"/>
        <v>269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010D</v>
      </c>
      <c r="N790" s="69">
        <f t="shared" si="73"/>
        <v>269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010D</v>
      </c>
      <c r="N791" s="69">
        <f t="shared" si="73"/>
        <v>269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010D</v>
      </c>
      <c r="N792" s="69">
        <f t="shared" si="73"/>
        <v>269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010D</v>
      </c>
      <c r="N793" s="69">
        <f t="shared" si="73"/>
        <v>269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010D</v>
      </c>
      <c r="N794" s="69">
        <f t="shared" si="73"/>
        <v>269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010D</v>
      </c>
      <c r="N795" s="69">
        <f t="shared" si="73"/>
        <v>269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010D</v>
      </c>
      <c r="N796" s="69">
        <f t="shared" si="73"/>
        <v>269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010D</v>
      </c>
      <c r="N797" s="69">
        <f t="shared" si="73"/>
        <v>269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010D</v>
      </c>
      <c r="N798" s="69">
        <f t="shared" si="73"/>
        <v>269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010D</v>
      </c>
      <c r="N799" s="69">
        <f t="shared" si="73"/>
        <v>269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010D</v>
      </c>
      <c r="N800" s="69">
        <f t="shared" si="73"/>
        <v>269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010D</v>
      </c>
      <c r="N801" s="69">
        <f t="shared" si="73"/>
        <v>269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010D</v>
      </c>
      <c r="N802" s="69">
        <f t="shared" si="73"/>
        <v>269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010D</v>
      </c>
      <c r="N803" s="69">
        <f t="shared" si="73"/>
        <v>269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010D</v>
      </c>
      <c r="N804" s="69">
        <f t="shared" si="73"/>
        <v>269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010D</v>
      </c>
      <c r="N805" s="69">
        <f t="shared" si="73"/>
        <v>269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010D</v>
      </c>
      <c r="N806" s="69">
        <f t="shared" si="73"/>
        <v>269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010D</v>
      </c>
      <c r="N807" s="69">
        <f t="shared" si="73"/>
        <v>269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010D</v>
      </c>
      <c r="N808" s="69">
        <f t="shared" si="73"/>
        <v>269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010D</v>
      </c>
      <c r="N809" s="69">
        <f t="shared" si="73"/>
        <v>269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010D</v>
      </c>
      <c r="N810" s="69">
        <f t="shared" si="73"/>
        <v>269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010D</v>
      </c>
      <c r="N811" s="69">
        <f t="shared" si="73"/>
        <v>269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010D</v>
      </c>
      <c r="N812" s="69">
        <f t="shared" si="73"/>
        <v>269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010D</v>
      </c>
      <c r="N813" s="69">
        <f t="shared" si="73"/>
        <v>269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010D</v>
      </c>
      <c r="N814" s="69">
        <f t="shared" si="73"/>
        <v>269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010D</v>
      </c>
      <c r="N815" s="69">
        <f t="shared" si="73"/>
        <v>269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010D</v>
      </c>
      <c r="N816" s="69">
        <f t="shared" si="73"/>
        <v>269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010D</v>
      </c>
      <c r="N817" s="69">
        <f t="shared" si="73"/>
        <v>269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010D</v>
      </c>
      <c r="N818" s="69">
        <f t="shared" si="73"/>
        <v>269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010D</v>
      </c>
      <c r="N819" s="69">
        <f t="shared" si="73"/>
        <v>269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010D</v>
      </c>
      <c r="N820" s="69">
        <f t="shared" si="73"/>
        <v>269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010D</v>
      </c>
      <c r="N821" s="69">
        <f t="shared" si="73"/>
        <v>269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010D</v>
      </c>
      <c r="N822" s="69">
        <f t="shared" si="73"/>
        <v>269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010D</v>
      </c>
      <c r="N823" s="69">
        <f t="shared" si="73"/>
        <v>269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010D</v>
      </c>
      <c r="N824" s="69">
        <f t="shared" si="73"/>
        <v>269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010D</v>
      </c>
      <c r="N825" s="69">
        <f t="shared" si="73"/>
        <v>269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010D</v>
      </c>
      <c r="N826" s="69">
        <f t="shared" si="73"/>
        <v>269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010D</v>
      </c>
      <c r="N827" s="69">
        <f t="shared" si="73"/>
        <v>269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010D</v>
      </c>
      <c r="N828" s="69">
        <f t="shared" si="73"/>
        <v>269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010D</v>
      </c>
      <c r="N829" s="69">
        <f t="shared" si="73"/>
        <v>269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010D</v>
      </c>
      <c r="N830" s="69">
        <f t="shared" si="73"/>
        <v>269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010D</v>
      </c>
      <c r="N831" s="69">
        <f t="shared" si="73"/>
        <v>269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010D</v>
      </c>
      <c r="N832" s="69">
        <f t="shared" si="73"/>
        <v>269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010D</v>
      </c>
      <c r="N833" s="69">
        <f t="shared" si="73"/>
        <v>269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010D</v>
      </c>
      <c r="N834" s="69">
        <f t="shared" si="73"/>
        <v>269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010D</v>
      </c>
      <c r="N835" s="69">
        <f t="shared" si="73"/>
        <v>269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010D</v>
      </c>
      <c r="N836" s="69">
        <f t="shared" si="73"/>
        <v>269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010D</v>
      </c>
      <c r="N837" s="69">
        <f t="shared" si="73"/>
        <v>269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010D</v>
      </c>
      <c r="N838" s="69">
        <f t="shared" si="73"/>
        <v>269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010D</v>
      </c>
      <c r="N839" s="69">
        <f t="shared" si="73"/>
        <v>269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010D</v>
      </c>
      <c r="N840" s="69">
        <f t="shared" si="73"/>
        <v>269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010D</v>
      </c>
      <c r="N841" s="69">
        <f t="shared" si="73"/>
        <v>269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010D</v>
      </c>
      <c r="N842" s="69">
        <f t="shared" ref="N842:N905" si="77">N841+S841</f>
        <v>269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010D</v>
      </c>
      <c r="N843" s="69">
        <f t="shared" si="77"/>
        <v>269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010D</v>
      </c>
      <c r="N844" s="69">
        <f t="shared" si="77"/>
        <v>269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010D</v>
      </c>
      <c r="N845" s="69">
        <f t="shared" si="77"/>
        <v>269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010D</v>
      </c>
      <c r="N846" s="69">
        <f t="shared" si="77"/>
        <v>269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010D</v>
      </c>
      <c r="N847" s="69">
        <f t="shared" si="77"/>
        <v>269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010D</v>
      </c>
      <c r="N848" s="69">
        <f t="shared" si="77"/>
        <v>269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010D</v>
      </c>
      <c r="N849" s="69">
        <f t="shared" si="77"/>
        <v>269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010D</v>
      </c>
      <c r="N850" s="69">
        <f t="shared" si="77"/>
        <v>269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010D</v>
      </c>
      <c r="N851" s="69">
        <f t="shared" si="77"/>
        <v>269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010D</v>
      </c>
      <c r="N852" s="69">
        <f t="shared" si="77"/>
        <v>269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010D</v>
      </c>
      <c r="N853" s="69">
        <f t="shared" si="77"/>
        <v>269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010D</v>
      </c>
      <c r="N854" s="69">
        <f t="shared" si="77"/>
        <v>269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010D</v>
      </c>
      <c r="N855" s="69">
        <f t="shared" si="77"/>
        <v>269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010D</v>
      </c>
      <c r="N856" s="69">
        <f t="shared" si="77"/>
        <v>269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010D</v>
      </c>
      <c r="N857" s="69">
        <f t="shared" si="77"/>
        <v>269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010D</v>
      </c>
      <c r="N858" s="69">
        <f t="shared" si="77"/>
        <v>269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010D</v>
      </c>
      <c r="N859" s="69">
        <f t="shared" si="77"/>
        <v>269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010D</v>
      </c>
      <c r="N860" s="69">
        <f t="shared" si="77"/>
        <v>269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010D</v>
      </c>
      <c r="N861" s="69">
        <f t="shared" si="77"/>
        <v>269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010D</v>
      </c>
      <c r="N862" s="69">
        <f t="shared" si="77"/>
        <v>269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010D</v>
      </c>
      <c r="N863" s="69">
        <f t="shared" si="77"/>
        <v>269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010D</v>
      </c>
      <c r="N864" s="69">
        <f t="shared" si="77"/>
        <v>269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010D</v>
      </c>
      <c r="N865" s="69">
        <f t="shared" si="77"/>
        <v>269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010D</v>
      </c>
      <c r="N866" s="69">
        <f t="shared" si="77"/>
        <v>269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010D</v>
      </c>
      <c r="N867" s="69">
        <f t="shared" si="77"/>
        <v>269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010D</v>
      </c>
      <c r="N868" s="69">
        <f t="shared" si="77"/>
        <v>269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010D</v>
      </c>
      <c r="N869" s="69">
        <f t="shared" si="77"/>
        <v>269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010D</v>
      </c>
      <c r="N870" s="69">
        <f t="shared" si="77"/>
        <v>269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010D</v>
      </c>
      <c r="N871" s="69">
        <f t="shared" si="77"/>
        <v>269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010D</v>
      </c>
      <c r="N872" s="69">
        <f t="shared" si="77"/>
        <v>269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010D</v>
      </c>
      <c r="N873" s="69">
        <f t="shared" si="77"/>
        <v>269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010D</v>
      </c>
      <c r="N874" s="69">
        <f t="shared" si="77"/>
        <v>269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010D</v>
      </c>
      <c r="N875" s="69">
        <f t="shared" si="77"/>
        <v>269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010D</v>
      </c>
      <c r="N876" s="69">
        <f t="shared" si="77"/>
        <v>269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010D</v>
      </c>
      <c r="N877" s="69">
        <f t="shared" si="77"/>
        <v>269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010D</v>
      </c>
      <c r="N878" s="69">
        <f t="shared" si="77"/>
        <v>269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010D</v>
      </c>
      <c r="N879" s="69">
        <f t="shared" si="77"/>
        <v>269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010D</v>
      </c>
      <c r="N880" s="69">
        <f t="shared" si="77"/>
        <v>269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010D</v>
      </c>
      <c r="N881" s="69">
        <f t="shared" si="77"/>
        <v>269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010D</v>
      </c>
      <c r="N882" s="69">
        <f t="shared" si="77"/>
        <v>269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010D</v>
      </c>
      <c r="N883" s="69">
        <f t="shared" si="77"/>
        <v>269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010D</v>
      </c>
      <c r="N884" s="69">
        <f t="shared" si="77"/>
        <v>269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010D</v>
      </c>
      <c r="N885" s="69">
        <f t="shared" si="77"/>
        <v>269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010D</v>
      </c>
      <c r="N886" s="69">
        <f t="shared" si="77"/>
        <v>269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010D</v>
      </c>
      <c r="N887" s="69">
        <f t="shared" si="77"/>
        <v>269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010D</v>
      </c>
      <c r="N888" s="69">
        <f t="shared" si="77"/>
        <v>269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010D</v>
      </c>
      <c r="N889" s="69">
        <f t="shared" si="77"/>
        <v>269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010D</v>
      </c>
      <c r="N890" s="69">
        <f t="shared" si="77"/>
        <v>269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010D</v>
      </c>
      <c r="N891" s="69">
        <f t="shared" si="77"/>
        <v>269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010D</v>
      </c>
      <c r="N892" s="69">
        <f t="shared" si="77"/>
        <v>269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010D</v>
      </c>
      <c r="N893" s="69">
        <f t="shared" si="77"/>
        <v>269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010D</v>
      </c>
      <c r="N894" s="69">
        <f t="shared" si="77"/>
        <v>269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010D</v>
      </c>
      <c r="N895" s="69">
        <f t="shared" si="77"/>
        <v>269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010D</v>
      </c>
      <c r="N896" s="69">
        <f t="shared" si="77"/>
        <v>269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010D</v>
      </c>
      <c r="N897" s="69">
        <f t="shared" si="77"/>
        <v>269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010D</v>
      </c>
      <c r="N898" s="69">
        <f t="shared" si="77"/>
        <v>269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010D</v>
      </c>
      <c r="N899" s="69">
        <f t="shared" si="77"/>
        <v>269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010D</v>
      </c>
      <c r="N900" s="69">
        <f t="shared" si="77"/>
        <v>269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010D</v>
      </c>
      <c r="N901" s="69">
        <f t="shared" si="77"/>
        <v>269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010D</v>
      </c>
      <c r="N902" s="69">
        <f t="shared" si="77"/>
        <v>269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010D</v>
      </c>
      <c r="N903" s="69">
        <f t="shared" si="77"/>
        <v>269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010D</v>
      </c>
      <c r="N904" s="69">
        <f t="shared" si="77"/>
        <v>269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010D</v>
      </c>
      <c r="N905" s="69">
        <f t="shared" si="77"/>
        <v>269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010D</v>
      </c>
      <c r="N906" s="69">
        <f t="shared" ref="N906:N969" si="81">N905+S905</f>
        <v>269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010D</v>
      </c>
      <c r="N907" s="69">
        <f t="shared" si="81"/>
        <v>269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010D</v>
      </c>
      <c r="N908" s="69">
        <f t="shared" si="81"/>
        <v>269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010D</v>
      </c>
      <c r="N909" s="69">
        <f t="shared" si="81"/>
        <v>269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010D</v>
      </c>
      <c r="N910" s="69">
        <f t="shared" si="81"/>
        <v>269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010D</v>
      </c>
      <c r="N911" s="69">
        <f t="shared" si="81"/>
        <v>269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010D</v>
      </c>
      <c r="N912" s="69">
        <f t="shared" si="81"/>
        <v>269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010D</v>
      </c>
      <c r="N913" s="69">
        <f t="shared" si="81"/>
        <v>269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010D</v>
      </c>
      <c r="N914" s="69">
        <f t="shared" si="81"/>
        <v>269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010D</v>
      </c>
      <c r="N915" s="69">
        <f t="shared" si="81"/>
        <v>269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010D</v>
      </c>
      <c r="N916" s="69">
        <f t="shared" si="81"/>
        <v>269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010D</v>
      </c>
      <c r="N917" s="69">
        <f t="shared" si="81"/>
        <v>269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010D</v>
      </c>
      <c r="N918" s="69">
        <f t="shared" si="81"/>
        <v>269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010D</v>
      </c>
      <c r="N919" s="69">
        <f t="shared" si="81"/>
        <v>269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010D</v>
      </c>
      <c r="N920" s="69">
        <f t="shared" si="81"/>
        <v>269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010D</v>
      </c>
      <c r="N921" s="69">
        <f t="shared" si="81"/>
        <v>269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010D</v>
      </c>
      <c r="N922" s="69">
        <f t="shared" si="81"/>
        <v>269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010D</v>
      </c>
      <c r="N923" s="69">
        <f t="shared" si="81"/>
        <v>269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010D</v>
      </c>
      <c r="N924" s="69">
        <f t="shared" si="81"/>
        <v>269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010D</v>
      </c>
      <c r="N925" s="69">
        <f t="shared" si="81"/>
        <v>269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010D</v>
      </c>
      <c r="N926" s="69">
        <f t="shared" si="81"/>
        <v>269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010D</v>
      </c>
      <c r="N927" s="69">
        <f t="shared" si="81"/>
        <v>269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010D</v>
      </c>
      <c r="N928" s="69">
        <f t="shared" si="81"/>
        <v>269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010D</v>
      </c>
      <c r="N929" s="69">
        <f t="shared" si="81"/>
        <v>269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010D</v>
      </c>
      <c r="N930" s="69">
        <f t="shared" si="81"/>
        <v>269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010D</v>
      </c>
      <c r="N931" s="69">
        <f t="shared" si="81"/>
        <v>269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010D</v>
      </c>
      <c r="N932" s="69">
        <f t="shared" si="81"/>
        <v>269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010D</v>
      </c>
      <c r="N933" s="69">
        <f t="shared" si="81"/>
        <v>269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010D</v>
      </c>
      <c r="N934" s="69">
        <f t="shared" si="81"/>
        <v>269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010D</v>
      </c>
      <c r="N935" s="69">
        <f t="shared" si="81"/>
        <v>269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010D</v>
      </c>
      <c r="N936" s="69">
        <f t="shared" si="81"/>
        <v>269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010D</v>
      </c>
      <c r="N937" s="69">
        <f t="shared" si="81"/>
        <v>269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010D</v>
      </c>
      <c r="N938" s="69">
        <f t="shared" si="81"/>
        <v>269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010D</v>
      </c>
      <c r="N939" s="69">
        <f t="shared" si="81"/>
        <v>269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010D</v>
      </c>
      <c r="N940" s="69">
        <f t="shared" si="81"/>
        <v>269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010D</v>
      </c>
      <c r="N941" s="69">
        <f t="shared" si="81"/>
        <v>269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010D</v>
      </c>
      <c r="N942" s="69">
        <f t="shared" si="81"/>
        <v>269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010D</v>
      </c>
      <c r="N943" s="69">
        <f t="shared" si="81"/>
        <v>269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010D</v>
      </c>
      <c r="N944" s="69">
        <f t="shared" si="81"/>
        <v>269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010D</v>
      </c>
      <c r="N945" s="69">
        <f t="shared" si="81"/>
        <v>269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010D</v>
      </c>
      <c r="N946" s="69">
        <f t="shared" si="81"/>
        <v>269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010D</v>
      </c>
      <c r="N947" s="69">
        <f t="shared" si="81"/>
        <v>269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010D</v>
      </c>
      <c r="N948" s="69">
        <f t="shared" si="81"/>
        <v>269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010D</v>
      </c>
      <c r="N949" s="69">
        <f t="shared" si="81"/>
        <v>269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010D</v>
      </c>
      <c r="N950" s="69">
        <f t="shared" si="81"/>
        <v>269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010D</v>
      </c>
      <c r="N951" s="69">
        <f t="shared" si="81"/>
        <v>269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010D</v>
      </c>
      <c r="N952" s="69">
        <f t="shared" si="81"/>
        <v>269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010D</v>
      </c>
      <c r="N953" s="69">
        <f t="shared" si="81"/>
        <v>269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010D</v>
      </c>
      <c r="N954" s="69">
        <f t="shared" si="81"/>
        <v>269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010D</v>
      </c>
      <c r="N955" s="69">
        <f t="shared" si="81"/>
        <v>269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010D</v>
      </c>
      <c r="N956" s="69">
        <f t="shared" si="81"/>
        <v>269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010D</v>
      </c>
      <c r="N957" s="69">
        <f t="shared" si="81"/>
        <v>269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010D</v>
      </c>
      <c r="N958" s="69">
        <f t="shared" si="81"/>
        <v>269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010D</v>
      </c>
      <c r="N959" s="69">
        <f t="shared" si="81"/>
        <v>269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010D</v>
      </c>
      <c r="N960" s="69">
        <f t="shared" si="81"/>
        <v>269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010D</v>
      </c>
      <c r="N961" s="69">
        <f t="shared" si="81"/>
        <v>269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010D</v>
      </c>
      <c r="N962" s="69">
        <f t="shared" si="81"/>
        <v>269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010D</v>
      </c>
      <c r="N963" s="69">
        <f t="shared" si="81"/>
        <v>269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010D</v>
      </c>
      <c r="N964" s="69">
        <f t="shared" si="81"/>
        <v>269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010D</v>
      </c>
      <c r="N965" s="69">
        <f t="shared" si="81"/>
        <v>269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010D</v>
      </c>
      <c r="N966" s="69">
        <f t="shared" si="81"/>
        <v>269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010D</v>
      </c>
      <c r="N967" s="69">
        <f t="shared" si="81"/>
        <v>269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010D</v>
      </c>
      <c r="N968" s="69">
        <f t="shared" si="81"/>
        <v>269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010D</v>
      </c>
      <c r="N969" s="69">
        <f t="shared" si="81"/>
        <v>269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010D</v>
      </c>
      <c r="N970" s="69">
        <f t="shared" ref="N970:N1033" si="85">N969+S969</f>
        <v>269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010D</v>
      </c>
      <c r="N971" s="69">
        <f t="shared" si="85"/>
        <v>269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010D</v>
      </c>
      <c r="N972" s="69">
        <f t="shared" si="85"/>
        <v>269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010D</v>
      </c>
      <c r="N973" s="69">
        <f t="shared" si="85"/>
        <v>269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010D</v>
      </c>
      <c r="N974" s="69">
        <f t="shared" si="85"/>
        <v>269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010D</v>
      </c>
      <c r="N975" s="69">
        <f t="shared" si="85"/>
        <v>269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010D</v>
      </c>
      <c r="N976" s="69">
        <f t="shared" si="85"/>
        <v>269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010D</v>
      </c>
      <c r="N977" s="69">
        <f t="shared" si="85"/>
        <v>269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010D</v>
      </c>
      <c r="N978" s="69">
        <f t="shared" si="85"/>
        <v>269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010D</v>
      </c>
      <c r="N979" s="69">
        <f t="shared" si="85"/>
        <v>269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010D</v>
      </c>
      <c r="N980" s="69">
        <f t="shared" si="85"/>
        <v>269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010D</v>
      </c>
      <c r="N981" s="69">
        <f t="shared" si="85"/>
        <v>269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010D</v>
      </c>
      <c r="N982" s="69">
        <f t="shared" si="85"/>
        <v>269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010D</v>
      </c>
      <c r="N983" s="69">
        <f t="shared" si="85"/>
        <v>269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010D</v>
      </c>
      <c r="N984" s="69">
        <f t="shared" si="85"/>
        <v>269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010D</v>
      </c>
      <c r="N985" s="69">
        <f t="shared" si="85"/>
        <v>269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010D</v>
      </c>
      <c r="N986" s="69">
        <f t="shared" si="85"/>
        <v>269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010D</v>
      </c>
      <c r="N987" s="69">
        <f t="shared" si="85"/>
        <v>269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010D</v>
      </c>
      <c r="N988" s="69">
        <f t="shared" si="85"/>
        <v>269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010D</v>
      </c>
      <c r="N989" s="69">
        <f t="shared" si="85"/>
        <v>269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010D</v>
      </c>
      <c r="N990" s="69">
        <f t="shared" si="85"/>
        <v>269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010D</v>
      </c>
      <c r="N991" s="69">
        <f t="shared" si="85"/>
        <v>269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010D</v>
      </c>
      <c r="N992" s="69">
        <f t="shared" si="85"/>
        <v>269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010D</v>
      </c>
      <c r="N993" s="69">
        <f t="shared" si="85"/>
        <v>269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010D</v>
      </c>
      <c r="N994" s="69">
        <f t="shared" si="85"/>
        <v>269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010D</v>
      </c>
      <c r="N995" s="69">
        <f t="shared" si="85"/>
        <v>269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010D</v>
      </c>
      <c r="N996" s="69">
        <f t="shared" si="85"/>
        <v>269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010D</v>
      </c>
      <c r="N997" s="69">
        <f t="shared" si="85"/>
        <v>269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010D</v>
      </c>
      <c r="N998" s="69">
        <f t="shared" si="85"/>
        <v>269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010D</v>
      </c>
      <c r="N999" s="69">
        <f t="shared" si="85"/>
        <v>269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010D</v>
      </c>
      <c r="N1000" s="69">
        <f t="shared" si="85"/>
        <v>269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010D</v>
      </c>
      <c r="N1001" s="69">
        <f t="shared" si="85"/>
        <v>269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010D</v>
      </c>
      <c r="N1002" s="69">
        <f t="shared" si="85"/>
        <v>269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010D</v>
      </c>
      <c r="N1003" s="69">
        <f t="shared" si="85"/>
        <v>269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010D</v>
      </c>
      <c r="N1004" s="69">
        <f t="shared" si="85"/>
        <v>269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010D</v>
      </c>
      <c r="N1005" s="69">
        <f t="shared" si="85"/>
        <v>269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010D</v>
      </c>
      <c r="N1006" s="69">
        <f t="shared" si="85"/>
        <v>269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010D</v>
      </c>
      <c r="N1007" s="69">
        <f t="shared" si="85"/>
        <v>269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010D</v>
      </c>
      <c r="N1008" s="69">
        <f t="shared" si="85"/>
        <v>269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010D</v>
      </c>
      <c r="N1009" s="69">
        <f t="shared" si="85"/>
        <v>269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010D</v>
      </c>
      <c r="N1010" s="69">
        <f t="shared" si="85"/>
        <v>269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010D</v>
      </c>
      <c r="N1011" s="69">
        <f t="shared" si="85"/>
        <v>269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010D</v>
      </c>
      <c r="N1012" s="69">
        <f t="shared" si="85"/>
        <v>269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010D</v>
      </c>
      <c r="N1013" s="69">
        <f t="shared" si="85"/>
        <v>269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010D</v>
      </c>
      <c r="N1014" s="69">
        <f t="shared" si="85"/>
        <v>269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010D</v>
      </c>
      <c r="N1015" s="69">
        <f t="shared" si="85"/>
        <v>269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010D</v>
      </c>
      <c r="N1016" s="69">
        <f t="shared" si="85"/>
        <v>269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010D</v>
      </c>
      <c r="N1017" s="69">
        <f t="shared" si="85"/>
        <v>269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010D</v>
      </c>
      <c r="N1018" s="69">
        <f t="shared" si="85"/>
        <v>269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010D</v>
      </c>
      <c r="N1019" s="69">
        <f t="shared" si="85"/>
        <v>269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010D</v>
      </c>
      <c r="N1020" s="69">
        <f t="shared" si="85"/>
        <v>269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010D</v>
      </c>
      <c r="N1021" s="69">
        <f t="shared" si="85"/>
        <v>269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010D</v>
      </c>
      <c r="N1022" s="69">
        <f t="shared" si="85"/>
        <v>269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010D</v>
      </c>
      <c r="N1023" s="69">
        <f t="shared" si="85"/>
        <v>269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010D</v>
      </c>
      <c r="N1024" s="69">
        <f t="shared" si="85"/>
        <v>269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010D</v>
      </c>
      <c r="N1025" s="69">
        <f t="shared" si="85"/>
        <v>269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010D</v>
      </c>
      <c r="N1026" s="69">
        <f t="shared" si="85"/>
        <v>269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010D</v>
      </c>
      <c r="N1027" s="69">
        <f t="shared" si="85"/>
        <v>269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010D</v>
      </c>
      <c r="N1028" s="69">
        <f t="shared" si="85"/>
        <v>269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010D</v>
      </c>
      <c r="N1029" s="69">
        <f t="shared" si="85"/>
        <v>269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010D</v>
      </c>
      <c r="N1030" s="69">
        <f t="shared" si="85"/>
        <v>269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010D</v>
      </c>
      <c r="N1031" s="69">
        <f t="shared" si="85"/>
        <v>269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010D</v>
      </c>
      <c r="N1032" s="69">
        <f t="shared" si="85"/>
        <v>269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010D</v>
      </c>
      <c r="N1033" s="69">
        <f t="shared" si="85"/>
        <v>269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010D</v>
      </c>
      <c r="N1034" s="69">
        <f t="shared" ref="N1034:N1070" si="88">N1033+S1033</f>
        <v>269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010D</v>
      </c>
      <c r="N1035" s="69">
        <f t="shared" si="88"/>
        <v>269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010D</v>
      </c>
      <c r="N1036" s="69">
        <f t="shared" si="88"/>
        <v>269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010D</v>
      </c>
      <c r="N1037" s="69">
        <f t="shared" si="88"/>
        <v>269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010D</v>
      </c>
      <c r="N1038" s="69">
        <f t="shared" si="88"/>
        <v>269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010D</v>
      </c>
      <c r="N1039" s="69">
        <f t="shared" si="88"/>
        <v>269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010D</v>
      </c>
      <c r="N1040" s="69">
        <f t="shared" si="88"/>
        <v>269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010D</v>
      </c>
      <c r="N1041" s="69">
        <f t="shared" si="88"/>
        <v>269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010D</v>
      </c>
      <c r="N1042" s="69">
        <f t="shared" si="88"/>
        <v>269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010D</v>
      </c>
      <c r="N1043" s="69">
        <f t="shared" si="88"/>
        <v>269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010D</v>
      </c>
      <c r="N1044" s="69">
        <f t="shared" si="88"/>
        <v>269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010D</v>
      </c>
      <c r="N1045" s="69">
        <f t="shared" si="88"/>
        <v>269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010D</v>
      </c>
      <c r="N1046" s="69">
        <f t="shared" si="88"/>
        <v>269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010D</v>
      </c>
      <c r="N1047" s="69">
        <f t="shared" si="88"/>
        <v>269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010D</v>
      </c>
      <c r="N1048" s="69">
        <f t="shared" si="88"/>
        <v>269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010D</v>
      </c>
      <c r="N1049" s="69">
        <f t="shared" si="88"/>
        <v>269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010D</v>
      </c>
      <c r="N1050" s="69">
        <f t="shared" si="88"/>
        <v>269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010D</v>
      </c>
      <c r="N1051" s="69">
        <f t="shared" si="88"/>
        <v>269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010D</v>
      </c>
      <c r="N1052" s="69">
        <f t="shared" si="88"/>
        <v>269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010D</v>
      </c>
      <c r="N1053" s="69">
        <f t="shared" si="88"/>
        <v>269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010D</v>
      </c>
      <c r="N1054" s="69">
        <f t="shared" si="88"/>
        <v>269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010D</v>
      </c>
      <c r="N1055" s="69">
        <f t="shared" si="88"/>
        <v>269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010D</v>
      </c>
      <c r="N1056" s="69">
        <f t="shared" si="88"/>
        <v>269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010D</v>
      </c>
      <c r="N1057" s="69">
        <f t="shared" si="88"/>
        <v>269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010D</v>
      </c>
      <c r="N1058" s="69">
        <f t="shared" si="88"/>
        <v>269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010D</v>
      </c>
      <c r="N1059" s="69">
        <f t="shared" si="88"/>
        <v>269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010D</v>
      </c>
      <c r="N1060" s="69">
        <f t="shared" si="88"/>
        <v>269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010D</v>
      </c>
      <c r="N1061" s="69">
        <f t="shared" si="88"/>
        <v>269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010D</v>
      </c>
      <c r="N1062" s="69">
        <f t="shared" si="88"/>
        <v>269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010D</v>
      </c>
      <c r="N1063" s="69">
        <f t="shared" si="88"/>
        <v>269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010D</v>
      </c>
      <c r="N1064" s="69">
        <f t="shared" si="88"/>
        <v>269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010D</v>
      </c>
      <c r="N1065" s="69">
        <f t="shared" si="88"/>
        <v>269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010D</v>
      </c>
      <c r="N1066" s="69">
        <f t="shared" si="88"/>
        <v>269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010D</v>
      </c>
      <c r="N1067" s="69">
        <f t="shared" si="88"/>
        <v>269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010D</v>
      </c>
      <c r="N1068" s="69">
        <f t="shared" si="88"/>
        <v>269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010D</v>
      </c>
      <c r="N1069" s="69">
        <f t="shared" si="88"/>
        <v>269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010D</v>
      </c>
      <c r="N1070" s="136">
        <f t="shared" si="88"/>
        <v>269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506" priority="29" operator="equal">
      <formula>0</formula>
    </cfRule>
    <cfRule type="cellIs" dxfId="505" priority="30" operator="greaterThan">
      <formula>0</formula>
    </cfRule>
  </conditionalFormatting>
  <conditionalFormatting sqref="F1:W1">
    <cfRule type="containsText" dxfId="504" priority="20" operator="containsText" text="Halted">
      <formula>NOT(ISERROR(SEARCH("Halted",F1)))</formula>
    </cfRule>
    <cfRule type="containsText" dxfId="503" priority="27" operator="containsText" text="Error">
      <formula>NOT(ISERROR(SEARCH("Error",F1)))</formula>
    </cfRule>
    <cfRule type="expression" dxfId="502" priority="28">
      <formula>$F$1&lt;&gt;""</formula>
    </cfRule>
  </conditionalFormatting>
  <conditionalFormatting sqref="P41:R1070">
    <cfRule type="expression" dxfId="501" priority="52">
      <formula>$N41=$E$13</formula>
    </cfRule>
  </conditionalFormatting>
  <conditionalFormatting sqref="M7:T7 M8:N1070 M40:O40 M41:R1070">
    <cfRule type="containsText" dxfId="500" priority="8" operator="containsText" text=" ">
      <formula>NOT(ISERROR(SEARCH(" ",M7)))</formula>
    </cfRule>
  </conditionalFormatting>
  <conditionalFormatting sqref="AL5:AM5">
    <cfRule type="cellIs" dxfId="499" priority="6" operator="equal">
      <formula>0</formula>
    </cfRule>
    <cfRule type="cellIs" dxfId="498" priority="7" operator="equal">
      <formula>1</formula>
    </cfRule>
  </conditionalFormatting>
  <conditionalFormatting sqref="H18:H22">
    <cfRule type="cellIs" dxfId="497" priority="4" operator="equal">
      <formula>0</formula>
    </cfRule>
    <cfRule type="cellIs" dxfId="496" priority="5" operator="equal">
      <formula>1</formula>
    </cfRule>
  </conditionalFormatting>
  <conditionalFormatting sqref="K7:T7 K8:N39 K40:O40 K41:R1070">
    <cfRule type="expression" dxfId="495" priority="3">
      <formula>$E$13=$N7</formula>
    </cfRule>
  </conditionalFormatting>
  <conditionalFormatting sqref="AD5:AK5">
    <cfRule type="cellIs" dxfId="494" priority="1" operator="equal">
      <formula>0</formula>
    </cfRule>
    <cfRule type="cellIs" dxfId="493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3</xdr:col>
                    <xdr:colOff>123825</xdr:colOff>
                    <xdr:row>14</xdr:row>
                    <xdr:rowOff>190500</xdr:rowOff>
                  </from>
                  <to>
                    <xdr:col>5</xdr:col>
                    <xdr:colOff>152400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9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4" customWidth="1"/>
    <col min="3" max="3" width="8.7109375" customWidth="1"/>
    <col min="4" max="5" width="10.7109375" customWidth="1"/>
    <col min="6" max="13" width="4.7109375" style="174" customWidth="1"/>
    <col min="14" max="19" width="4.7109375" customWidth="1"/>
    <col min="20" max="20" width="8.7109375" style="174" customWidth="1"/>
    <col min="21" max="22" width="10.7109375" style="174" customWidth="1"/>
    <col min="23" max="23" width="28.7109375" style="174" customWidth="1"/>
  </cols>
  <sheetData>
    <row r="1" spans="1:23" s="42" customFormat="1">
      <c r="A1" s="42" t="s">
        <v>133</v>
      </c>
      <c r="B1" s="173" t="s">
        <v>112</v>
      </c>
      <c r="C1" s="42" t="s">
        <v>1135</v>
      </c>
      <c r="D1" s="42" t="s">
        <v>129</v>
      </c>
      <c r="E1" s="42" t="s">
        <v>130</v>
      </c>
      <c r="F1" s="173" t="s">
        <v>153</v>
      </c>
      <c r="G1" s="173" t="s">
        <v>151</v>
      </c>
      <c r="H1" s="173" t="s">
        <v>189</v>
      </c>
      <c r="I1" s="173" t="s">
        <v>190</v>
      </c>
      <c r="J1" s="173" t="s">
        <v>272</v>
      </c>
      <c r="K1" s="173" t="s">
        <v>310</v>
      </c>
      <c r="L1" s="173" t="s">
        <v>334</v>
      </c>
      <c r="M1" s="173" t="s">
        <v>114</v>
      </c>
      <c r="N1" s="42" t="s">
        <v>229</v>
      </c>
      <c r="O1" s="42" t="s">
        <v>226</v>
      </c>
      <c r="P1" s="42" t="s">
        <v>231</v>
      </c>
      <c r="Q1" s="42" t="s">
        <v>235</v>
      </c>
      <c r="R1" s="42" t="s">
        <v>128</v>
      </c>
      <c r="S1" s="42" t="s">
        <v>1136</v>
      </c>
      <c r="T1" s="173" t="s">
        <v>1139</v>
      </c>
      <c r="U1" s="173" t="s">
        <v>1140</v>
      </c>
      <c r="V1" s="173" t="s">
        <v>1141</v>
      </c>
      <c r="W1" s="173" t="s">
        <v>1142</v>
      </c>
    </row>
    <row r="2" spans="1:23">
      <c r="A2">
        <v>1</v>
      </c>
      <c r="B2" s="174" t="s">
        <v>1044</v>
      </c>
      <c r="C2" t="s">
        <v>296</v>
      </c>
      <c r="D2" t="s">
        <v>310</v>
      </c>
      <c r="E2">
        <v>120</v>
      </c>
      <c r="F2" s="174" t="s">
        <v>222</v>
      </c>
      <c r="G2" s="174" t="s">
        <v>222</v>
      </c>
      <c r="H2" s="174" t="s">
        <v>222</v>
      </c>
      <c r="I2" s="174" t="s">
        <v>222</v>
      </c>
      <c r="J2" s="174" t="s">
        <v>222</v>
      </c>
      <c r="K2" s="174" t="s">
        <v>302</v>
      </c>
      <c r="L2" s="174" t="s">
        <v>900</v>
      </c>
      <c r="M2" s="174" t="s">
        <v>1146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4" t="s">
        <v>266</v>
      </c>
      <c r="U2" s="174" t="s">
        <v>266</v>
      </c>
      <c r="V2" s="174" t="s">
        <v>266</v>
      </c>
      <c r="W2" s="174" t="s">
        <v>266</v>
      </c>
    </row>
    <row r="3" spans="1:23">
      <c r="A3">
        <v>2</v>
      </c>
      <c r="B3" s="174" t="s">
        <v>1137</v>
      </c>
      <c r="C3" t="s">
        <v>148</v>
      </c>
      <c r="D3" t="s">
        <v>153</v>
      </c>
      <c r="E3">
        <v>5</v>
      </c>
      <c r="F3" s="174" t="s">
        <v>890</v>
      </c>
      <c r="G3" s="174" t="s">
        <v>222</v>
      </c>
      <c r="H3" s="174" t="s">
        <v>222</v>
      </c>
      <c r="I3" s="174" t="s">
        <v>222</v>
      </c>
      <c r="J3" s="174" t="s">
        <v>222</v>
      </c>
      <c r="K3" s="174" t="s">
        <v>302</v>
      </c>
      <c r="L3" s="174" t="s">
        <v>900</v>
      </c>
      <c r="M3" s="174" t="s">
        <v>1146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4" t="s">
        <v>266</v>
      </c>
      <c r="U3" s="174" t="s">
        <v>266</v>
      </c>
      <c r="V3" s="174" t="s">
        <v>266</v>
      </c>
      <c r="W3" s="174" t="s">
        <v>266</v>
      </c>
    </row>
    <row r="4" spans="1:23">
      <c r="A4">
        <v>3</v>
      </c>
      <c r="B4" s="174" t="s">
        <v>1150</v>
      </c>
      <c r="C4" t="s">
        <v>188</v>
      </c>
      <c r="D4" t="s">
        <v>587</v>
      </c>
      <c r="E4" t="s">
        <v>153</v>
      </c>
      <c r="F4" s="174" t="s">
        <v>890</v>
      </c>
      <c r="G4" s="174" t="s">
        <v>222</v>
      </c>
      <c r="H4" s="174" t="s">
        <v>222</v>
      </c>
      <c r="I4" s="174" t="s">
        <v>222</v>
      </c>
      <c r="J4" s="174" t="s">
        <v>222</v>
      </c>
      <c r="K4" s="174" t="s">
        <v>302</v>
      </c>
      <c r="L4" s="174" t="s">
        <v>900</v>
      </c>
      <c r="M4" s="174" t="s">
        <v>1146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4" t="s">
        <v>1103</v>
      </c>
      <c r="U4" s="174" t="s">
        <v>222</v>
      </c>
      <c r="V4" s="174" t="s">
        <v>890</v>
      </c>
      <c r="W4" s="174" t="s">
        <v>266</v>
      </c>
    </row>
    <row r="5" spans="1:23">
      <c r="A5">
        <v>4</v>
      </c>
      <c r="B5" s="174" t="s">
        <v>1143</v>
      </c>
      <c r="C5" t="s">
        <v>148</v>
      </c>
      <c r="D5" t="s">
        <v>153</v>
      </c>
      <c r="E5">
        <v>0</v>
      </c>
      <c r="F5" s="174" t="s">
        <v>222</v>
      </c>
      <c r="G5" s="174" t="s">
        <v>222</v>
      </c>
      <c r="H5" s="174" t="s">
        <v>222</v>
      </c>
      <c r="I5" s="174" t="s">
        <v>222</v>
      </c>
      <c r="J5" s="174" t="s">
        <v>222</v>
      </c>
      <c r="K5" s="174" t="s">
        <v>302</v>
      </c>
      <c r="L5" s="174" t="s">
        <v>900</v>
      </c>
      <c r="M5" s="174" t="s">
        <v>1146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4" t="s">
        <v>266</v>
      </c>
      <c r="U5" s="174" t="s">
        <v>266</v>
      </c>
      <c r="V5" s="174" t="s">
        <v>266</v>
      </c>
      <c r="W5" s="174" t="s">
        <v>266</v>
      </c>
    </row>
    <row r="6" spans="1:23">
      <c r="A6">
        <v>5</v>
      </c>
      <c r="B6" s="174" t="s">
        <v>1149</v>
      </c>
      <c r="C6" t="s">
        <v>188</v>
      </c>
      <c r="D6" t="s">
        <v>153</v>
      </c>
      <c r="E6" t="s">
        <v>587</v>
      </c>
      <c r="F6" s="174" t="s">
        <v>890</v>
      </c>
      <c r="G6" s="174" t="s">
        <v>222</v>
      </c>
      <c r="H6" s="174" t="s">
        <v>222</v>
      </c>
      <c r="I6" s="174" t="s">
        <v>222</v>
      </c>
      <c r="J6" s="174" t="s">
        <v>222</v>
      </c>
      <c r="K6" s="174" t="s">
        <v>302</v>
      </c>
      <c r="L6" s="174" t="s">
        <v>900</v>
      </c>
      <c r="M6" s="174" t="s">
        <v>1146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s="174" t="s">
        <v>1103</v>
      </c>
      <c r="U6" s="174" t="s">
        <v>890</v>
      </c>
      <c r="V6" s="174" t="s">
        <v>266</v>
      </c>
      <c r="W6" s="174" t="s">
        <v>1152</v>
      </c>
    </row>
    <row r="7" spans="1:23">
      <c r="A7">
        <v>6</v>
      </c>
      <c r="B7" s="174" t="s">
        <v>1147</v>
      </c>
      <c r="C7" t="s">
        <v>148</v>
      </c>
      <c r="D7" t="s">
        <v>153</v>
      </c>
      <c r="E7">
        <v>9</v>
      </c>
      <c r="F7" s="174" t="s">
        <v>467</v>
      </c>
      <c r="G7" s="174" t="s">
        <v>222</v>
      </c>
      <c r="H7" s="174" t="s">
        <v>222</v>
      </c>
      <c r="I7" s="174" t="s">
        <v>222</v>
      </c>
      <c r="J7" s="174" t="s">
        <v>222</v>
      </c>
      <c r="K7" s="174" t="s">
        <v>302</v>
      </c>
      <c r="L7" s="174" t="s">
        <v>900</v>
      </c>
      <c r="M7" s="174" t="s">
        <v>1146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 s="174" t="s">
        <v>266</v>
      </c>
      <c r="U7" s="174" t="s">
        <v>266</v>
      </c>
      <c r="V7" s="174" t="s">
        <v>266</v>
      </c>
      <c r="W7" s="174" t="s">
        <v>266</v>
      </c>
    </row>
    <row r="8" spans="1:23">
      <c r="A8">
        <v>7</v>
      </c>
      <c r="B8" s="174" t="s">
        <v>1144</v>
      </c>
      <c r="C8" t="s">
        <v>399</v>
      </c>
      <c r="D8" t="s">
        <v>587</v>
      </c>
      <c r="F8" s="174" t="s">
        <v>454</v>
      </c>
      <c r="G8" s="174" t="s">
        <v>222</v>
      </c>
      <c r="H8" s="174" t="s">
        <v>222</v>
      </c>
      <c r="I8" s="174" t="s">
        <v>222</v>
      </c>
      <c r="J8" s="174" t="s">
        <v>222</v>
      </c>
      <c r="K8" s="174" t="s">
        <v>302</v>
      </c>
      <c r="L8" s="174" t="s">
        <v>900</v>
      </c>
      <c r="M8" s="174" t="s">
        <v>1146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s="174" t="s">
        <v>1103</v>
      </c>
      <c r="U8" s="174" t="s">
        <v>890</v>
      </c>
      <c r="V8" s="174" t="s">
        <v>266</v>
      </c>
      <c r="W8" s="174" t="s">
        <v>1152</v>
      </c>
    </row>
    <row r="9" spans="1:23">
      <c r="A9">
        <v>8</v>
      </c>
      <c r="B9" s="174" t="s">
        <v>1148</v>
      </c>
      <c r="C9" t="s">
        <v>191</v>
      </c>
      <c r="F9" s="174" t="s">
        <v>454</v>
      </c>
      <c r="G9" s="174" t="s">
        <v>222</v>
      </c>
      <c r="H9" s="174" t="s">
        <v>222</v>
      </c>
      <c r="I9" s="174" t="s">
        <v>222</v>
      </c>
      <c r="J9" s="174" t="s">
        <v>222</v>
      </c>
      <c r="K9" s="174" t="s">
        <v>302</v>
      </c>
      <c r="L9" s="174" t="s">
        <v>900</v>
      </c>
      <c r="M9" s="174" t="s">
        <v>1146</v>
      </c>
      <c r="N9">
        <v>0</v>
      </c>
      <c r="O9">
        <v>0</v>
      </c>
      <c r="P9">
        <v>0</v>
      </c>
      <c r="Q9">
        <v>0</v>
      </c>
      <c r="R9">
        <v>0</v>
      </c>
      <c r="S9">
        <v>-200</v>
      </c>
      <c r="T9" s="174" t="s">
        <v>266</v>
      </c>
      <c r="U9" s="174" t="s">
        <v>266</v>
      </c>
      <c r="V9" s="174" t="s">
        <v>266</v>
      </c>
      <c r="W9" s="174" t="s">
        <v>266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63" activePane="bottomRight" state="frozen"/>
      <selection pane="topRight" activeCell="B1" sqref="B1"/>
      <selection pane="bottomLeft" activeCell="A5" sqref="A5"/>
      <selection pane="bottomRight" activeCell="D565" sqref="D565:G57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8">
        <v>0</v>
      </c>
      <c r="AA1" s="158">
        <v>1</v>
      </c>
      <c r="AB1" s="158">
        <v>0</v>
      </c>
      <c r="AC1" s="158">
        <v>1</v>
      </c>
      <c r="AD1" s="158">
        <v>0</v>
      </c>
      <c r="AE1" s="158">
        <v>1</v>
      </c>
      <c r="AF1" s="159">
        <v>0</v>
      </c>
    </row>
    <row r="2" spans="1:32" ht="15.75" thickBot="1">
      <c r="B2" s="55" t="str">
        <f>CPU!C6</f>
        <v>0E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20</v>
      </c>
      <c r="I2" s="55" t="str">
        <f>PC</f>
        <v>010C</v>
      </c>
      <c r="J2" s="55" t="str">
        <f>SP</f>
        <v>0200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1</v>
      </c>
      <c r="Z3" s="134">
        <v>0</v>
      </c>
      <c r="AA3" s="134">
        <v>1</v>
      </c>
      <c r="AB3" s="134">
        <v>0</v>
      </c>
      <c r="AC3" s="134">
        <v>1</v>
      </c>
      <c r="AD3" s="134">
        <v>0</v>
      </c>
      <c r="AE3" s="134">
        <v>1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78" t="s">
        <v>337</v>
      </c>
      <c r="V5" s="179"/>
      <c r="W5" s="179"/>
      <c r="X5" s="179"/>
      <c r="Y5" s="179"/>
      <c r="Z5" s="179"/>
      <c r="AA5" s="179"/>
      <c r="AB5" s="180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81"/>
      <c r="V6" s="181"/>
      <c r="W6" s="181"/>
      <c r="X6" s="181"/>
      <c r="Y6" s="181"/>
      <c r="Z6" s="181"/>
      <c r="AA6" s="181"/>
      <c r="AB6" s="18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82"/>
      <c r="V7" s="182"/>
      <c r="W7" s="182"/>
      <c r="X7" s="182"/>
      <c r="Y7" s="182"/>
      <c r="Z7" s="182"/>
      <c r="AA7" s="182"/>
      <c r="AB7" s="18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82"/>
      <c r="V8" s="182"/>
      <c r="W8" s="182"/>
      <c r="X8" s="182"/>
      <c r="Y8" s="182"/>
      <c r="Z8" s="182"/>
      <c r="AA8" s="182"/>
      <c r="AB8" s="18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82"/>
      <c r="V9" s="182"/>
      <c r="W9" s="182"/>
      <c r="X9" s="182"/>
      <c r="Y9" s="182"/>
      <c r="Z9" s="182"/>
      <c r="AA9" s="182"/>
      <c r="AB9" s="182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82"/>
      <c r="V10" s="182"/>
      <c r="W10" s="182"/>
      <c r="X10" s="182"/>
      <c r="Y10" s="182"/>
      <c r="Z10" s="182"/>
      <c r="AA10" s="182"/>
      <c r="AB10" s="182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82"/>
      <c r="V11" s="182"/>
      <c r="W11" s="182"/>
      <c r="X11" s="182"/>
      <c r="Y11" s="182"/>
      <c r="Z11" s="182"/>
      <c r="AA11" s="182"/>
      <c r="AB11" s="182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82"/>
      <c r="V12" s="182"/>
      <c r="W12" s="182"/>
      <c r="X12" s="182"/>
      <c r="Y12" s="182"/>
      <c r="Z12" s="182"/>
      <c r="AA12" s="182"/>
      <c r="AB12" s="182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82"/>
      <c r="V13" s="182"/>
      <c r="W13" s="182"/>
      <c r="X13" s="182"/>
      <c r="Y13" s="182"/>
      <c r="Z13" s="182"/>
      <c r="AA13" s="182"/>
      <c r="AB13" s="182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82"/>
      <c r="V14" s="182"/>
      <c r="W14" s="182"/>
      <c r="X14" s="182"/>
      <c r="Y14" s="182"/>
      <c r="Z14" s="182"/>
      <c r="AA14" s="182"/>
      <c r="AB14" s="182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82"/>
      <c r="V15" s="182"/>
      <c r="W15" s="182"/>
      <c r="X15" s="182"/>
      <c r="Y15" s="182"/>
      <c r="Z15" s="182"/>
      <c r="AA15" s="182"/>
      <c r="AB15" s="182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82"/>
      <c r="V16" s="182"/>
      <c r="W16" s="182"/>
      <c r="X16" s="182"/>
      <c r="Y16" s="182"/>
      <c r="Z16" s="182"/>
      <c r="AA16" s="182"/>
      <c r="AB16" s="18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82"/>
      <c r="V17" s="182"/>
      <c r="W17" s="182"/>
      <c r="X17" s="182"/>
      <c r="Y17" s="182"/>
      <c r="Z17" s="182"/>
      <c r="AA17" s="182"/>
      <c r="AB17" s="18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82"/>
      <c r="V18" s="182"/>
      <c r="W18" s="182"/>
      <c r="X18" s="182"/>
      <c r="Y18" s="182"/>
      <c r="Z18" s="182"/>
      <c r="AA18" s="182"/>
      <c r="AB18" s="18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82"/>
      <c r="V19" s="182"/>
      <c r="W19" s="182"/>
      <c r="X19" s="182"/>
      <c r="Y19" s="182"/>
      <c r="Z19" s="182"/>
      <c r="AA19" s="182"/>
      <c r="AB19" s="18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82"/>
      <c r="V20" s="182"/>
      <c r="W20" s="182"/>
      <c r="X20" s="182"/>
      <c r="Y20" s="182"/>
      <c r="Z20" s="182"/>
      <c r="AA20" s="182"/>
      <c r="AB20" s="18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82"/>
      <c r="V21" s="182"/>
      <c r="W21" s="182"/>
      <c r="X21" s="182"/>
      <c r="Y21" s="182"/>
      <c r="Z21" s="182"/>
      <c r="AA21" s="182"/>
      <c r="AB21" s="18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82"/>
      <c r="V22" s="182"/>
      <c r="W22" s="182"/>
      <c r="X22" s="182"/>
      <c r="Y22" s="182"/>
      <c r="Z22" s="182"/>
      <c r="AA22" s="182"/>
      <c r="AB22" s="18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82"/>
      <c r="V23" s="182"/>
      <c r="W23" s="182"/>
      <c r="X23" s="182"/>
      <c r="Y23" s="182"/>
      <c r="Z23" s="182"/>
      <c r="AA23" s="182"/>
      <c r="AB23" s="18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82"/>
      <c r="V24" s="182"/>
      <c r="W24" s="182"/>
      <c r="X24" s="182"/>
      <c r="Y24" s="182"/>
      <c r="Z24" s="182"/>
      <c r="AA24" s="182"/>
      <c r="AB24" s="18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82"/>
      <c r="V25" s="182"/>
      <c r="W25" s="182"/>
      <c r="X25" s="182"/>
      <c r="Y25" s="182"/>
      <c r="Z25" s="182"/>
      <c r="AA25" s="182"/>
      <c r="AB25" s="182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82"/>
      <c r="V26" s="182"/>
      <c r="W26" s="182"/>
      <c r="X26" s="182"/>
      <c r="Y26" s="182"/>
      <c r="Z26" s="182"/>
      <c r="AA26" s="182"/>
      <c r="AB26" s="18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82"/>
      <c r="V27" s="182"/>
      <c r="W27" s="182"/>
      <c r="X27" s="182"/>
      <c r="Y27" s="182"/>
      <c r="Z27" s="182"/>
      <c r="AA27" s="182"/>
      <c r="AB27" s="182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82"/>
      <c r="V28" s="182"/>
      <c r="W28" s="182"/>
      <c r="X28" s="182"/>
      <c r="Y28" s="182"/>
      <c r="Z28" s="182"/>
      <c r="AA28" s="182"/>
      <c r="AB28" s="182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82"/>
      <c r="V29" s="182"/>
      <c r="W29" s="182"/>
      <c r="X29" s="182"/>
      <c r="Y29" s="182"/>
      <c r="Z29" s="182"/>
      <c r="AA29" s="182"/>
      <c r="AB29" s="182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82"/>
      <c r="V30" s="182"/>
      <c r="W30" s="182"/>
      <c r="X30" s="182"/>
      <c r="Y30" s="182"/>
      <c r="Z30" s="182"/>
      <c r="AA30" s="182"/>
      <c r="AB30" s="18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82"/>
      <c r="V31" s="182"/>
      <c r="W31" s="182"/>
      <c r="X31" s="182"/>
      <c r="Y31" s="182"/>
      <c r="Z31" s="182"/>
      <c r="AA31" s="182"/>
      <c r="AB31" s="18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82"/>
      <c r="V32" s="182"/>
      <c r="W32" s="182"/>
      <c r="X32" s="182"/>
      <c r="Y32" s="182"/>
      <c r="Z32" s="182"/>
      <c r="AA32" s="182"/>
      <c r="AB32" s="18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82"/>
      <c r="V33" s="182"/>
      <c r="W33" s="182"/>
      <c r="X33" s="182"/>
      <c r="Y33" s="182"/>
      <c r="Z33" s="182"/>
      <c r="AA33" s="182"/>
      <c r="AB33" s="182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82"/>
      <c r="V34" s="182"/>
      <c r="W34" s="182"/>
      <c r="X34" s="182"/>
      <c r="Y34" s="182"/>
      <c r="Z34" s="182"/>
      <c r="AA34" s="182"/>
      <c r="AB34" s="18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82"/>
      <c r="V35" s="182"/>
      <c r="W35" s="182"/>
      <c r="X35" s="182"/>
      <c r="Y35" s="182"/>
      <c r="Z35" s="182"/>
      <c r="AA35" s="182"/>
      <c r="AB35" s="18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450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1085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 t="shared" si="24"/>
        <v/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 t="shared" si="24"/>
        <v/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 t="shared" si="24"/>
        <v/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 t="shared" si="24"/>
        <v/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 t="shared" si="24"/>
        <v/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0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1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0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1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IFERROR(IF(AND(J546:J562),0,1),0)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7" t="s">
        <v>143</v>
      </c>
      <c r="C564" s="167" t="s">
        <v>144</v>
      </c>
      <c r="D564" s="168" t="s">
        <v>131</v>
      </c>
      <c r="E564" s="46" t="s">
        <v>149</v>
      </c>
      <c r="F564" s="168" t="s">
        <v>129</v>
      </c>
      <c r="G564" s="168" t="s">
        <v>130</v>
      </c>
      <c r="H564" s="168" t="s">
        <v>252</v>
      </c>
      <c r="I564" s="163" t="s">
        <v>212</v>
      </c>
      <c r="J564" s="158">
        <f ca="1">IFERROR(IF(AND(J565:J573),0,1),0)</f>
        <v>0</v>
      </c>
      <c r="K564" s="169" t="s">
        <v>436</v>
      </c>
      <c r="L564" s="56" t="s">
        <v>1066</v>
      </c>
      <c r="M564" s="170">
        <f>IFERROR(VLOOKUP($A564,$P$6:$S$1048576,3,0),0)</f>
        <v>0</v>
      </c>
      <c r="N564" s="170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1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188</v>
      </c>
      <c r="F569" s="171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148</v>
      </c>
      <c r="F570" s="171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399</v>
      </c>
      <c r="F571" s="171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71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191</v>
      </c>
      <c r="F573" s="171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7" t="s">
        <v>143</v>
      </c>
      <c r="C575" s="167" t="s">
        <v>144</v>
      </c>
      <c r="D575" s="168" t="s">
        <v>131</v>
      </c>
      <c r="E575" s="46" t="s">
        <v>149</v>
      </c>
      <c r="F575" s="168" t="s">
        <v>129</v>
      </c>
      <c r="G575" s="168" t="s">
        <v>130</v>
      </c>
      <c r="H575" s="168" t="s">
        <v>252</v>
      </c>
      <c r="I575" s="163" t="s">
        <v>212</v>
      </c>
      <c r="J575" s="158">
        <f ca="1">IFERROR(IF(AND(J576:J584),0,1),0)</f>
        <v>1</v>
      </c>
      <c r="K575" s="169" t="s">
        <v>436</v>
      </c>
      <c r="L575" s="56" t="s">
        <v>1067</v>
      </c>
      <c r="M575" s="170">
        <f>IFERROR(VLOOKUP($A575,$P$6:$S$1048576,3,0),0)</f>
        <v>0</v>
      </c>
      <c r="N575" s="170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399</v>
      </c>
      <c r="F580" s="171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71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191</v>
      </c>
      <c r="F582" s="171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71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71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7" t="s">
        <v>143</v>
      </c>
      <c r="C586" s="167" t="s">
        <v>144</v>
      </c>
      <c r="D586" s="168" t="s">
        <v>131</v>
      </c>
      <c r="E586" s="46" t="s">
        <v>149</v>
      </c>
      <c r="F586" s="168" t="s">
        <v>129</v>
      </c>
      <c r="G586" s="168" t="s">
        <v>130</v>
      </c>
      <c r="H586" s="168" t="s">
        <v>252</v>
      </c>
      <c r="I586" s="163" t="s">
        <v>212</v>
      </c>
      <c r="J586" s="158">
        <f ca="1">IFERROR(IF(AND(J587:J591),0,1),0)</f>
        <v>1</v>
      </c>
      <c r="K586" s="169" t="s">
        <v>436</v>
      </c>
      <c r="L586" s="56" t="s">
        <v>1069</v>
      </c>
      <c r="M586" s="170">
        <f>IFERROR(VLOOKUP($A586,$P$6:$S$1048576,3,0),0)</f>
        <v>0</v>
      </c>
      <c r="N586" s="170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148</v>
      </c>
      <c r="F587" s="171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402</v>
      </c>
      <c r="F588" s="171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71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191</v>
      </c>
      <c r="F590" s="171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71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7" t="s">
        <v>143</v>
      </c>
      <c r="C593" s="167" t="s">
        <v>144</v>
      </c>
      <c r="D593" s="168" t="s">
        <v>131</v>
      </c>
      <c r="E593" s="46" t="s">
        <v>149</v>
      </c>
      <c r="F593" s="168" t="s">
        <v>129</v>
      </c>
      <c r="G593" s="168" t="s">
        <v>130</v>
      </c>
      <c r="H593" s="168" t="s">
        <v>252</v>
      </c>
      <c r="I593" s="163" t="s">
        <v>212</v>
      </c>
      <c r="J593" s="158">
        <f ca="1">IFERROR(IF(AND(J594:J598),0,1),0)</f>
        <v>1</v>
      </c>
      <c r="K593" s="169" t="s">
        <v>436</v>
      </c>
      <c r="L593" s="56" t="s">
        <v>1070</v>
      </c>
      <c r="M593" s="170">
        <f>IFERROR(VLOOKUP($A593,$P$6:$S$1048576,3,0),0)</f>
        <v>0</v>
      </c>
      <c r="N593" s="170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148</v>
      </c>
      <c r="F594" s="171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402</v>
      </c>
      <c r="F595" s="171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71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191</v>
      </c>
      <c r="F597" s="171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71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7" t="s">
        <v>143</v>
      </c>
      <c r="C600" s="167" t="s">
        <v>144</v>
      </c>
      <c r="D600" s="168" t="s">
        <v>131</v>
      </c>
      <c r="E600" s="46" t="s">
        <v>149</v>
      </c>
      <c r="F600" s="168" t="s">
        <v>129</v>
      </c>
      <c r="G600" s="168" t="s">
        <v>130</v>
      </c>
      <c r="H600" s="168" t="s">
        <v>252</v>
      </c>
      <c r="I600" s="163" t="s">
        <v>212</v>
      </c>
      <c r="J600" s="158">
        <f ca="1">IFERROR(IF(AND(J601:J605),0,1),0)</f>
        <v>1</v>
      </c>
      <c r="K600" s="169" t="s">
        <v>436</v>
      </c>
      <c r="L600" s="56" t="s">
        <v>1101</v>
      </c>
      <c r="M600" s="170">
        <f>IFERROR(VLOOKUP($A600,$P$6:$S$1048576,3,0),0)</f>
        <v>0</v>
      </c>
      <c r="N600" s="170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148</v>
      </c>
      <c r="F601" s="171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402</v>
      </c>
      <c r="F602" s="171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71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191</v>
      </c>
      <c r="F604" s="171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71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7" t="s">
        <v>143</v>
      </c>
      <c r="C607" s="167" t="s">
        <v>144</v>
      </c>
      <c r="D607" s="168" t="s">
        <v>131</v>
      </c>
      <c r="E607" s="46" t="s">
        <v>149</v>
      </c>
      <c r="F607" s="168" t="s">
        <v>129</v>
      </c>
      <c r="G607" s="168" t="s">
        <v>130</v>
      </c>
      <c r="H607" s="168" t="s">
        <v>252</v>
      </c>
      <c r="I607" s="163" t="s">
        <v>212</v>
      </c>
      <c r="J607" s="158">
        <f ca="1">IFERROR(IF(AND(J608:J612),0,1),0)</f>
        <v>1</v>
      </c>
      <c r="K607" s="169" t="s">
        <v>436</v>
      </c>
      <c r="L607" s="56" t="s">
        <v>1102</v>
      </c>
      <c r="M607" s="170">
        <f>IFERROR(VLOOKUP($A607,$P$6:$S$1048576,3,0),0)</f>
        <v>0</v>
      </c>
      <c r="N607" s="170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148</v>
      </c>
      <c r="F608" s="171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873</v>
      </c>
      <c r="F609" s="171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148</v>
      </c>
      <c r="F610" s="171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874</v>
      </c>
      <c r="F611" s="171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191</v>
      </c>
      <c r="F612" s="171"/>
      <c r="G612" s="100"/>
      <c r="H612" s="6"/>
      <c r="I612" s="6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1074</v>
      </c>
      <c r="B614" s="167" t="s">
        <v>143</v>
      </c>
      <c r="C614" s="167" t="s">
        <v>144</v>
      </c>
      <c r="D614" s="168" t="s">
        <v>131</v>
      </c>
      <c r="E614" s="46" t="s">
        <v>149</v>
      </c>
      <c r="F614" s="168" t="s">
        <v>129</v>
      </c>
      <c r="G614" s="168" t="s">
        <v>130</v>
      </c>
      <c r="H614" s="168" t="s">
        <v>252</v>
      </c>
      <c r="I614" s="163" t="s">
        <v>212</v>
      </c>
      <c r="J614" s="158">
        <f ca="1">IFERROR(IF(AND(J615:J619),0,1),0)</f>
        <v>1</v>
      </c>
      <c r="K614" s="169" t="s">
        <v>436</v>
      </c>
      <c r="L614" s="56" t="s">
        <v>1104</v>
      </c>
      <c r="M614" s="170">
        <f>IFERROR(VLOOKUP($A614,$P$6:$S$1048576,3,0),0)</f>
        <v>0</v>
      </c>
      <c r="N614" s="170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296</v>
      </c>
      <c r="F615" s="171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871</v>
      </c>
      <c r="F616" s="171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296</v>
      </c>
      <c r="F617" s="171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872</v>
      </c>
      <c r="F618" s="171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191</v>
      </c>
      <c r="F619" s="171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7" t="s">
        <v>143</v>
      </c>
      <c r="C621" s="167" t="s">
        <v>144</v>
      </c>
      <c r="D621" s="168" t="s">
        <v>131</v>
      </c>
      <c r="E621" s="46" t="s">
        <v>149</v>
      </c>
      <c r="F621" s="168" t="s">
        <v>129</v>
      </c>
      <c r="G621" s="168" t="s">
        <v>130</v>
      </c>
      <c r="H621" s="168" t="s">
        <v>252</v>
      </c>
      <c r="I621" s="163" t="s">
        <v>212</v>
      </c>
      <c r="J621" s="158">
        <f ca="1">IFERROR(IF(AND(J622:J627),0,1),0)</f>
        <v>1</v>
      </c>
      <c r="K621" s="169" t="s">
        <v>436</v>
      </c>
      <c r="L621" s="56" t="s">
        <v>1106</v>
      </c>
      <c r="M621" s="170">
        <f>IFERROR(VLOOKUP($A621,$P$6:$S$1048576,3,0),0)</f>
        <v>0</v>
      </c>
      <c r="N621" s="170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296</v>
      </c>
      <c r="F622" s="171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148</v>
      </c>
      <c r="F623" s="171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869</v>
      </c>
      <c r="F624" s="171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148</v>
      </c>
      <c r="F625" s="171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870</v>
      </c>
      <c r="F626" s="171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191</v>
      </c>
      <c r="F627" s="171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7" t="s">
        <v>143</v>
      </c>
      <c r="C629" s="167" t="s">
        <v>144</v>
      </c>
      <c r="D629" s="168" t="s">
        <v>131</v>
      </c>
      <c r="E629" s="46" t="s">
        <v>149</v>
      </c>
      <c r="F629" s="168" t="s">
        <v>129</v>
      </c>
      <c r="G629" s="168" t="s">
        <v>130</v>
      </c>
      <c r="H629" s="168" t="s">
        <v>252</v>
      </c>
      <c r="I629" s="163" t="s">
        <v>212</v>
      </c>
      <c r="J629" s="158">
        <f ca="1">IFERROR(IF(AND(J630:J635),0,1),0)</f>
        <v>1</v>
      </c>
      <c r="K629" s="169" t="s">
        <v>436</v>
      </c>
      <c r="L629" s="56" t="s">
        <v>1107</v>
      </c>
      <c r="M629" s="170">
        <f>IFERROR(VLOOKUP($A629,$P$6:$S$1048576,3,0),0)</f>
        <v>0</v>
      </c>
      <c r="N629" s="170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296</v>
      </c>
      <c r="F630" s="171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148</v>
      </c>
      <c r="F631" s="171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869</v>
      </c>
      <c r="F632" s="171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148</v>
      </c>
      <c r="F633" s="171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870</v>
      </c>
      <c r="F634" s="171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191</v>
      </c>
      <c r="F635" s="171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7" t="s">
        <v>143</v>
      </c>
      <c r="C637" s="167" t="s">
        <v>144</v>
      </c>
      <c r="D637" s="168" t="s">
        <v>131</v>
      </c>
      <c r="E637" s="46" t="s">
        <v>149</v>
      </c>
      <c r="F637" s="168" t="s">
        <v>129</v>
      </c>
      <c r="G637" s="168" t="s">
        <v>130</v>
      </c>
      <c r="H637" s="168" t="s">
        <v>252</v>
      </c>
      <c r="I637" s="163" t="s">
        <v>212</v>
      </c>
      <c r="J637" s="158">
        <f ca="1">IFERROR(IF(AND(J638:J647),0,1),0)</f>
        <v>1</v>
      </c>
      <c r="K637" s="169" t="s">
        <v>436</v>
      </c>
      <c r="L637" s="56" t="s">
        <v>1109</v>
      </c>
      <c r="M637" s="170">
        <f>IFERROR(VLOOKUP($A637,$P$6:$S$1048576,3,0),0)</f>
        <v>0</v>
      </c>
      <c r="N637" s="170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296</v>
      </c>
      <c r="F638" s="171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296</v>
      </c>
      <c r="F639" s="171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148</v>
      </c>
      <c r="F640" s="171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471</v>
      </c>
      <c r="F641" s="171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148</v>
      </c>
      <c r="F642" s="171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296</v>
      </c>
      <c r="F643" s="171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71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191</v>
      </c>
      <c r="F645" s="171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7" t="s">
        <v>143</v>
      </c>
      <c r="C647" s="167" t="s">
        <v>144</v>
      </c>
      <c r="D647" s="168" t="s">
        <v>131</v>
      </c>
      <c r="E647" s="46" t="s">
        <v>149</v>
      </c>
      <c r="F647" s="168" t="s">
        <v>129</v>
      </c>
      <c r="G647" s="168" t="s">
        <v>130</v>
      </c>
      <c r="H647" s="168" t="s">
        <v>252</v>
      </c>
      <c r="I647" s="163" t="s">
        <v>212</v>
      </c>
      <c r="J647" s="158">
        <f ca="1">IFERROR(IF(AND(J648:J653),0,1),0)</f>
        <v>1</v>
      </c>
      <c r="K647" s="169" t="s">
        <v>436</v>
      </c>
      <c r="L647" s="56" t="s">
        <v>1111</v>
      </c>
      <c r="M647" s="170">
        <f>IFERROR(VLOOKUP($A647,$P$6:$S$1048576,3,0),0)</f>
        <v>0</v>
      </c>
      <c r="N647" s="170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148</v>
      </c>
      <c r="F648" s="171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71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787</v>
      </c>
      <c r="F650" s="171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191</v>
      </c>
      <c r="F651" s="171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440</v>
      </c>
      <c r="E652" s="99" t="s">
        <v>148</v>
      </c>
      <c r="F652" s="171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71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7" t="s">
        <v>143</v>
      </c>
      <c r="C655" s="167" t="s">
        <v>144</v>
      </c>
      <c r="D655" s="168" t="s">
        <v>131</v>
      </c>
      <c r="E655" s="46" t="s">
        <v>149</v>
      </c>
      <c r="F655" s="168" t="s">
        <v>129</v>
      </c>
      <c r="G655" s="168" t="s">
        <v>130</v>
      </c>
      <c r="H655" s="168" t="s">
        <v>252</v>
      </c>
      <c r="I655" s="163" t="s">
        <v>212</v>
      </c>
      <c r="J655" s="158">
        <f ca="1">IFERROR(IF(AND(J656:J661),0,1),0)</f>
        <v>1</v>
      </c>
      <c r="K655" s="169" t="s">
        <v>436</v>
      </c>
      <c r="L655" s="56" t="s">
        <v>1112</v>
      </c>
      <c r="M655" s="170">
        <f>IFERROR(VLOOKUP($A655,$P$6:$S$1048576,3,0),0)</f>
        <v>0</v>
      </c>
      <c r="N655" s="170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148</v>
      </c>
      <c r="F656" s="171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269</v>
      </c>
      <c r="F657" s="171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880</v>
      </c>
      <c r="F658" s="171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191</v>
      </c>
      <c r="F659" s="171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440</v>
      </c>
      <c r="E660" s="99" t="s">
        <v>148</v>
      </c>
      <c r="F660" s="171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71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7" t="s">
        <v>143</v>
      </c>
      <c r="C663" s="167" t="s">
        <v>144</v>
      </c>
      <c r="D663" s="168" t="s">
        <v>131</v>
      </c>
      <c r="E663" s="46" t="s">
        <v>149</v>
      </c>
      <c r="F663" s="168" t="s">
        <v>129</v>
      </c>
      <c r="G663" s="168" t="s">
        <v>130</v>
      </c>
      <c r="H663" s="168" t="s">
        <v>252</v>
      </c>
      <c r="I663" s="163" t="s">
        <v>212</v>
      </c>
      <c r="J663" s="158">
        <f ca="1">IFERROR(IF(AND(J664:J670),0,1),0)</f>
        <v>1</v>
      </c>
      <c r="K663" s="169" t="s">
        <v>436</v>
      </c>
      <c r="L663" s="56" t="s">
        <v>1113</v>
      </c>
      <c r="M663" s="170">
        <f>IFERROR(VLOOKUP($A663,$P$6:$S$1048576,3,0),0)</f>
        <v>0</v>
      </c>
      <c r="N663" s="170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148</v>
      </c>
      <c r="F664" s="171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148</v>
      </c>
      <c r="F665" s="171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269</v>
      </c>
      <c r="F666" s="171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876</v>
      </c>
      <c r="F667" s="171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191</v>
      </c>
      <c r="F668" s="171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440</v>
      </c>
      <c r="E669" s="99" t="s">
        <v>148</v>
      </c>
      <c r="F669" s="171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71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7" t="s">
        <v>143</v>
      </c>
      <c r="C672" s="167" t="s">
        <v>144</v>
      </c>
      <c r="D672" s="168" t="s">
        <v>131</v>
      </c>
      <c r="E672" s="46" t="s">
        <v>149</v>
      </c>
      <c r="F672" s="168" t="s">
        <v>129</v>
      </c>
      <c r="G672" s="168" t="s">
        <v>130</v>
      </c>
      <c r="H672" s="168" t="s">
        <v>252</v>
      </c>
      <c r="I672" s="163" t="s">
        <v>212</v>
      </c>
      <c r="J672" s="158">
        <f ca="1">IFERROR(IF(AND(J673:J679),0,1),0)</f>
        <v>1</v>
      </c>
      <c r="K672" s="169" t="s">
        <v>436</v>
      </c>
      <c r="L672" s="56" t="s">
        <v>1114</v>
      </c>
      <c r="M672" s="170">
        <f>IFERROR(VLOOKUP($A672,$P$6:$S$1048576,3,0),0)</f>
        <v>0</v>
      </c>
      <c r="N672" s="170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148</v>
      </c>
      <c r="F673" s="171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148</v>
      </c>
      <c r="F674" s="171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269</v>
      </c>
      <c r="F675" s="171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885</v>
      </c>
      <c r="F676" s="171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191</v>
      </c>
      <c r="F677" s="171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440</v>
      </c>
      <c r="E678" s="99" t="s">
        <v>148</v>
      </c>
      <c r="F678" s="171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71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7" t="s">
        <v>143</v>
      </c>
      <c r="C681" s="167" t="s">
        <v>144</v>
      </c>
      <c r="D681" s="168" t="s">
        <v>131</v>
      </c>
      <c r="E681" s="46" t="s">
        <v>149</v>
      </c>
      <c r="F681" s="168" t="s">
        <v>129</v>
      </c>
      <c r="G681" s="168" t="s">
        <v>130</v>
      </c>
      <c r="H681" s="168" t="s">
        <v>252</v>
      </c>
      <c r="I681" s="163" t="s">
        <v>212</v>
      </c>
      <c r="J681" s="158">
        <f ca="1">IFERROR(IF(AND(J682:J688),0,1),0)</f>
        <v>1</v>
      </c>
      <c r="K681" s="169" t="s">
        <v>436</v>
      </c>
      <c r="L681" s="56" t="s">
        <v>1115</v>
      </c>
      <c r="M681" s="170">
        <f>IFERROR(VLOOKUP($A681,$P$6:$S$1048576,3,0),0)</f>
        <v>0</v>
      </c>
      <c r="N681" s="170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148</v>
      </c>
      <c r="F682" s="171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148</v>
      </c>
      <c r="F683" s="171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269</v>
      </c>
      <c r="F684" s="171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1116</v>
      </c>
      <c r="F685" s="171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191</v>
      </c>
      <c r="F686" s="171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440</v>
      </c>
      <c r="E687" s="99" t="s">
        <v>148</v>
      </c>
      <c r="F687" s="171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71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7" t="s">
        <v>143</v>
      </c>
      <c r="C690" s="167" t="s">
        <v>144</v>
      </c>
      <c r="D690" s="168" t="s">
        <v>131</v>
      </c>
      <c r="E690" s="46" t="s">
        <v>149</v>
      </c>
      <c r="F690" s="168" t="s">
        <v>129</v>
      </c>
      <c r="G690" s="168" t="s">
        <v>130</v>
      </c>
      <c r="H690" s="168" t="s">
        <v>252</v>
      </c>
      <c r="I690" s="163" t="s">
        <v>212</v>
      </c>
      <c r="J690" s="158">
        <f ca="1">IFERROR(IF(AND(J691:J697),0,1),0)</f>
        <v>1</v>
      </c>
      <c r="K690" s="169" t="s">
        <v>436</v>
      </c>
      <c r="L690" s="56" t="s">
        <v>1117</v>
      </c>
      <c r="M690" s="170">
        <f>IFERROR(VLOOKUP($A690,$P$6:$S$1048576,3,0),0)</f>
        <v>0</v>
      </c>
      <c r="N690" s="170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148</v>
      </c>
      <c r="F691" s="171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148</v>
      </c>
      <c r="F692" s="171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269</v>
      </c>
      <c r="F693" s="171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884</v>
      </c>
      <c r="F694" s="171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191</v>
      </c>
      <c r="F695" s="171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440</v>
      </c>
      <c r="E696" s="99" t="s">
        <v>148</v>
      </c>
      <c r="F696" s="171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71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7" t="s">
        <v>143</v>
      </c>
      <c r="C699" s="167" t="s">
        <v>144</v>
      </c>
      <c r="D699" s="168" t="s">
        <v>131</v>
      </c>
      <c r="E699" s="46" t="s">
        <v>149</v>
      </c>
      <c r="F699" s="168" t="s">
        <v>129</v>
      </c>
      <c r="G699" s="168" t="s">
        <v>130</v>
      </c>
      <c r="H699" s="168" t="s">
        <v>252</v>
      </c>
      <c r="I699" s="163" t="s">
        <v>212</v>
      </c>
      <c r="J699" s="158">
        <f ca="1">IFERROR(IF(AND(J700:J706),0,1),0)</f>
        <v>1</v>
      </c>
      <c r="K699" s="169" t="s">
        <v>436</v>
      </c>
      <c r="L699" s="56" t="s">
        <v>1118</v>
      </c>
      <c r="M699" s="170">
        <f>IFERROR(VLOOKUP($A699,$P$6:$S$1048576,3,0),0)</f>
        <v>0</v>
      </c>
      <c r="N699" s="170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148</v>
      </c>
      <c r="F700" s="171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148</v>
      </c>
      <c r="F701" s="171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269</v>
      </c>
      <c r="F702" s="171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883</v>
      </c>
      <c r="F703" s="171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191</v>
      </c>
      <c r="F704" s="171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440</v>
      </c>
      <c r="E705" s="99" t="s">
        <v>148</v>
      </c>
      <c r="F705" s="171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71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7" t="s">
        <v>143</v>
      </c>
      <c r="C708" s="167" t="s">
        <v>144</v>
      </c>
      <c r="D708" s="168" t="s">
        <v>131</v>
      </c>
      <c r="E708" s="46" t="s">
        <v>149</v>
      </c>
      <c r="F708" s="168" t="s">
        <v>129</v>
      </c>
      <c r="G708" s="168" t="s">
        <v>130</v>
      </c>
      <c r="H708" s="168" t="s">
        <v>252</v>
      </c>
      <c r="I708" s="163" t="s">
        <v>212</v>
      </c>
      <c r="J708" s="158">
        <f ca="1">IFERROR(IF(AND(J709:J715),0,1),0)</f>
        <v>1</v>
      </c>
      <c r="K708" s="169" t="s">
        <v>436</v>
      </c>
      <c r="L708" s="56" t="s">
        <v>1119</v>
      </c>
      <c r="M708" s="170">
        <f>IFERROR(VLOOKUP($A708,$P$6:$S$1048576,3,0),0)</f>
        <v>0</v>
      </c>
      <c r="N708" s="170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197</v>
      </c>
      <c r="F709" s="171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191</v>
      </c>
      <c r="F710" s="171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440</v>
      </c>
      <c r="E711" s="99" t="s">
        <v>148</v>
      </c>
      <c r="F711" s="171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269</v>
      </c>
      <c r="F712" s="171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764</v>
      </c>
      <c r="F713" s="171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148</v>
      </c>
      <c r="F714" s="171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71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7" t="s">
        <v>143</v>
      </c>
      <c r="C717" s="167" t="s">
        <v>144</v>
      </c>
      <c r="D717" s="168" t="s">
        <v>131</v>
      </c>
      <c r="E717" s="46" t="s">
        <v>149</v>
      </c>
      <c r="F717" s="168" t="s">
        <v>129</v>
      </c>
      <c r="G717" s="168" t="s">
        <v>130</v>
      </c>
      <c r="H717" s="168" t="s">
        <v>252</v>
      </c>
      <c r="I717" s="163" t="s">
        <v>212</v>
      </c>
      <c r="J717" s="158">
        <f ca="1">IFERROR(IF(AND(J718:J724),0,1),0)</f>
        <v>1</v>
      </c>
      <c r="K717" s="169" t="s">
        <v>436</v>
      </c>
      <c r="L717" s="56" t="s">
        <v>1120</v>
      </c>
      <c r="M717" s="170">
        <f>IFERROR(VLOOKUP($A717,$P$6:$S$1048576,3,0),0)</f>
        <v>0</v>
      </c>
      <c r="N717" s="170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197</v>
      </c>
      <c r="F718" s="171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191</v>
      </c>
      <c r="F719" s="171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440</v>
      </c>
      <c r="E720" s="99" t="s">
        <v>148</v>
      </c>
      <c r="F720" s="171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269</v>
      </c>
      <c r="F721" s="171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795</v>
      </c>
      <c r="F722" s="171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148</v>
      </c>
      <c r="F723" s="171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71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7" t="s">
        <v>143</v>
      </c>
      <c r="C726" s="167" t="s">
        <v>144</v>
      </c>
      <c r="D726" s="168" t="s">
        <v>131</v>
      </c>
      <c r="E726" s="46" t="s">
        <v>149</v>
      </c>
      <c r="F726" s="168" t="s">
        <v>129</v>
      </c>
      <c r="G726" s="168" t="s">
        <v>130</v>
      </c>
      <c r="H726" s="168" t="s">
        <v>252</v>
      </c>
      <c r="I726" s="163" t="s">
        <v>212</v>
      </c>
      <c r="J726" s="158">
        <f ca="1">IFERROR(IF(AND(J727:J733),0,1),0)</f>
        <v>1</v>
      </c>
      <c r="K726" s="169" t="s">
        <v>436</v>
      </c>
      <c r="L726" s="56" t="s">
        <v>1121</v>
      </c>
      <c r="M726" s="170">
        <f>IFERROR(VLOOKUP($A726,$P$6:$S$1048576,3,0),0)</f>
        <v>0</v>
      </c>
      <c r="N726" s="170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197</v>
      </c>
      <c r="F727" s="171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191</v>
      </c>
      <c r="F728" s="171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440</v>
      </c>
      <c r="E729" s="99" t="s">
        <v>148</v>
      </c>
      <c r="F729" s="171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269</v>
      </c>
      <c r="F730" s="171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856</v>
      </c>
      <c r="F731" s="171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148</v>
      </c>
      <c r="F732" s="171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71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7" t="s">
        <v>143</v>
      </c>
      <c r="C735" s="167" t="s">
        <v>144</v>
      </c>
      <c r="D735" s="168" t="s">
        <v>131</v>
      </c>
      <c r="E735" s="46" t="s">
        <v>149</v>
      </c>
      <c r="F735" s="168" t="s">
        <v>129</v>
      </c>
      <c r="G735" s="168" t="s">
        <v>130</v>
      </c>
      <c r="H735" s="168" t="s">
        <v>252</v>
      </c>
      <c r="I735" s="163" t="s">
        <v>212</v>
      </c>
      <c r="J735" s="158">
        <f ca="1">IFERROR(IF(AND(J736:J742),0,1),0)</f>
        <v>1</v>
      </c>
      <c r="K735" s="169" t="s">
        <v>436</v>
      </c>
      <c r="L735" s="56" t="s">
        <v>1122</v>
      </c>
      <c r="M735" s="170">
        <f>IFERROR(VLOOKUP($A735,$P$6:$S$1048576,3,0),0)</f>
        <v>0</v>
      </c>
      <c r="N735" s="170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197</v>
      </c>
      <c r="F736" s="171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191</v>
      </c>
      <c r="F737" s="171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440</v>
      </c>
      <c r="E738" s="99" t="s">
        <v>148</v>
      </c>
      <c r="F738" s="171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269</v>
      </c>
      <c r="F739" s="171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1123</v>
      </c>
      <c r="F740" s="171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148</v>
      </c>
      <c r="F741" s="171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71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7" t="s">
        <v>143</v>
      </c>
      <c r="C744" s="167" t="s">
        <v>144</v>
      </c>
      <c r="D744" s="168" t="s">
        <v>131</v>
      </c>
      <c r="E744" s="46" t="s">
        <v>149</v>
      </c>
      <c r="F744" s="168" t="s">
        <v>129</v>
      </c>
      <c r="G744" s="168" t="s">
        <v>130</v>
      </c>
      <c r="H744" s="168" t="s">
        <v>252</v>
      </c>
      <c r="I744" s="163" t="s">
        <v>212</v>
      </c>
      <c r="J744" s="158">
        <f ca="1">IFERROR(IF(AND(J745:J751),0,1),0)</f>
        <v>1</v>
      </c>
      <c r="K744" s="169" t="s">
        <v>436</v>
      </c>
      <c r="L744" s="56" t="s">
        <v>1124</v>
      </c>
      <c r="M744" s="170">
        <f>IFERROR(VLOOKUP($A744,$P$6:$S$1048576,3,0),0)</f>
        <v>0</v>
      </c>
      <c r="N744" s="170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197</v>
      </c>
      <c r="F745" s="171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191</v>
      </c>
      <c r="F746" s="171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440</v>
      </c>
      <c r="E747" s="99" t="s">
        <v>148</v>
      </c>
      <c r="F747" s="171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269</v>
      </c>
      <c r="F748" s="171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842</v>
      </c>
      <c r="F749" s="171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148</v>
      </c>
      <c r="F750" s="171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71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7" t="s">
        <v>143</v>
      </c>
      <c r="C753" s="167" t="s">
        <v>144</v>
      </c>
      <c r="D753" s="168" t="s">
        <v>131</v>
      </c>
      <c r="E753" s="46" t="s">
        <v>149</v>
      </c>
      <c r="F753" s="168" t="s">
        <v>129</v>
      </c>
      <c r="G753" s="168" t="s">
        <v>130</v>
      </c>
      <c r="H753" s="168" t="s">
        <v>252</v>
      </c>
      <c r="I753" s="163" t="s">
        <v>212</v>
      </c>
      <c r="J753" s="158">
        <f ca="1">IFERROR(IF(AND(J754:J760),0,1),0)</f>
        <v>1</v>
      </c>
      <c r="K753" s="169" t="s">
        <v>436</v>
      </c>
      <c r="L753" s="56" t="s">
        <v>1125</v>
      </c>
      <c r="M753" s="170">
        <f>IFERROR(VLOOKUP($A753,$P$6:$S$1048576,3,0),0)</f>
        <v>0</v>
      </c>
      <c r="N753" s="170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197</v>
      </c>
      <c r="F754" s="171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191</v>
      </c>
      <c r="F755" s="171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440</v>
      </c>
      <c r="E756" s="99" t="s">
        <v>148</v>
      </c>
      <c r="F756" s="171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269</v>
      </c>
      <c r="F757" s="171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826</v>
      </c>
      <c r="F758" s="171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148</v>
      </c>
      <c r="F759" s="171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71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7" t="s">
        <v>143</v>
      </c>
      <c r="C762" s="167" t="s">
        <v>144</v>
      </c>
      <c r="D762" s="168" t="s">
        <v>131</v>
      </c>
      <c r="E762" s="46" t="s">
        <v>149</v>
      </c>
      <c r="F762" s="168" t="s">
        <v>129</v>
      </c>
      <c r="G762" s="168" t="s">
        <v>130</v>
      </c>
      <c r="H762" s="168" t="s">
        <v>252</v>
      </c>
      <c r="I762" s="163" t="s">
        <v>212</v>
      </c>
      <c r="J762" s="158">
        <f ca="1">IFERROR(IF(AND(J763:J768),0,1),0)</f>
        <v>1</v>
      </c>
      <c r="K762" s="169" t="s">
        <v>436</v>
      </c>
      <c r="L762" s="56" t="s">
        <v>1126</v>
      </c>
      <c r="M762" s="170">
        <f>IFERROR(VLOOKUP($A762,$P$6:$S$1048576,3,0),0)</f>
        <v>0</v>
      </c>
      <c r="N762" s="170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269</v>
      </c>
      <c r="F763" s="171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878</v>
      </c>
      <c r="F764" s="171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148</v>
      </c>
      <c r="F765" s="171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191</v>
      </c>
      <c r="F766" s="171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256</v>
      </c>
      <c r="E767" s="99" t="s">
        <v>148</v>
      </c>
      <c r="F767" s="171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191</v>
      </c>
      <c r="F768" s="171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7" t="s">
        <v>143</v>
      </c>
      <c r="C770" s="167" t="s">
        <v>144</v>
      </c>
      <c r="D770" s="168" t="s">
        <v>131</v>
      </c>
      <c r="E770" s="46" t="s">
        <v>149</v>
      </c>
      <c r="F770" s="168" t="s">
        <v>129</v>
      </c>
      <c r="G770" s="168" t="s">
        <v>130</v>
      </c>
      <c r="H770" s="168" t="s">
        <v>252</v>
      </c>
      <c r="I770" s="163" t="s">
        <v>212</v>
      </c>
      <c r="J770" s="158">
        <f ca="1">IFERROR(IF(AND(J771:J780),0,1),0)</f>
        <v>1</v>
      </c>
      <c r="K770" s="169" t="s">
        <v>436</v>
      </c>
      <c r="L770" s="56" t="s">
        <v>1127</v>
      </c>
      <c r="M770" s="170">
        <f>IFERROR(VLOOKUP($A770,$P$6:$S$1048576,3,0),0)</f>
        <v>0</v>
      </c>
      <c r="N770" s="170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296</v>
      </c>
      <c r="F771" s="171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471</v>
      </c>
      <c r="F772" s="171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472</v>
      </c>
      <c r="F773" s="171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296</v>
      </c>
      <c r="F774" s="171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471</v>
      </c>
      <c r="F775" s="171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472</v>
      </c>
      <c r="F776" s="171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296</v>
      </c>
      <c r="F777" s="171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471</v>
      </c>
      <c r="F778" s="171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472</v>
      </c>
      <c r="F779" s="171" t="s">
        <v>114</v>
      </c>
      <c r="G779" s="100"/>
      <c r="H779" s="6" t="s">
        <v>114</v>
      </c>
      <c r="I779" s="172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191</v>
      </c>
      <c r="F780" s="171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7" t="s">
        <v>143</v>
      </c>
      <c r="C782" s="167" t="s">
        <v>144</v>
      </c>
      <c r="D782" s="168" t="s">
        <v>131</v>
      </c>
      <c r="E782" s="46" t="s">
        <v>149</v>
      </c>
      <c r="F782" s="168" t="s">
        <v>129</v>
      </c>
      <c r="G782" s="168" t="s">
        <v>130</v>
      </c>
      <c r="H782" s="168" t="s">
        <v>252</v>
      </c>
      <c r="I782" s="163" t="s">
        <v>212</v>
      </c>
      <c r="J782" s="158">
        <f ca="1">IFERROR(IF(AND(J783:J791),0,1),0)</f>
        <v>1</v>
      </c>
      <c r="K782" s="169" t="s">
        <v>436</v>
      </c>
      <c r="L782" s="56" t="s">
        <v>1128</v>
      </c>
      <c r="M782" s="170">
        <f>IFERROR(VLOOKUP($A782,$P$6:$S$1048576,3,0),0)</f>
        <v>0</v>
      </c>
      <c r="N782" s="170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296</v>
      </c>
      <c r="F783" s="171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296</v>
      </c>
      <c r="F784" s="171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475</v>
      </c>
      <c r="F785" s="171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296</v>
      </c>
      <c r="F786" s="171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475</v>
      </c>
      <c r="F787" s="171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296</v>
      </c>
      <c r="F788" s="171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296</v>
      </c>
      <c r="F789" s="171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475</v>
      </c>
      <c r="F790" s="171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191</v>
      </c>
      <c r="F791" s="171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7" t="s">
        <v>143</v>
      </c>
      <c r="C793" s="167" t="s">
        <v>144</v>
      </c>
      <c r="D793" s="168" t="s">
        <v>131</v>
      </c>
      <c r="E793" s="46" t="s">
        <v>149</v>
      </c>
      <c r="F793" s="168" t="s">
        <v>129</v>
      </c>
      <c r="G793" s="168" t="s">
        <v>130</v>
      </c>
      <c r="H793" s="168" t="s">
        <v>252</v>
      </c>
      <c r="I793" s="163" t="s">
        <v>212</v>
      </c>
      <c r="J793" s="158">
        <f ca="1">IFERROR(IF(AND(J794:J799),0,1),0)</f>
        <v>1</v>
      </c>
      <c r="K793" s="169" t="s">
        <v>436</v>
      </c>
      <c r="L793" s="56" t="s">
        <v>1129</v>
      </c>
      <c r="M793" s="170">
        <f>IFERROR(VLOOKUP($A793,$P$6:$S$1048576,3,0),0)</f>
        <v>0</v>
      </c>
      <c r="N793" s="170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296</v>
      </c>
      <c r="F794" s="171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296</v>
      </c>
      <c r="F795" s="171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150</v>
      </c>
      <c r="F796" s="171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296</v>
      </c>
      <c r="F797" s="171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282</v>
      </c>
      <c r="F798" s="171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191</v>
      </c>
      <c r="F799" s="171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492" priority="825" operator="equal">
      <formula>0</formula>
    </cfRule>
    <cfRule type="cellIs" dxfId="491" priority="826" operator="equal">
      <formula>1</formula>
    </cfRule>
  </conditionalFormatting>
  <conditionalFormatting sqref="J11:K11">
    <cfRule type="cellIs" dxfId="490" priority="823" operator="equal">
      <formula>0</formula>
    </cfRule>
    <cfRule type="cellIs" dxfId="489" priority="824" operator="equal">
      <formula>1</formula>
    </cfRule>
  </conditionalFormatting>
  <conditionalFormatting sqref="J16:K16">
    <cfRule type="cellIs" dxfId="488" priority="821" operator="equal">
      <formula>0</formula>
    </cfRule>
    <cfRule type="cellIs" dxfId="487" priority="822" operator="equal">
      <formula>1</formula>
    </cfRule>
  </conditionalFormatting>
  <conditionalFormatting sqref="J29:K29">
    <cfRule type="cellIs" dxfId="486" priority="817" operator="equal">
      <formula>0</formula>
    </cfRule>
    <cfRule type="cellIs" dxfId="485" priority="818" operator="equal">
      <formula>1</formula>
    </cfRule>
  </conditionalFormatting>
  <conditionalFormatting sqref="M4:N4">
    <cfRule type="cellIs" dxfId="484" priority="815" operator="equal">
      <formula>0</formula>
    </cfRule>
    <cfRule type="cellIs" dxfId="483" priority="816" operator="equal">
      <formula>1</formula>
    </cfRule>
  </conditionalFormatting>
  <conditionalFormatting sqref="J38:K38">
    <cfRule type="cellIs" dxfId="482" priority="805" operator="equal">
      <formula>0</formula>
    </cfRule>
    <cfRule type="cellIs" dxfId="481" priority="806" operator="equal">
      <formula>1</formula>
    </cfRule>
  </conditionalFormatting>
  <conditionalFormatting sqref="K49">
    <cfRule type="cellIs" dxfId="480" priority="801" operator="equal">
      <formula>0</formula>
    </cfRule>
    <cfRule type="cellIs" dxfId="479" priority="802" operator="equal">
      <formula>1</formula>
    </cfRule>
  </conditionalFormatting>
  <conditionalFormatting sqref="K66">
    <cfRule type="cellIs" dxfId="478" priority="793" operator="equal">
      <formula>0</formula>
    </cfRule>
    <cfRule type="cellIs" dxfId="477" priority="794" operator="equal">
      <formula>1</formula>
    </cfRule>
  </conditionalFormatting>
  <conditionalFormatting sqref="K57">
    <cfRule type="cellIs" dxfId="476" priority="789" operator="equal">
      <formula>0</formula>
    </cfRule>
    <cfRule type="cellIs" dxfId="475" priority="790" operator="equal">
      <formula>1</formula>
    </cfRule>
  </conditionalFormatting>
  <conditionalFormatting sqref="J49">
    <cfRule type="cellIs" dxfId="474" priority="785" operator="equal">
      <formula>0</formula>
    </cfRule>
    <cfRule type="cellIs" dxfId="473" priority="786" operator="equal">
      <formula>1</formula>
    </cfRule>
  </conditionalFormatting>
  <conditionalFormatting sqref="J57">
    <cfRule type="cellIs" dxfId="472" priority="783" operator="equal">
      <formula>0</formula>
    </cfRule>
    <cfRule type="cellIs" dxfId="471" priority="784" operator="equal">
      <formula>1</formula>
    </cfRule>
  </conditionalFormatting>
  <conditionalFormatting sqref="J66">
    <cfRule type="cellIs" dxfId="470" priority="781" operator="equal">
      <formula>0</formula>
    </cfRule>
    <cfRule type="cellIs" dxfId="469" priority="782" operator="equal">
      <formula>1</formula>
    </cfRule>
  </conditionalFormatting>
  <conditionalFormatting sqref="K74">
    <cfRule type="cellIs" dxfId="468" priority="779" operator="equal">
      <formula>0</formula>
    </cfRule>
    <cfRule type="cellIs" dxfId="467" priority="780" operator="equal">
      <formula>1</formula>
    </cfRule>
  </conditionalFormatting>
  <conditionalFormatting sqref="J74">
    <cfRule type="cellIs" dxfId="466" priority="775" operator="equal">
      <formula>0</formula>
    </cfRule>
    <cfRule type="cellIs" dxfId="465" priority="776" operator="equal">
      <formula>1</formula>
    </cfRule>
  </conditionalFormatting>
  <conditionalFormatting sqref="R6:R93">
    <cfRule type="cellIs" dxfId="464" priority="773" operator="equal">
      <formula>0</formula>
    </cfRule>
    <cfRule type="cellIs" dxfId="463" priority="774" operator="equal">
      <formula>1</formula>
    </cfRule>
  </conditionalFormatting>
  <conditionalFormatting sqref="K83">
    <cfRule type="cellIs" dxfId="462" priority="755" operator="equal">
      <formula>0</formula>
    </cfRule>
    <cfRule type="cellIs" dxfId="461" priority="756" operator="equal">
      <formula>1</formula>
    </cfRule>
  </conditionalFormatting>
  <conditionalFormatting sqref="J83">
    <cfRule type="cellIs" dxfId="460" priority="753" operator="equal">
      <formula>0</formula>
    </cfRule>
    <cfRule type="cellIs" dxfId="459" priority="754" operator="equal">
      <formula>1</formula>
    </cfRule>
  </conditionalFormatting>
  <conditionalFormatting sqref="K97">
    <cfRule type="cellIs" dxfId="458" priority="749" operator="equal">
      <formula>0</formula>
    </cfRule>
    <cfRule type="cellIs" dxfId="457" priority="750" operator="equal">
      <formula>1</formula>
    </cfRule>
  </conditionalFormatting>
  <conditionalFormatting sqref="J97">
    <cfRule type="cellIs" dxfId="456" priority="747" operator="equal">
      <formula>0</formula>
    </cfRule>
    <cfRule type="cellIs" dxfId="455" priority="748" operator="equal">
      <formula>1</formula>
    </cfRule>
  </conditionalFormatting>
  <conditionalFormatting sqref="K105">
    <cfRule type="cellIs" dxfId="454" priority="737" operator="equal">
      <formula>0</formula>
    </cfRule>
    <cfRule type="cellIs" dxfId="453" priority="738" operator="equal">
      <formula>1</formula>
    </cfRule>
  </conditionalFormatting>
  <conditionalFormatting sqref="J105">
    <cfRule type="cellIs" dxfId="452" priority="735" operator="equal">
      <formula>0</formula>
    </cfRule>
    <cfRule type="cellIs" dxfId="451" priority="736" operator="equal">
      <formula>1</formula>
    </cfRule>
  </conditionalFormatting>
  <conditionalFormatting sqref="K113">
    <cfRule type="cellIs" dxfId="450" priority="731" operator="equal">
      <formula>0</formula>
    </cfRule>
    <cfRule type="cellIs" dxfId="449" priority="732" operator="equal">
      <formula>1</formula>
    </cfRule>
  </conditionalFormatting>
  <conditionalFormatting sqref="K125">
    <cfRule type="cellIs" dxfId="448" priority="693" operator="equal">
      <formula>0</formula>
    </cfRule>
    <cfRule type="cellIs" dxfId="447" priority="694" operator="equal">
      <formula>1</formula>
    </cfRule>
  </conditionalFormatting>
  <conditionalFormatting sqref="K135">
    <cfRule type="cellIs" dxfId="446" priority="679" operator="equal">
      <formula>0</formula>
    </cfRule>
    <cfRule type="cellIs" dxfId="445" priority="680" operator="equal">
      <formula>1</formula>
    </cfRule>
  </conditionalFormatting>
  <conditionalFormatting sqref="J125">
    <cfRule type="cellIs" dxfId="444" priority="673" operator="equal">
      <formula>0</formula>
    </cfRule>
    <cfRule type="cellIs" dxfId="443" priority="674" operator="equal">
      <formula>1</formula>
    </cfRule>
  </conditionalFormatting>
  <conditionalFormatting sqref="J135">
    <cfRule type="cellIs" dxfId="442" priority="671" operator="equal">
      <formula>0</formula>
    </cfRule>
    <cfRule type="cellIs" dxfId="441" priority="672" operator="equal">
      <formula>1</formula>
    </cfRule>
  </conditionalFormatting>
  <conditionalFormatting sqref="J113">
    <cfRule type="cellIs" dxfId="440" priority="669" operator="equal">
      <formula>0</formula>
    </cfRule>
    <cfRule type="cellIs" dxfId="439" priority="670" operator="equal">
      <formula>1</formula>
    </cfRule>
  </conditionalFormatting>
  <conditionalFormatting sqref="K148">
    <cfRule type="cellIs" dxfId="438" priority="667" operator="equal">
      <formula>0</formula>
    </cfRule>
    <cfRule type="cellIs" dxfId="437" priority="668" operator="equal">
      <formula>1</formula>
    </cfRule>
  </conditionalFormatting>
  <conditionalFormatting sqref="J148">
    <cfRule type="cellIs" dxfId="436" priority="661" operator="equal">
      <formula>0</formula>
    </cfRule>
    <cfRule type="cellIs" dxfId="435" priority="662" operator="equal">
      <formula>1</formula>
    </cfRule>
  </conditionalFormatting>
  <conditionalFormatting sqref="K163">
    <cfRule type="cellIs" dxfId="434" priority="657" operator="equal">
      <formula>0</formula>
    </cfRule>
    <cfRule type="cellIs" dxfId="433" priority="658" operator="equal">
      <formula>1</formula>
    </cfRule>
  </conditionalFormatting>
  <conditionalFormatting sqref="J163">
    <cfRule type="cellIs" dxfId="432" priority="655" operator="equal">
      <formula>0</formula>
    </cfRule>
    <cfRule type="cellIs" dxfId="431" priority="656" operator="equal">
      <formula>1</formula>
    </cfRule>
  </conditionalFormatting>
  <conditionalFormatting sqref="K174">
    <cfRule type="cellIs" dxfId="430" priority="651" operator="equal">
      <formula>0</formula>
    </cfRule>
    <cfRule type="cellIs" dxfId="429" priority="652" operator="equal">
      <formula>1</formula>
    </cfRule>
  </conditionalFormatting>
  <conditionalFormatting sqref="J174">
    <cfRule type="cellIs" dxfId="428" priority="649" operator="equal">
      <formula>0</formula>
    </cfRule>
    <cfRule type="cellIs" dxfId="427" priority="650" operator="equal">
      <formula>1</formula>
    </cfRule>
  </conditionalFormatting>
  <conditionalFormatting sqref="K184">
    <cfRule type="cellIs" dxfId="426" priority="639" operator="equal">
      <formula>0</formula>
    </cfRule>
    <cfRule type="cellIs" dxfId="425" priority="640" operator="equal">
      <formula>1</formula>
    </cfRule>
  </conditionalFormatting>
  <conditionalFormatting sqref="J184">
    <cfRule type="cellIs" dxfId="424" priority="637" operator="equal">
      <formula>0</formula>
    </cfRule>
    <cfRule type="cellIs" dxfId="423" priority="638" operator="equal">
      <formula>1</formula>
    </cfRule>
  </conditionalFormatting>
  <conditionalFormatting sqref="K194">
    <cfRule type="cellIs" dxfId="422" priority="633" operator="equal">
      <formula>0</formula>
    </cfRule>
    <cfRule type="cellIs" dxfId="421" priority="634" operator="equal">
      <formula>1</formula>
    </cfRule>
  </conditionalFormatting>
  <conditionalFormatting sqref="J194">
    <cfRule type="cellIs" dxfId="420" priority="631" operator="equal">
      <formula>0</formula>
    </cfRule>
    <cfRule type="cellIs" dxfId="419" priority="632" operator="equal">
      <formula>1</formula>
    </cfRule>
  </conditionalFormatting>
  <conditionalFormatting sqref="K204">
    <cfRule type="cellIs" dxfId="418" priority="627" operator="equal">
      <formula>0</formula>
    </cfRule>
    <cfRule type="cellIs" dxfId="417" priority="628" operator="equal">
      <formula>1</formula>
    </cfRule>
  </conditionalFormatting>
  <conditionalFormatting sqref="J204">
    <cfRule type="cellIs" dxfId="416" priority="625" operator="equal">
      <formula>0</formula>
    </cfRule>
    <cfRule type="cellIs" dxfId="415" priority="626" operator="equal">
      <formula>1</formula>
    </cfRule>
  </conditionalFormatting>
  <conditionalFormatting sqref="K211">
    <cfRule type="cellIs" dxfId="414" priority="621" operator="equal">
      <formula>0</formula>
    </cfRule>
    <cfRule type="cellIs" dxfId="413" priority="622" operator="equal">
      <formula>1</formula>
    </cfRule>
  </conditionalFormatting>
  <conditionalFormatting sqref="J211">
    <cfRule type="cellIs" dxfId="412" priority="619" operator="equal">
      <formula>0</formula>
    </cfRule>
    <cfRule type="cellIs" dxfId="411" priority="620" operator="equal">
      <formula>1</formula>
    </cfRule>
  </conditionalFormatting>
  <conditionalFormatting sqref="K224">
    <cfRule type="cellIs" dxfId="410" priority="615" operator="equal">
      <formula>0</formula>
    </cfRule>
    <cfRule type="cellIs" dxfId="409" priority="616" operator="equal">
      <formula>1</formula>
    </cfRule>
  </conditionalFormatting>
  <conditionalFormatting sqref="J224">
    <cfRule type="cellIs" dxfId="408" priority="613" operator="equal">
      <formula>0</formula>
    </cfRule>
    <cfRule type="cellIs" dxfId="407" priority="614" operator="equal">
      <formula>1</formula>
    </cfRule>
  </conditionalFormatting>
  <conditionalFormatting sqref="K240">
    <cfRule type="cellIs" dxfId="406" priority="609" operator="equal">
      <formula>0</formula>
    </cfRule>
    <cfRule type="cellIs" dxfId="405" priority="610" operator="equal">
      <formula>1</formula>
    </cfRule>
  </conditionalFormatting>
  <conditionalFormatting sqref="J240">
    <cfRule type="cellIs" dxfId="404" priority="607" operator="equal">
      <formula>0</formula>
    </cfRule>
    <cfRule type="cellIs" dxfId="403" priority="608" operator="equal">
      <formula>1</formula>
    </cfRule>
  </conditionalFormatting>
  <conditionalFormatting sqref="K253">
    <cfRule type="cellIs" dxfId="402" priority="603" operator="equal">
      <formula>0</formula>
    </cfRule>
    <cfRule type="cellIs" dxfId="401" priority="604" operator="equal">
      <formula>1</formula>
    </cfRule>
  </conditionalFormatting>
  <conditionalFormatting sqref="J253">
    <cfRule type="cellIs" dxfId="400" priority="601" operator="equal">
      <formula>0</formula>
    </cfRule>
    <cfRule type="cellIs" dxfId="399" priority="602" operator="equal">
      <formula>1</formula>
    </cfRule>
  </conditionalFormatting>
  <conditionalFormatting sqref="K259">
    <cfRule type="cellIs" dxfId="398" priority="585" operator="equal">
      <formula>0</formula>
    </cfRule>
    <cfRule type="cellIs" dxfId="397" priority="586" operator="equal">
      <formula>1</formula>
    </cfRule>
  </conditionalFormatting>
  <conditionalFormatting sqref="J259">
    <cfRule type="cellIs" dxfId="396" priority="583" operator="equal">
      <formula>0</formula>
    </cfRule>
    <cfRule type="cellIs" dxfId="395" priority="584" operator="equal">
      <formula>1</formula>
    </cfRule>
  </conditionalFormatting>
  <conditionalFormatting sqref="K265">
    <cfRule type="cellIs" dxfId="394" priority="579" operator="equal">
      <formula>0</formula>
    </cfRule>
    <cfRule type="cellIs" dxfId="393" priority="580" operator="equal">
      <formula>1</formula>
    </cfRule>
  </conditionalFormatting>
  <conditionalFormatting sqref="J265">
    <cfRule type="cellIs" dxfId="392" priority="577" operator="equal">
      <formula>0</formula>
    </cfRule>
    <cfRule type="cellIs" dxfId="391" priority="578" operator="equal">
      <formula>1</formula>
    </cfRule>
  </conditionalFormatting>
  <conditionalFormatting sqref="K273">
    <cfRule type="cellIs" dxfId="390" priority="573" operator="equal">
      <formula>0</formula>
    </cfRule>
    <cfRule type="cellIs" dxfId="389" priority="574" operator="equal">
      <formula>1</formula>
    </cfRule>
  </conditionalFormatting>
  <conditionalFormatting sqref="J273">
    <cfRule type="cellIs" dxfId="388" priority="571" operator="equal">
      <formula>0</formula>
    </cfRule>
    <cfRule type="cellIs" dxfId="387" priority="572" operator="equal">
      <formula>1</formula>
    </cfRule>
  </conditionalFormatting>
  <conditionalFormatting sqref="K281">
    <cfRule type="cellIs" dxfId="386" priority="567" operator="equal">
      <formula>0</formula>
    </cfRule>
    <cfRule type="cellIs" dxfId="385" priority="568" operator="equal">
      <formula>1</formula>
    </cfRule>
  </conditionalFormatting>
  <conditionalFormatting sqref="J281">
    <cfRule type="cellIs" dxfId="384" priority="565" operator="equal">
      <formula>0</formula>
    </cfRule>
    <cfRule type="cellIs" dxfId="383" priority="566" operator="equal">
      <formula>1</formula>
    </cfRule>
  </conditionalFormatting>
  <conditionalFormatting sqref="K290">
    <cfRule type="cellIs" dxfId="382" priority="561" operator="equal">
      <formula>0</formula>
    </cfRule>
    <cfRule type="cellIs" dxfId="381" priority="562" operator="equal">
      <formula>1</formula>
    </cfRule>
  </conditionalFormatting>
  <conditionalFormatting sqref="J290">
    <cfRule type="cellIs" dxfId="380" priority="559" operator="equal">
      <formula>0</formula>
    </cfRule>
    <cfRule type="cellIs" dxfId="379" priority="560" operator="equal">
      <formula>1</formula>
    </cfRule>
  </conditionalFormatting>
  <conditionalFormatting sqref="K299">
    <cfRule type="cellIs" dxfId="378" priority="555" operator="equal">
      <formula>0</formula>
    </cfRule>
    <cfRule type="cellIs" dxfId="377" priority="556" operator="equal">
      <formula>1</formula>
    </cfRule>
  </conditionalFormatting>
  <conditionalFormatting sqref="J299">
    <cfRule type="cellIs" dxfId="376" priority="553" operator="equal">
      <formula>0</formula>
    </cfRule>
    <cfRule type="cellIs" dxfId="375" priority="554" operator="equal">
      <formula>1</formula>
    </cfRule>
  </conditionalFormatting>
  <conditionalFormatting sqref="K308">
    <cfRule type="cellIs" dxfId="374" priority="549" operator="equal">
      <formula>0</formula>
    </cfRule>
    <cfRule type="cellIs" dxfId="373" priority="550" operator="equal">
      <formula>1</formula>
    </cfRule>
  </conditionalFormatting>
  <conditionalFormatting sqref="J308">
    <cfRule type="cellIs" dxfId="372" priority="547" operator="equal">
      <formula>0</formula>
    </cfRule>
    <cfRule type="cellIs" dxfId="371" priority="548" operator="equal">
      <formula>1</formula>
    </cfRule>
  </conditionalFormatting>
  <conditionalFormatting sqref="K317">
    <cfRule type="cellIs" dxfId="370" priority="543" operator="equal">
      <formula>0</formula>
    </cfRule>
    <cfRule type="cellIs" dxfId="369" priority="544" operator="equal">
      <formula>1</formula>
    </cfRule>
  </conditionalFormatting>
  <conditionalFormatting sqref="K326">
    <cfRule type="cellIs" dxfId="368" priority="537" operator="equal">
      <formula>0</formula>
    </cfRule>
    <cfRule type="cellIs" dxfId="367" priority="538" operator="equal">
      <formula>1</formula>
    </cfRule>
  </conditionalFormatting>
  <conditionalFormatting sqref="K335">
    <cfRule type="cellIs" dxfId="366" priority="531" operator="equal">
      <formula>0</formula>
    </cfRule>
    <cfRule type="cellIs" dxfId="365" priority="532" operator="equal">
      <formula>1</formula>
    </cfRule>
  </conditionalFormatting>
  <conditionalFormatting sqref="K344">
    <cfRule type="cellIs" dxfId="364" priority="525" operator="equal">
      <formula>0</formula>
    </cfRule>
    <cfRule type="cellIs" dxfId="363" priority="526" operator="equal">
      <formula>1</formula>
    </cfRule>
  </conditionalFormatting>
  <conditionalFormatting sqref="K353">
    <cfRule type="cellIs" dxfId="362" priority="519" operator="equal">
      <formula>0</formula>
    </cfRule>
    <cfRule type="cellIs" dxfId="361" priority="520" operator="equal">
      <formula>1</formula>
    </cfRule>
  </conditionalFormatting>
  <conditionalFormatting sqref="K362">
    <cfRule type="cellIs" dxfId="360" priority="513" operator="equal">
      <formula>0</formula>
    </cfRule>
    <cfRule type="cellIs" dxfId="359" priority="514" operator="equal">
      <formula>1</formula>
    </cfRule>
  </conditionalFormatting>
  <conditionalFormatting sqref="K371">
    <cfRule type="cellIs" dxfId="358" priority="507" operator="equal">
      <formula>0</formula>
    </cfRule>
    <cfRule type="cellIs" dxfId="357" priority="508" operator="equal">
      <formula>1</formula>
    </cfRule>
  </conditionalFormatting>
  <conditionalFormatting sqref="J371">
    <cfRule type="cellIs" dxfId="356" priority="505" operator="equal">
      <formula>0</formula>
    </cfRule>
    <cfRule type="cellIs" dxfId="355" priority="506" operator="equal">
      <formula>1</formula>
    </cfRule>
  </conditionalFormatting>
  <conditionalFormatting sqref="K380">
    <cfRule type="cellIs" dxfId="354" priority="501" operator="equal">
      <formula>0</formula>
    </cfRule>
    <cfRule type="cellIs" dxfId="353" priority="502" operator="equal">
      <formula>1</formula>
    </cfRule>
  </conditionalFormatting>
  <conditionalFormatting sqref="J380">
    <cfRule type="cellIs" dxfId="352" priority="499" operator="equal">
      <formula>0</formula>
    </cfRule>
    <cfRule type="cellIs" dxfId="351" priority="500" operator="equal">
      <formula>1</formula>
    </cfRule>
  </conditionalFormatting>
  <conditionalFormatting sqref="K389">
    <cfRule type="cellIs" dxfId="350" priority="495" operator="equal">
      <formula>0</formula>
    </cfRule>
    <cfRule type="cellIs" dxfId="349" priority="496" operator="equal">
      <formula>1</formula>
    </cfRule>
  </conditionalFormatting>
  <conditionalFormatting sqref="K398">
    <cfRule type="cellIs" dxfId="348" priority="489" operator="equal">
      <formula>0</formula>
    </cfRule>
    <cfRule type="cellIs" dxfId="347" priority="490" operator="equal">
      <formula>1</formula>
    </cfRule>
  </conditionalFormatting>
  <conditionalFormatting sqref="K407">
    <cfRule type="cellIs" dxfId="346" priority="483" operator="equal">
      <formula>0</formula>
    </cfRule>
    <cfRule type="cellIs" dxfId="345" priority="484" operator="equal">
      <formula>1</formula>
    </cfRule>
  </conditionalFormatting>
  <conditionalFormatting sqref="K416">
    <cfRule type="cellIs" dxfId="344" priority="477" operator="equal">
      <formula>0</formula>
    </cfRule>
    <cfRule type="cellIs" dxfId="343" priority="478" operator="equal">
      <formula>1</formula>
    </cfRule>
  </conditionalFormatting>
  <conditionalFormatting sqref="J416">
    <cfRule type="cellIs" dxfId="342" priority="475" operator="equal">
      <formula>0</formula>
    </cfRule>
    <cfRule type="cellIs" dxfId="341" priority="476" operator="equal">
      <formula>1</formula>
    </cfRule>
  </conditionalFormatting>
  <conditionalFormatting sqref="K427">
    <cfRule type="cellIs" dxfId="340" priority="471" operator="equal">
      <formula>0</formula>
    </cfRule>
    <cfRule type="cellIs" dxfId="339" priority="472" operator="equal">
      <formula>1</formula>
    </cfRule>
  </conditionalFormatting>
  <conditionalFormatting sqref="K436">
    <cfRule type="cellIs" dxfId="338" priority="465" operator="equal">
      <formula>0</formula>
    </cfRule>
    <cfRule type="cellIs" dxfId="337" priority="466" operator="equal">
      <formula>1</formula>
    </cfRule>
  </conditionalFormatting>
  <conditionalFormatting sqref="K445">
    <cfRule type="cellIs" dxfId="336" priority="459" operator="equal">
      <formula>0</formula>
    </cfRule>
    <cfRule type="cellIs" dxfId="335" priority="460" operator="equal">
      <formula>1</formula>
    </cfRule>
  </conditionalFormatting>
  <conditionalFormatting sqref="J445">
    <cfRule type="cellIs" dxfId="334" priority="457" operator="equal">
      <formula>0</formula>
    </cfRule>
    <cfRule type="cellIs" dxfId="333" priority="458" operator="equal">
      <formula>1</formula>
    </cfRule>
  </conditionalFormatting>
  <conditionalFormatting sqref="K460">
    <cfRule type="cellIs" dxfId="332" priority="453" operator="equal">
      <formula>0</formula>
    </cfRule>
    <cfRule type="cellIs" dxfId="331" priority="454" operator="equal">
      <formula>1</formula>
    </cfRule>
  </conditionalFormatting>
  <conditionalFormatting sqref="J460">
    <cfRule type="cellIs" dxfId="330" priority="451" operator="equal">
      <formula>0</formula>
    </cfRule>
    <cfRule type="cellIs" dxfId="329" priority="452" operator="equal">
      <formula>1</formula>
    </cfRule>
  </conditionalFormatting>
  <conditionalFormatting sqref="K467">
    <cfRule type="cellIs" dxfId="328" priority="447" operator="equal">
      <formula>0</formula>
    </cfRule>
    <cfRule type="cellIs" dxfId="327" priority="448" operator="equal">
      <formula>1</formula>
    </cfRule>
  </conditionalFormatting>
  <conditionalFormatting sqref="J467">
    <cfRule type="cellIs" dxfId="326" priority="445" operator="equal">
      <formula>0</formula>
    </cfRule>
    <cfRule type="cellIs" dxfId="325" priority="446" operator="equal">
      <formula>1</formula>
    </cfRule>
  </conditionalFormatting>
  <conditionalFormatting sqref="K478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J478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483">
    <cfRule type="cellIs" dxfId="320" priority="435" operator="equal">
      <formula>0</formula>
    </cfRule>
    <cfRule type="cellIs" dxfId="319" priority="436" operator="equal">
      <formula>1</formula>
    </cfRule>
  </conditionalFormatting>
  <conditionalFormatting sqref="J483">
    <cfRule type="cellIs" dxfId="318" priority="433" operator="equal">
      <formula>0</formula>
    </cfRule>
    <cfRule type="cellIs" dxfId="317" priority="434" operator="equal">
      <formula>1</formula>
    </cfRule>
  </conditionalFormatting>
  <conditionalFormatting sqref="K490">
    <cfRule type="cellIs" dxfId="316" priority="429" operator="equal">
      <formula>0</formula>
    </cfRule>
    <cfRule type="cellIs" dxfId="315" priority="430" operator="equal">
      <formula>1</formula>
    </cfRule>
  </conditionalFormatting>
  <conditionalFormatting sqref="J490">
    <cfRule type="cellIs" dxfId="314" priority="427" operator="equal">
      <formula>0</formula>
    </cfRule>
    <cfRule type="cellIs" dxfId="313" priority="428" operator="equal">
      <formula>1</formula>
    </cfRule>
  </conditionalFormatting>
  <conditionalFormatting sqref="K500">
    <cfRule type="cellIs" dxfId="312" priority="423" operator="equal">
      <formula>0</formula>
    </cfRule>
    <cfRule type="cellIs" dxfId="311" priority="424" operator="equal">
      <formula>1</formula>
    </cfRule>
  </conditionalFormatting>
  <conditionalFormatting sqref="J500">
    <cfRule type="cellIs" dxfId="310" priority="421" operator="equal">
      <formula>0</formula>
    </cfRule>
    <cfRule type="cellIs" dxfId="309" priority="422" operator="equal">
      <formula>1</formula>
    </cfRule>
  </conditionalFormatting>
  <conditionalFormatting sqref="E518:G528">
    <cfRule type="expression" dxfId="308" priority="418">
      <formula>$N518=$E$13</formula>
    </cfRule>
  </conditionalFormatting>
  <conditionalFormatting sqref="D518:G528">
    <cfRule type="containsText" dxfId="307" priority="417" operator="containsText" text=" ">
      <formula>NOT(ISERROR(SEARCH(" ",D518)))</formula>
    </cfRule>
  </conditionalFormatting>
  <conditionalFormatting sqref="D518:G528">
    <cfRule type="expression" dxfId="306" priority="416">
      <formula>$E$13=$N518</formula>
    </cfRule>
  </conditionalFormatting>
  <conditionalFormatting sqref="K530">
    <cfRule type="cellIs" dxfId="305" priority="414" operator="equal">
      <formula>0</formula>
    </cfRule>
    <cfRule type="cellIs" dxfId="304" priority="415" operator="equal">
      <formula>1</formula>
    </cfRule>
  </conditionalFormatting>
  <conditionalFormatting sqref="J530">
    <cfRule type="cellIs" dxfId="303" priority="412" operator="equal">
      <formula>0</formula>
    </cfRule>
    <cfRule type="cellIs" dxfId="302" priority="413" operator="equal">
      <formula>1</formula>
    </cfRule>
  </conditionalFormatting>
  <conditionalFormatting sqref="S6:S93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1:N11">
    <cfRule type="cellIs" dxfId="299" priority="404" operator="equal">
      <formula>0</formula>
    </cfRule>
    <cfRule type="cellIs" dxfId="298" priority="405" operator="equal">
      <formula>1</formula>
    </cfRule>
  </conditionalFormatting>
  <conditionalFormatting sqref="M16:N16">
    <cfRule type="cellIs" dxfId="297" priority="402" operator="equal">
      <formula>0</formula>
    </cfRule>
    <cfRule type="cellIs" dxfId="296" priority="403" operator="equal">
      <formula>1</formula>
    </cfRule>
  </conditionalFormatting>
  <conditionalFormatting sqref="M29:N29">
    <cfRule type="cellIs" dxfId="295" priority="400" operator="equal">
      <formula>0</formula>
    </cfRule>
    <cfRule type="cellIs" dxfId="294" priority="401" operator="equal">
      <formula>1</formula>
    </cfRule>
  </conditionalFormatting>
  <conditionalFormatting sqref="M38:N38">
    <cfRule type="cellIs" dxfId="293" priority="398" operator="equal">
      <formula>0</formula>
    </cfRule>
    <cfRule type="cellIs" dxfId="292" priority="399" operator="equal">
      <formula>1</formula>
    </cfRule>
  </conditionalFormatting>
  <conditionalFormatting sqref="M49:N49">
    <cfRule type="cellIs" dxfId="291" priority="396" operator="equal">
      <formula>0</formula>
    </cfRule>
    <cfRule type="cellIs" dxfId="290" priority="397" operator="equal">
      <formula>1</formula>
    </cfRule>
  </conditionalFormatting>
  <conditionalFormatting sqref="M57:N57">
    <cfRule type="cellIs" dxfId="289" priority="394" operator="equal">
      <formula>0</formula>
    </cfRule>
    <cfRule type="cellIs" dxfId="288" priority="395" operator="equal">
      <formula>1</formula>
    </cfRule>
  </conditionalFormatting>
  <conditionalFormatting sqref="M66:N66">
    <cfRule type="cellIs" dxfId="287" priority="392" operator="equal">
      <formula>0</formula>
    </cfRule>
    <cfRule type="cellIs" dxfId="286" priority="393" operator="equal">
      <formula>1</formula>
    </cfRule>
  </conditionalFormatting>
  <conditionalFormatting sqref="M74:N74">
    <cfRule type="cellIs" dxfId="285" priority="390" operator="equal">
      <formula>0</formula>
    </cfRule>
    <cfRule type="cellIs" dxfId="284" priority="391" operator="equal">
      <formula>1</formula>
    </cfRule>
  </conditionalFormatting>
  <conditionalFormatting sqref="M83:N83">
    <cfRule type="cellIs" dxfId="283" priority="388" operator="equal">
      <formula>0</formula>
    </cfRule>
    <cfRule type="cellIs" dxfId="282" priority="389" operator="equal">
      <formula>1</formula>
    </cfRule>
  </conditionalFormatting>
  <conditionalFormatting sqref="M97:N97">
    <cfRule type="cellIs" dxfId="281" priority="386" operator="equal">
      <formula>0</formula>
    </cfRule>
    <cfRule type="cellIs" dxfId="280" priority="387" operator="equal">
      <formula>1</formula>
    </cfRule>
  </conditionalFormatting>
  <conditionalFormatting sqref="M105:N105">
    <cfRule type="cellIs" dxfId="279" priority="384" operator="equal">
      <formula>0</formula>
    </cfRule>
    <cfRule type="cellIs" dxfId="278" priority="385" operator="equal">
      <formula>1</formula>
    </cfRule>
  </conditionalFormatting>
  <conditionalFormatting sqref="M113:N113">
    <cfRule type="cellIs" dxfId="277" priority="382" operator="equal">
      <formula>0</formula>
    </cfRule>
    <cfRule type="cellIs" dxfId="276" priority="383" operator="equal">
      <formula>1</formula>
    </cfRule>
  </conditionalFormatting>
  <conditionalFormatting sqref="M125:N125">
    <cfRule type="cellIs" dxfId="275" priority="380" operator="equal">
      <formula>0</formula>
    </cfRule>
    <cfRule type="cellIs" dxfId="274" priority="381" operator="equal">
      <formula>1</formula>
    </cfRule>
  </conditionalFormatting>
  <conditionalFormatting sqref="M135:N135">
    <cfRule type="cellIs" dxfId="273" priority="378" operator="equal">
      <formula>0</formula>
    </cfRule>
    <cfRule type="cellIs" dxfId="272" priority="379" operator="equal">
      <formula>1</formula>
    </cfRule>
  </conditionalFormatting>
  <conditionalFormatting sqref="M148:N148">
    <cfRule type="cellIs" dxfId="271" priority="376" operator="equal">
      <formula>0</formula>
    </cfRule>
    <cfRule type="cellIs" dxfId="270" priority="377" operator="equal">
      <formula>1</formula>
    </cfRule>
  </conditionalFormatting>
  <conditionalFormatting sqref="M163:N163">
    <cfRule type="cellIs" dxfId="269" priority="374" operator="equal">
      <formula>0</formula>
    </cfRule>
    <cfRule type="cellIs" dxfId="268" priority="375" operator="equal">
      <formula>1</formula>
    </cfRule>
  </conditionalFormatting>
  <conditionalFormatting sqref="M174:N174">
    <cfRule type="cellIs" dxfId="267" priority="372" operator="equal">
      <formula>0</formula>
    </cfRule>
    <cfRule type="cellIs" dxfId="266" priority="373" operator="equal">
      <formula>1</formula>
    </cfRule>
  </conditionalFormatting>
  <conditionalFormatting sqref="M184:N184">
    <cfRule type="cellIs" dxfId="265" priority="370" operator="equal">
      <formula>0</formula>
    </cfRule>
    <cfRule type="cellIs" dxfId="264" priority="371" operator="equal">
      <formula>1</formula>
    </cfRule>
  </conditionalFormatting>
  <conditionalFormatting sqref="M194:N194">
    <cfRule type="cellIs" dxfId="263" priority="368" operator="equal">
      <formula>0</formula>
    </cfRule>
    <cfRule type="cellIs" dxfId="262" priority="369" operator="equal">
      <formula>1</formula>
    </cfRule>
  </conditionalFormatting>
  <conditionalFormatting sqref="M204:N204">
    <cfRule type="cellIs" dxfId="261" priority="366" operator="equal">
      <formula>0</formula>
    </cfRule>
    <cfRule type="cellIs" dxfId="260" priority="367" operator="equal">
      <formula>1</formula>
    </cfRule>
  </conditionalFormatting>
  <conditionalFormatting sqref="M211:N211">
    <cfRule type="cellIs" dxfId="259" priority="364" operator="equal">
      <formula>0</formula>
    </cfRule>
    <cfRule type="cellIs" dxfId="258" priority="365" operator="equal">
      <formula>1</formula>
    </cfRule>
  </conditionalFormatting>
  <conditionalFormatting sqref="M224:N224">
    <cfRule type="cellIs" dxfId="257" priority="362" operator="equal">
      <formula>0</formula>
    </cfRule>
    <cfRule type="cellIs" dxfId="256" priority="363" operator="equal">
      <formula>1</formula>
    </cfRule>
  </conditionalFormatting>
  <conditionalFormatting sqref="M240:N240">
    <cfRule type="cellIs" dxfId="255" priority="360" operator="equal">
      <formula>0</formula>
    </cfRule>
    <cfRule type="cellIs" dxfId="254" priority="361" operator="equal">
      <formula>1</formula>
    </cfRule>
  </conditionalFormatting>
  <conditionalFormatting sqref="M253:N253">
    <cfRule type="cellIs" dxfId="253" priority="358" operator="equal">
      <formula>0</formula>
    </cfRule>
    <cfRule type="cellIs" dxfId="252" priority="359" operator="equal">
      <formula>1</formula>
    </cfRule>
  </conditionalFormatting>
  <conditionalFormatting sqref="M259:N259">
    <cfRule type="cellIs" dxfId="251" priority="356" operator="equal">
      <formula>0</formula>
    </cfRule>
    <cfRule type="cellIs" dxfId="250" priority="357" operator="equal">
      <formula>1</formula>
    </cfRule>
  </conditionalFormatting>
  <conditionalFormatting sqref="M265:N265">
    <cfRule type="cellIs" dxfId="249" priority="354" operator="equal">
      <formula>0</formula>
    </cfRule>
    <cfRule type="cellIs" dxfId="248" priority="355" operator="equal">
      <formula>1</formula>
    </cfRule>
  </conditionalFormatting>
  <conditionalFormatting sqref="M273:N273">
    <cfRule type="cellIs" dxfId="247" priority="352" operator="equal">
      <formula>0</formula>
    </cfRule>
    <cfRule type="cellIs" dxfId="246" priority="353" operator="equal">
      <formula>1</formula>
    </cfRule>
  </conditionalFormatting>
  <conditionalFormatting sqref="M281:N281">
    <cfRule type="cellIs" dxfId="245" priority="350" operator="equal">
      <formula>0</formula>
    </cfRule>
    <cfRule type="cellIs" dxfId="244" priority="351" operator="equal">
      <formula>1</formula>
    </cfRule>
  </conditionalFormatting>
  <conditionalFormatting sqref="M290:N290">
    <cfRule type="cellIs" dxfId="243" priority="348" operator="equal">
      <formula>0</formula>
    </cfRule>
    <cfRule type="cellIs" dxfId="242" priority="349" operator="equal">
      <formula>1</formula>
    </cfRule>
  </conditionalFormatting>
  <conditionalFormatting sqref="M299:N299">
    <cfRule type="cellIs" dxfId="241" priority="346" operator="equal">
      <formula>0</formula>
    </cfRule>
    <cfRule type="cellIs" dxfId="240" priority="347" operator="equal">
      <formula>1</formula>
    </cfRule>
  </conditionalFormatting>
  <conditionalFormatting sqref="M308:N308">
    <cfRule type="cellIs" dxfId="239" priority="344" operator="equal">
      <formula>0</formula>
    </cfRule>
    <cfRule type="cellIs" dxfId="238" priority="345" operator="equal">
      <formula>1</formula>
    </cfRule>
  </conditionalFormatting>
  <conditionalFormatting sqref="M317:N317">
    <cfRule type="cellIs" dxfId="237" priority="342" operator="equal">
      <formula>0</formula>
    </cfRule>
    <cfRule type="cellIs" dxfId="236" priority="343" operator="equal">
      <formula>1</formula>
    </cfRule>
  </conditionalFormatting>
  <conditionalFormatting sqref="M326:N326">
    <cfRule type="cellIs" dxfId="235" priority="340" operator="equal">
      <formula>0</formula>
    </cfRule>
    <cfRule type="cellIs" dxfId="234" priority="341" operator="equal">
      <formula>1</formula>
    </cfRule>
  </conditionalFormatting>
  <conditionalFormatting sqref="M335:N335">
    <cfRule type="cellIs" dxfId="233" priority="338" operator="equal">
      <formula>0</formula>
    </cfRule>
    <cfRule type="cellIs" dxfId="232" priority="339" operator="equal">
      <formula>1</formula>
    </cfRule>
  </conditionalFormatting>
  <conditionalFormatting sqref="M344:N344">
    <cfRule type="cellIs" dxfId="231" priority="336" operator="equal">
      <formula>0</formula>
    </cfRule>
    <cfRule type="cellIs" dxfId="230" priority="337" operator="equal">
      <formula>1</formula>
    </cfRule>
  </conditionalFormatting>
  <conditionalFormatting sqref="M353:N353">
    <cfRule type="cellIs" dxfId="229" priority="334" operator="equal">
      <formula>0</formula>
    </cfRule>
    <cfRule type="cellIs" dxfId="228" priority="335" operator="equal">
      <formula>1</formula>
    </cfRule>
  </conditionalFormatting>
  <conditionalFormatting sqref="M362:N362">
    <cfRule type="cellIs" dxfId="227" priority="332" operator="equal">
      <formula>0</formula>
    </cfRule>
    <cfRule type="cellIs" dxfId="226" priority="333" operator="equal">
      <formula>1</formula>
    </cfRule>
  </conditionalFormatting>
  <conditionalFormatting sqref="M371:N371">
    <cfRule type="cellIs" dxfId="225" priority="330" operator="equal">
      <formula>0</formula>
    </cfRule>
    <cfRule type="cellIs" dxfId="224" priority="331" operator="equal">
      <formula>1</formula>
    </cfRule>
  </conditionalFormatting>
  <conditionalFormatting sqref="M380:N380">
    <cfRule type="cellIs" dxfId="223" priority="328" operator="equal">
      <formula>0</formula>
    </cfRule>
    <cfRule type="cellIs" dxfId="222" priority="329" operator="equal">
      <formula>1</formula>
    </cfRule>
  </conditionalFormatting>
  <conditionalFormatting sqref="M389:N389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M398:N398">
    <cfRule type="cellIs" dxfId="219" priority="324" operator="equal">
      <formula>0</formula>
    </cfRule>
    <cfRule type="cellIs" dxfId="218" priority="325" operator="equal">
      <formula>1</formula>
    </cfRule>
  </conditionalFormatting>
  <conditionalFormatting sqref="M407:N407">
    <cfRule type="cellIs" dxfId="217" priority="322" operator="equal">
      <formula>0</formula>
    </cfRule>
    <cfRule type="cellIs" dxfId="216" priority="323" operator="equal">
      <formula>1</formula>
    </cfRule>
  </conditionalFormatting>
  <conditionalFormatting sqref="M416:N416">
    <cfRule type="cellIs" dxfId="215" priority="320" operator="equal">
      <formula>0</formula>
    </cfRule>
    <cfRule type="cellIs" dxfId="214" priority="321" operator="equal">
      <formula>1</formula>
    </cfRule>
  </conditionalFormatting>
  <conditionalFormatting sqref="M427:N427">
    <cfRule type="cellIs" dxfId="213" priority="318" operator="equal">
      <formula>0</formula>
    </cfRule>
    <cfRule type="cellIs" dxfId="212" priority="319" operator="equal">
      <formula>1</formula>
    </cfRule>
  </conditionalFormatting>
  <conditionalFormatting sqref="M436:N436">
    <cfRule type="cellIs" dxfId="211" priority="316" operator="equal">
      <formula>0</formula>
    </cfRule>
    <cfRule type="cellIs" dxfId="210" priority="317" operator="equal">
      <formula>1</formula>
    </cfRule>
  </conditionalFormatting>
  <conditionalFormatting sqref="M445:N445">
    <cfRule type="cellIs" dxfId="209" priority="314" operator="equal">
      <formula>0</formula>
    </cfRule>
    <cfRule type="cellIs" dxfId="208" priority="315" operator="equal">
      <formula>1</formula>
    </cfRule>
  </conditionalFormatting>
  <conditionalFormatting sqref="M460:N460">
    <cfRule type="cellIs" dxfId="207" priority="312" operator="equal">
      <formula>0</formula>
    </cfRule>
    <cfRule type="cellIs" dxfId="206" priority="313" operator="equal">
      <formula>1</formula>
    </cfRule>
  </conditionalFormatting>
  <conditionalFormatting sqref="M467:N467">
    <cfRule type="cellIs" dxfId="205" priority="310" operator="equal">
      <formula>0</formula>
    </cfRule>
    <cfRule type="cellIs" dxfId="204" priority="311" operator="equal">
      <formula>1</formula>
    </cfRule>
  </conditionalFormatting>
  <conditionalFormatting sqref="M478:N478">
    <cfRule type="cellIs" dxfId="203" priority="308" operator="equal">
      <formula>0</formula>
    </cfRule>
    <cfRule type="cellIs" dxfId="202" priority="309" operator="equal">
      <formula>1</formula>
    </cfRule>
  </conditionalFormatting>
  <conditionalFormatting sqref="M483:N483">
    <cfRule type="cellIs" dxfId="201" priority="306" operator="equal">
      <formula>0</formula>
    </cfRule>
    <cfRule type="cellIs" dxfId="200" priority="307" operator="equal">
      <formula>1</formula>
    </cfRule>
  </conditionalFormatting>
  <conditionalFormatting sqref="M490:N490">
    <cfRule type="cellIs" dxfId="199" priority="304" operator="equal">
      <formula>0</formula>
    </cfRule>
    <cfRule type="cellIs" dxfId="198" priority="305" operator="equal">
      <formula>1</formula>
    </cfRule>
  </conditionalFormatting>
  <conditionalFormatting sqref="M500:N500">
    <cfRule type="cellIs" dxfId="197" priority="302" operator="equal">
      <formula>0</formula>
    </cfRule>
    <cfRule type="cellIs" dxfId="196" priority="303" operator="equal">
      <formula>1</formula>
    </cfRule>
  </conditionalFormatting>
  <conditionalFormatting sqref="M530:N530">
    <cfRule type="cellIs" dxfId="195" priority="300" operator="equal">
      <formula>0</formula>
    </cfRule>
    <cfRule type="cellIs" dxfId="194" priority="301" operator="equal">
      <formula>1</formula>
    </cfRule>
  </conditionalFormatting>
  <conditionalFormatting sqref="Y1:AF3">
    <cfRule type="cellIs" dxfId="193" priority="296" operator="equal">
      <formula>0</formula>
    </cfRule>
    <cfRule type="cellIs" dxfId="192" priority="297" operator="equal">
      <formula>1</formula>
    </cfRule>
  </conditionalFormatting>
  <conditionalFormatting sqref="K545">
    <cfRule type="cellIs" dxfId="191" priority="294" operator="equal">
      <formula>0</formula>
    </cfRule>
    <cfRule type="cellIs" dxfId="190" priority="295" operator="equal">
      <formula>1</formula>
    </cfRule>
  </conditionalFormatting>
  <conditionalFormatting sqref="J545">
    <cfRule type="cellIs" dxfId="189" priority="292" operator="equal">
      <formula>0</formula>
    </cfRule>
    <cfRule type="cellIs" dxfId="188" priority="293" operator="equal">
      <formula>1</formula>
    </cfRule>
  </conditionalFormatting>
  <conditionalFormatting sqref="M545:N545">
    <cfRule type="cellIs" dxfId="187" priority="290" operator="equal">
      <formula>0</formula>
    </cfRule>
    <cfRule type="cellIs" dxfId="186" priority="291" operator="equal">
      <formula>1</formula>
    </cfRule>
  </conditionalFormatting>
  <conditionalFormatting sqref="K564">
    <cfRule type="cellIs" dxfId="185" priority="279" operator="equal">
      <formula>0</formula>
    </cfRule>
    <cfRule type="cellIs" dxfId="184" priority="280" operator="equal">
      <formula>1</formula>
    </cfRule>
  </conditionalFormatting>
  <conditionalFormatting sqref="J564">
    <cfRule type="cellIs" dxfId="183" priority="277" operator="equal">
      <formula>0</formula>
    </cfRule>
    <cfRule type="cellIs" dxfId="182" priority="278" operator="equal">
      <formula>1</formula>
    </cfRule>
  </conditionalFormatting>
  <conditionalFormatting sqref="M564:N564">
    <cfRule type="cellIs" dxfId="181" priority="275" operator="equal">
      <formula>0</formula>
    </cfRule>
    <cfRule type="cellIs" dxfId="180" priority="276" operator="equal">
      <formula>1</formula>
    </cfRule>
  </conditionalFormatting>
  <conditionalFormatting sqref="K575">
    <cfRule type="cellIs" dxfId="179" priority="273" operator="equal">
      <formula>0</formula>
    </cfRule>
    <cfRule type="cellIs" dxfId="178" priority="274" operator="equal">
      <formula>1</formula>
    </cfRule>
  </conditionalFormatting>
  <conditionalFormatting sqref="J575">
    <cfRule type="cellIs" dxfId="177" priority="271" operator="equal">
      <formula>0</formula>
    </cfRule>
    <cfRule type="cellIs" dxfId="176" priority="272" operator="equal">
      <formula>1</formula>
    </cfRule>
  </conditionalFormatting>
  <conditionalFormatting sqref="M575:N575">
    <cfRule type="cellIs" dxfId="175" priority="269" operator="equal">
      <formula>0</formula>
    </cfRule>
    <cfRule type="cellIs" dxfId="174" priority="270" operator="equal">
      <formula>1</formula>
    </cfRule>
  </conditionalFormatting>
  <conditionalFormatting sqref="K586">
    <cfRule type="cellIs" dxfId="173" priority="267" operator="equal">
      <formula>0</formula>
    </cfRule>
    <cfRule type="cellIs" dxfId="172" priority="268" operator="equal">
      <formula>1</formula>
    </cfRule>
  </conditionalFormatting>
  <conditionalFormatting sqref="J586">
    <cfRule type="cellIs" dxfId="171" priority="265" operator="equal">
      <formula>0</formula>
    </cfRule>
    <cfRule type="cellIs" dxfId="170" priority="266" operator="equal">
      <formula>1</formula>
    </cfRule>
  </conditionalFormatting>
  <conditionalFormatting sqref="M586:N586">
    <cfRule type="cellIs" dxfId="169" priority="263" operator="equal">
      <formula>0</formula>
    </cfRule>
    <cfRule type="cellIs" dxfId="168" priority="264" operator="equal">
      <formula>1</formula>
    </cfRule>
  </conditionalFormatting>
  <conditionalFormatting sqref="J317">
    <cfRule type="cellIs" dxfId="167" priority="261" operator="equal">
      <formula>0</formula>
    </cfRule>
    <cfRule type="cellIs" dxfId="166" priority="262" operator="equal">
      <formula>1</formula>
    </cfRule>
  </conditionalFormatting>
  <conditionalFormatting sqref="J326">
    <cfRule type="cellIs" dxfId="165" priority="259" operator="equal">
      <formula>0</formula>
    </cfRule>
    <cfRule type="cellIs" dxfId="164" priority="260" operator="equal">
      <formula>1</formula>
    </cfRule>
  </conditionalFormatting>
  <conditionalFormatting sqref="J335">
    <cfRule type="cellIs" dxfId="163" priority="257" operator="equal">
      <formula>0</formula>
    </cfRule>
    <cfRule type="cellIs" dxfId="162" priority="258" operator="equal">
      <formula>1</formula>
    </cfRule>
  </conditionalFormatting>
  <conditionalFormatting sqref="J344">
    <cfRule type="cellIs" dxfId="161" priority="255" operator="equal">
      <formula>0</formula>
    </cfRule>
    <cfRule type="cellIs" dxfId="160" priority="256" operator="equal">
      <formula>1</formula>
    </cfRule>
  </conditionalFormatting>
  <conditionalFormatting sqref="J353">
    <cfRule type="cellIs" dxfId="159" priority="253" operator="equal">
      <formula>0</formula>
    </cfRule>
    <cfRule type="cellIs" dxfId="158" priority="254" operator="equal">
      <formula>1</formula>
    </cfRule>
  </conditionalFormatting>
  <conditionalFormatting sqref="J362">
    <cfRule type="cellIs" dxfId="157" priority="251" operator="equal">
      <formula>0</formula>
    </cfRule>
    <cfRule type="cellIs" dxfId="156" priority="252" operator="equal">
      <formula>1</formula>
    </cfRule>
  </conditionalFormatting>
  <conditionalFormatting sqref="J389">
    <cfRule type="cellIs" dxfId="155" priority="249" operator="equal">
      <formula>0</formula>
    </cfRule>
    <cfRule type="cellIs" dxfId="154" priority="250" operator="equal">
      <formula>1</formula>
    </cfRule>
  </conditionalFormatting>
  <conditionalFormatting sqref="J398">
    <cfRule type="cellIs" dxfId="153" priority="247" operator="equal">
      <formula>0</formula>
    </cfRule>
    <cfRule type="cellIs" dxfId="152" priority="248" operator="equal">
      <formula>1</formula>
    </cfRule>
  </conditionalFormatting>
  <conditionalFormatting sqref="J407">
    <cfRule type="cellIs" dxfId="151" priority="245" operator="equal">
      <formula>0</formula>
    </cfRule>
    <cfRule type="cellIs" dxfId="150" priority="246" operator="equal">
      <formula>1</formula>
    </cfRule>
  </conditionalFormatting>
  <conditionalFormatting sqref="J427">
    <cfRule type="cellIs" dxfId="149" priority="243" operator="equal">
      <formula>0</formula>
    </cfRule>
    <cfRule type="cellIs" dxfId="148" priority="244" operator="equal">
      <formula>1</formula>
    </cfRule>
  </conditionalFormatting>
  <conditionalFormatting sqref="J436">
    <cfRule type="cellIs" dxfId="147" priority="241" operator="equal">
      <formula>0</formula>
    </cfRule>
    <cfRule type="cellIs" dxfId="146" priority="242" operator="equal">
      <formula>1</formula>
    </cfRule>
  </conditionalFormatting>
  <conditionalFormatting sqref="K593">
    <cfRule type="cellIs" dxfId="145" priority="239" operator="equal">
      <formula>0</formula>
    </cfRule>
    <cfRule type="cellIs" dxfId="144" priority="240" operator="equal">
      <formula>1</formula>
    </cfRule>
  </conditionalFormatting>
  <conditionalFormatting sqref="J593">
    <cfRule type="cellIs" dxfId="143" priority="237" operator="equal">
      <formula>0</formula>
    </cfRule>
    <cfRule type="cellIs" dxfId="142" priority="238" operator="equal">
      <formula>1</formula>
    </cfRule>
  </conditionalFormatting>
  <conditionalFormatting sqref="M593:N593">
    <cfRule type="cellIs" dxfId="141" priority="235" operator="equal">
      <formula>0</formula>
    </cfRule>
    <cfRule type="cellIs" dxfId="140" priority="236" operator="equal">
      <formula>1</formula>
    </cfRule>
  </conditionalFormatting>
  <conditionalFormatting sqref="K600">
    <cfRule type="cellIs" dxfId="139" priority="233" operator="equal">
      <formula>0</formula>
    </cfRule>
    <cfRule type="cellIs" dxfId="138" priority="234" operator="equal">
      <formula>1</formula>
    </cfRule>
  </conditionalFormatting>
  <conditionalFormatting sqref="J600">
    <cfRule type="cellIs" dxfId="137" priority="231" operator="equal">
      <formula>0</formula>
    </cfRule>
    <cfRule type="cellIs" dxfId="136" priority="232" operator="equal">
      <formula>1</formula>
    </cfRule>
  </conditionalFormatting>
  <conditionalFormatting sqref="M600:N600">
    <cfRule type="cellIs" dxfId="135" priority="229" operator="equal">
      <formula>0</formula>
    </cfRule>
    <cfRule type="cellIs" dxfId="134" priority="230" operator="equal">
      <formula>1</formula>
    </cfRule>
  </conditionalFormatting>
  <conditionalFormatting sqref="K607">
    <cfRule type="cellIs" dxfId="133" priority="227" operator="equal">
      <formula>0</formula>
    </cfRule>
    <cfRule type="cellIs" dxfId="132" priority="228" operator="equal">
      <formula>1</formula>
    </cfRule>
  </conditionalFormatting>
  <conditionalFormatting sqref="J607">
    <cfRule type="cellIs" dxfId="131" priority="221" operator="equal">
      <formula>0</formula>
    </cfRule>
    <cfRule type="cellIs" dxfId="130" priority="222" operator="equal">
      <formula>1</formula>
    </cfRule>
  </conditionalFormatting>
  <conditionalFormatting sqref="M607:N607">
    <cfRule type="cellIs" dxfId="129" priority="219" operator="equal">
      <formula>0</formula>
    </cfRule>
    <cfRule type="cellIs" dxfId="128" priority="220" operator="equal">
      <formula>1</formula>
    </cfRule>
  </conditionalFormatting>
  <conditionalFormatting sqref="K614">
    <cfRule type="cellIs" dxfId="127" priority="217" operator="equal">
      <formula>0</formula>
    </cfRule>
    <cfRule type="cellIs" dxfId="126" priority="218" operator="equal">
      <formula>1</formula>
    </cfRule>
  </conditionalFormatting>
  <conditionalFormatting sqref="J614">
    <cfRule type="cellIs" dxfId="125" priority="211" operator="equal">
      <formula>0</formula>
    </cfRule>
    <cfRule type="cellIs" dxfId="124" priority="212" operator="equal">
      <formula>1</formula>
    </cfRule>
  </conditionalFormatting>
  <conditionalFormatting sqref="M614:N614">
    <cfRule type="cellIs" dxfId="123" priority="209" operator="equal">
      <formula>0</formula>
    </cfRule>
    <cfRule type="cellIs" dxfId="122" priority="210" operator="equal">
      <formula>1</formula>
    </cfRule>
  </conditionalFormatting>
  <conditionalFormatting sqref="K621">
    <cfRule type="cellIs" dxfId="121" priority="207" operator="equal">
      <formula>0</formula>
    </cfRule>
    <cfRule type="cellIs" dxfId="120" priority="208" operator="equal">
      <formula>1</formula>
    </cfRule>
  </conditionalFormatting>
  <conditionalFormatting sqref="J621">
    <cfRule type="cellIs" dxfId="119" priority="201" operator="equal">
      <formula>0</formula>
    </cfRule>
    <cfRule type="cellIs" dxfId="118" priority="202" operator="equal">
      <formula>1</formula>
    </cfRule>
  </conditionalFormatting>
  <conditionalFormatting sqref="M621:N621">
    <cfRule type="cellIs" dxfId="117" priority="199" operator="equal">
      <formula>0</formula>
    </cfRule>
    <cfRule type="cellIs" dxfId="116" priority="200" operator="equal">
      <formula>1</formula>
    </cfRule>
  </conditionalFormatting>
  <conditionalFormatting sqref="K629">
    <cfRule type="cellIs" dxfId="115" priority="191" operator="equal">
      <formula>0</formula>
    </cfRule>
    <cfRule type="cellIs" dxfId="114" priority="192" operator="equal">
      <formula>1</formula>
    </cfRule>
  </conditionalFormatting>
  <conditionalFormatting sqref="K647">
    <cfRule type="cellIs" dxfId="113" priority="185" operator="equal">
      <formula>0</formula>
    </cfRule>
    <cfRule type="cellIs" dxfId="112" priority="186" operator="equal">
      <formula>1</formula>
    </cfRule>
  </conditionalFormatting>
  <conditionalFormatting sqref="K655">
    <cfRule type="cellIs" dxfId="111" priority="179" operator="equal">
      <formula>0</formula>
    </cfRule>
    <cfRule type="cellIs" dxfId="110" priority="180" operator="equal">
      <formula>1</formula>
    </cfRule>
  </conditionalFormatting>
  <conditionalFormatting sqref="K663">
    <cfRule type="cellIs" dxfId="109" priority="173" operator="equal">
      <formula>0</formula>
    </cfRule>
    <cfRule type="cellIs" dxfId="108" priority="174" operator="equal">
      <formula>1</formula>
    </cfRule>
  </conditionalFormatting>
  <conditionalFormatting sqref="K672">
    <cfRule type="cellIs" dxfId="107" priority="167" operator="equal">
      <formula>0</formula>
    </cfRule>
    <cfRule type="cellIs" dxfId="106" priority="168" operator="equal">
      <formula>1</formula>
    </cfRule>
  </conditionalFormatting>
  <conditionalFormatting sqref="K681">
    <cfRule type="cellIs" dxfId="105" priority="161" operator="equal">
      <formula>0</formula>
    </cfRule>
    <cfRule type="cellIs" dxfId="104" priority="162" operator="equal">
      <formula>1</formula>
    </cfRule>
  </conditionalFormatting>
  <conditionalFormatting sqref="K690">
    <cfRule type="cellIs" dxfId="103" priority="155" operator="equal">
      <formula>0</formula>
    </cfRule>
    <cfRule type="cellIs" dxfId="102" priority="156" operator="equal">
      <formula>1</formula>
    </cfRule>
  </conditionalFormatting>
  <conditionalFormatting sqref="K699">
    <cfRule type="cellIs" dxfId="101" priority="149" operator="equal">
      <formula>0</formula>
    </cfRule>
    <cfRule type="cellIs" dxfId="100" priority="150" operator="equal">
      <formula>1</formula>
    </cfRule>
  </conditionalFormatting>
  <conditionalFormatting sqref="K708">
    <cfRule type="cellIs" dxfId="99" priority="143" operator="equal">
      <formula>0</formula>
    </cfRule>
    <cfRule type="cellIs" dxfId="98" priority="144" operator="equal">
      <formula>1</formula>
    </cfRule>
  </conditionalFormatting>
  <conditionalFormatting sqref="K717">
    <cfRule type="cellIs" dxfId="97" priority="137" operator="equal">
      <formula>0</formula>
    </cfRule>
    <cfRule type="cellIs" dxfId="96" priority="138" operator="equal">
      <formula>1</formula>
    </cfRule>
  </conditionalFormatting>
  <conditionalFormatting sqref="K726">
    <cfRule type="cellIs" dxfId="95" priority="131" operator="equal">
      <formula>0</formula>
    </cfRule>
    <cfRule type="cellIs" dxfId="94" priority="132" operator="equal">
      <formula>1</formula>
    </cfRule>
  </conditionalFormatting>
  <conditionalFormatting sqref="K735">
    <cfRule type="cellIs" dxfId="93" priority="125" operator="equal">
      <formula>0</formula>
    </cfRule>
    <cfRule type="cellIs" dxfId="92" priority="126" operator="equal">
      <formula>1</formula>
    </cfRule>
  </conditionalFormatting>
  <conditionalFormatting sqref="K744">
    <cfRule type="cellIs" dxfId="91" priority="119" operator="equal">
      <formula>0</formula>
    </cfRule>
    <cfRule type="cellIs" dxfId="90" priority="120" operator="equal">
      <formula>1</formula>
    </cfRule>
  </conditionalFormatting>
  <conditionalFormatting sqref="K753">
    <cfRule type="cellIs" dxfId="89" priority="113" operator="equal">
      <formula>0</formula>
    </cfRule>
    <cfRule type="cellIs" dxfId="88" priority="114" operator="equal">
      <formula>1</formula>
    </cfRule>
  </conditionalFormatting>
  <conditionalFormatting sqref="K762">
    <cfRule type="cellIs" dxfId="87" priority="107" operator="equal">
      <formula>0</formula>
    </cfRule>
    <cfRule type="cellIs" dxfId="86" priority="108" operator="equal">
      <formula>1</formula>
    </cfRule>
  </conditionalFormatting>
  <conditionalFormatting sqref="K770">
    <cfRule type="cellIs" dxfId="85" priority="101" operator="equal">
      <formula>0</formula>
    </cfRule>
    <cfRule type="cellIs" dxfId="84" priority="102" operator="equal">
      <formula>1</formula>
    </cfRule>
  </conditionalFormatting>
  <conditionalFormatting sqref="K782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K793">
    <cfRule type="cellIs" dxfId="81" priority="89" operator="equal">
      <formula>0</formula>
    </cfRule>
    <cfRule type="cellIs" dxfId="80" priority="90" operator="equal">
      <formula>1</formula>
    </cfRule>
  </conditionalFormatting>
  <conditionalFormatting sqref="K637">
    <cfRule type="cellIs" dxfId="79" priority="83" operator="equal">
      <formula>0</formula>
    </cfRule>
    <cfRule type="cellIs" dxfId="78" priority="84" operator="equal">
      <formula>1</formula>
    </cfRule>
  </conditionalFormatting>
  <conditionalFormatting sqref="J629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M629:N629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637:N637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M647:N647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M655:N655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663:N663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M672:N672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M681:N681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690:N690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M699:N699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M708:N708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717:N71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M726:N72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735:N735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744:N744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M753:N753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762:N762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770:N770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M782:N78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793:N79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637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J64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65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663">
    <cfRule type="cellIs" dxfId="31" priority="29" operator="equal">
      <formula>0</formula>
    </cfRule>
    <cfRule type="cellIs" dxfId="30" priority="30" operator="equal">
      <formula>1</formula>
    </cfRule>
  </conditionalFormatting>
  <conditionalFormatting sqref="J672">
    <cfRule type="cellIs" dxfId="29" priority="27" operator="equal">
      <formula>0</formula>
    </cfRule>
    <cfRule type="cellIs" dxfId="28" priority="28" operator="equal">
      <formula>1</formula>
    </cfRule>
  </conditionalFormatting>
  <conditionalFormatting sqref="J681">
    <cfRule type="cellIs" dxfId="27" priority="25" operator="equal">
      <formula>0</formula>
    </cfRule>
    <cfRule type="cellIs" dxfId="26" priority="26" operator="equal">
      <formula>1</formula>
    </cfRule>
  </conditionalFormatting>
  <conditionalFormatting sqref="J690">
    <cfRule type="cellIs" dxfId="25" priority="23" operator="equal">
      <formula>0</formula>
    </cfRule>
    <cfRule type="cellIs" dxfId="24" priority="24" operator="equal">
      <formula>1</formula>
    </cfRule>
  </conditionalFormatting>
  <conditionalFormatting sqref="J699">
    <cfRule type="cellIs" dxfId="23" priority="21" operator="equal">
      <formula>0</formula>
    </cfRule>
    <cfRule type="cellIs" dxfId="22" priority="22" operator="equal">
      <formula>1</formula>
    </cfRule>
  </conditionalFormatting>
  <conditionalFormatting sqref="J708">
    <cfRule type="cellIs" dxfId="21" priority="19" operator="equal">
      <formula>0</formula>
    </cfRule>
    <cfRule type="cellIs" dxfId="20" priority="20" operator="equal">
      <formula>1</formula>
    </cfRule>
  </conditionalFormatting>
  <conditionalFormatting sqref="J717">
    <cfRule type="cellIs" dxfId="19" priority="17" operator="equal">
      <formula>0</formula>
    </cfRule>
    <cfRule type="cellIs" dxfId="18" priority="18" operator="equal">
      <formula>1</formula>
    </cfRule>
  </conditionalFormatting>
  <conditionalFormatting sqref="J726">
    <cfRule type="cellIs" dxfId="17" priority="15" operator="equal">
      <formula>0</formula>
    </cfRule>
    <cfRule type="cellIs" dxfId="16" priority="16" operator="equal">
      <formula>1</formula>
    </cfRule>
  </conditionalFormatting>
  <conditionalFormatting sqref="J735">
    <cfRule type="cellIs" dxfId="15" priority="13" operator="equal">
      <formula>0</formula>
    </cfRule>
    <cfRule type="cellIs" dxfId="14" priority="14" operator="equal">
      <formula>1</formula>
    </cfRule>
  </conditionalFormatting>
  <conditionalFormatting sqref="J744">
    <cfRule type="cellIs" dxfId="13" priority="11" operator="equal">
      <formula>0</formula>
    </cfRule>
    <cfRule type="cellIs" dxfId="12" priority="12" operator="equal">
      <formula>1</formula>
    </cfRule>
  </conditionalFormatting>
  <conditionalFormatting sqref="J753">
    <cfRule type="cellIs" dxfId="11" priority="9" operator="equal">
      <formula>0</formula>
    </cfRule>
    <cfRule type="cellIs" dxfId="10" priority="10" operator="equal">
      <formula>1</formula>
    </cfRule>
  </conditionalFormatting>
  <conditionalFormatting sqref="J793">
    <cfRule type="cellIs" dxfId="9" priority="7" operator="equal">
      <formula>0</formula>
    </cfRule>
    <cfRule type="cellIs" dxfId="8" priority="8" operator="equal">
      <formula>1</formula>
    </cfRule>
  </conditionalFormatting>
  <conditionalFormatting sqref="J762">
    <cfRule type="cellIs" dxfId="7" priority="5" operator="equal">
      <formula>0</formula>
    </cfRule>
    <cfRule type="cellIs" dxfId="6" priority="6" operator="equal">
      <formula>1</formula>
    </cfRule>
  </conditionalFormatting>
  <conditionalFormatting sqref="J770">
    <cfRule type="cellIs" dxfId="5" priority="3" operator="equal">
      <formula>0</formula>
    </cfRule>
    <cfRule type="cellIs" dxfId="4" priority="4" operator="equal">
      <formula>1</formula>
    </cfRule>
  </conditionalFormatting>
  <conditionalFormatting sqref="J782">
    <cfRule type="cellIs" dxfId="3" priority="1" operator="equal">
      <formula>0</formula>
    </cfRule>
    <cfRule type="cellIs" dxfId="2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2" sqref="H1:H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438</v>
      </c>
      <c r="B2" s="55" t="s">
        <v>790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791</v>
      </c>
    </row>
    <row r="3" spans="1:8">
      <c r="A3" s="6" t="s">
        <v>435</v>
      </c>
      <c r="B3" s="55" t="s">
        <v>960</v>
      </c>
      <c r="C3" s="55">
        <f t="shared" si="0"/>
        <v>1</v>
      </c>
      <c r="D3" s="6" t="s">
        <v>151</v>
      </c>
      <c r="E3" s="6"/>
      <c r="F3" s="6">
        <v>1</v>
      </c>
      <c r="G3" s="6">
        <v>4</v>
      </c>
      <c r="H3" s="6" t="s">
        <v>675</v>
      </c>
    </row>
    <row r="4" spans="1:8">
      <c r="A4" s="6" t="s">
        <v>435</v>
      </c>
      <c r="B4" s="55" t="s">
        <v>961</v>
      </c>
      <c r="C4" s="55">
        <f t="shared" si="0"/>
        <v>1</v>
      </c>
      <c r="D4" s="6" t="s">
        <v>189</v>
      </c>
      <c r="E4" s="6"/>
      <c r="F4" s="6">
        <v>1</v>
      </c>
      <c r="G4" s="6">
        <v>4</v>
      </c>
      <c r="H4" s="6" t="s">
        <v>676</v>
      </c>
    </row>
    <row r="5" spans="1:8">
      <c r="A5" s="6" t="s">
        <v>435</v>
      </c>
      <c r="B5" s="55" t="s">
        <v>677</v>
      </c>
      <c r="C5" s="55">
        <f t="shared" si="0"/>
        <v>1</v>
      </c>
      <c r="D5" s="6" t="s">
        <v>190</v>
      </c>
      <c r="E5" s="6"/>
      <c r="F5" s="6">
        <v>1</v>
      </c>
      <c r="G5" s="6">
        <v>4</v>
      </c>
      <c r="H5" s="6" t="s">
        <v>678</v>
      </c>
    </row>
    <row r="6" spans="1:8">
      <c r="A6" s="6" t="s">
        <v>435</v>
      </c>
      <c r="B6" s="55" t="s">
        <v>679</v>
      </c>
      <c r="C6" s="55">
        <f t="shared" si="0"/>
        <v>1</v>
      </c>
      <c r="D6" s="6" t="s">
        <v>272</v>
      </c>
      <c r="E6" s="6"/>
      <c r="F6" s="6">
        <v>1</v>
      </c>
      <c r="G6" s="6">
        <v>4</v>
      </c>
      <c r="H6" s="6" t="s">
        <v>680</v>
      </c>
    </row>
    <row r="7" spans="1:8">
      <c r="A7" s="6" t="s">
        <v>435</v>
      </c>
      <c r="B7" s="55" t="s">
        <v>681</v>
      </c>
      <c r="C7" s="55">
        <f t="shared" si="0"/>
        <v>1</v>
      </c>
      <c r="D7" s="6" t="s">
        <v>310</v>
      </c>
      <c r="E7" s="6"/>
      <c r="F7" s="6">
        <v>1</v>
      </c>
      <c r="G7" s="6">
        <v>4</v>
      </c>
      <c r="H7" s="6" t="s">
        <v>682</v>
      </c>
    </row>
    <row r="8" spans="1:8">
      <c r="A8" s="6" t="s">
        <v>435</v>
      </c>
      <c r="B8" s="55" t="s">
        <v>683</v>
      </c>
      <c r="C8" s="55">
        <f t="shared" si="0"/>
        <v>1</v>
      </c>
      <c r="D8" s="6" t="s">
        <v>334</v>
      </c>
      <c r="E8" s="6"/>
      <c r="F8" s="6">
        <v>1</v>
      </c>
      <c r="G8" s="6">
        <v>4</v>
      </c>
      <c r="H8" s="6" t="s">
        <v>684</v>
      </c>
    </row>
    <row r="9" spans="1:8">
      <c r="A9" s="6" t="s">
        <v>435</v>
      </c>
      <c r="B9" s="55" t="s">
        <v>685</v>
      </c>
      <c r="C9" s="55">
        <f t="shared" si="0"/>
        <v>1</v>
      </c>
      <c r="D9" s="6" t="s">
        <v>587</v>
      </c>
      <c r="E9" s="6"/>
      <c r="F9" s="6">
        <v>1</v>
      </c>
      <c r="G9" s="6">
        <v>7</v>
      </c>
      <c r="H9" s="6" t="s">
        <v>686</v>
      </c>
    </row>
    <row r="10" spans="1:8">
      <c r="A10" s="6" t="s">
        <v>435</v>
      </c>
      <c r="B10" s="55" t="s">
        <v>687</v>
      </c>
      <c r="C10" s="55">
        <f t="shared" si="0"/>
        <v>1</v>
      </c>
      <c r="D10" s="6" t="s">
        <v>153</v>
      </c>
      <c r="E10" s="6"/>
      <c r="F10" s="6">
        <v>1</v>
      </c>
      <c r="G10" s="6">
        <v>4</v>
      </c>
      <c r="H10" s="6" t="s">
        <v>688</v>
      </c>
    </row>
    <row r="11" spans="1:8">
      <c r="A11" s="6" t="s">
        <v>399</v>
      </c>
      <c r="B11" s="55" t="s">
        <v>223</v>
      </c>
      <c r="C11" s="55">
        <f t="shared" si="0"/>
        <v>1</v>
      </c>
      <c r="D11" s="6" t="s">
        <v>151</v>
      </c>
      <c r="E11" s="6"/>
      <c r="F11" s="6">
        <v>1</v>
      </c>
      <c r="G11" s="6">
        <v>4</v>
      </c>
      <c r="H11" s="6" t="s">
        <v>667</v>
      </c>
    </row>
    <row r="12" spans="1:8">
      <c r="A12" s="6" t="s">
        <v>399</v>
      </c>
      <c r="B12" s="55" t="s">
        <v>459</v>
      </c>
      <c r="C12" s="55">
        <f t="shared" si="0"/>
        <v>1</v>
      </c>
      <c r="D12" s="6" t="s">
        <v>189</v>
      </c>
      <c r="E12" s="6"/>
      <c r="F12" s="6">
        <v>1</v>
      </c>
      <c r="G12" s="6">
        <v>4</v>
      </c>
      <c r="H12" s="6" t="s">
        <v>668</v>
      </c>
    </row>
    <row r="13" spans="1:8">
      <c r="A13" s="6" t="s">
        <v>399</v>
      </c>
      <c r="B13" s="55" t="s">
        <v>283</v>
      </c>
      <c r="C13" s="55">
        <f t="shared" si="0"/>
        <v>1</v>
      </c>
      <c r="D13" s="6" t="s">
        <v>190</v>
      </c>
      <c r="E13" s="6"/>
      <c r="F13" s="6">
        <v>1</v>
      </c>
      <c r="G13" s="6">
        <v>4</v>
      </c>
      <c r="H13" s="6" t="s">
        <v>669</v>
      </c>
    </row>
    <row r="14" spans="1:8">
      <c r="A14" s="6" t="s">
        <v>399</v>
      </c>
      <c r="B14" s="55" t="s">
        <v>955</v>
      </c>
      <c r="C14" s="55">
        <f t="shared" si="0"/>
        <v>1</v>
      </c>
      <c r="D14" s="6" t="s">
        <v>272</v>
      </c>
      <c r="E14" s="6"/>
      <c r="F14" s="6">
        <v>1</v>
      </c>
      <c r="G14" s="6">
        <v>4</v>
      </c>
      <c r="H14" s="6" t="s">
        <v>670</v>
      </c>
    </row>
    <row r="15" spans="1:8">
      <c r="A15" s="6" t="s">
        <v>399</v>
      </c>
      <c r="B15" s="55" t="s">
        <v>956</v>
      </c>
      <c r="C15" s="55">
        <f t="shared" si="0"/>
        <v>1</v>
      </c>
      <c r="D15" s="6" t="s">
        <v>310</v>
      </c>
      <c r="E15" s="6"/>
      <c r="F15" s="6">
        <v>1</v>
      </c>
      <c r="G15" s="6">
        <v>4</v>
      </c>
      <c r="H15" s="6" t="s">
        <v>671</v>
      </c>
    </row>
    <row r="16" spans="1:8">
      <c r="A16" s="6" t="s">
        <v>399</v>
      </c>
      <c r="B16" s="55" t="s">
        <v>957</v>
      </c>
      <c r="C16" s="55">
        <f t="shared" si="0"/>
        <v>1</v>
      </c>
      <c r="D16" s="6" t="s">
        <v>334</v>
      </c>
      <c r="E16" s="6"/>
      <c r="F16" s="6">
        <v>1</v>
      </c>
      <c r="G16" s="6">
        <v>4</v>
      </c>
      <c r="H16" s="6" t="s">
        <v>672</v>
      </c>
    </row>
    <row r="17" spans="1:8">
      <c r="A17" s="6" t="s">
        <v>399</v>
      </c>
      <c r="B17" s="55" t="s">
        <v>958</v>
      </c>
      <c r="C17" s="55">
        <f t="shared" si="0"/>
        <v>1</v>
      </c>
      <c r="D17" s="6" t="s">
        <v>587</v>
      </c>
      <c r="E17" s="6"/>
      <c r="F17" s="6">
        <v>1</v>
      </c>
      <c r="G17" s="6">
        <v>7</v>
      </c>
      <c r="H17" s="6" t="s">
        <v>673</v>
      </c>
    </row>
    <row r="18" spans="1:8">
      <c r="A18" s="6" t="s">
        <v>399</v>
      </c>
      <c r="B18" s="55" t="s">
        <v>959</v>
      </c>
      <c r="C18" s="55">
        <f t="shared" si="0"/>
        <v>1</v>
      </c>
      <c r="D18" s="6" t="s">
        <v>153</v>
      </c>
      <c r="E18" s="6"/>
      <c r="F18" s="6">
        <v>1</v>
      </c>
      <c r="G18" s="6">
        <v>4</v>
      </c>
      <c r="H18" s="6" t="s">
        <v>674</v>
      </c>
    </row>
    <row r="19" spans="1:8">
      <c r="A19" s="6" t="s">
        <v>402</v>
      </c>
      <c r="B19" s="55" t="s">
        <v>776</v>
      </c>
      <c r="C19" s="55">
        <f t="shared" si="0"/>
        <v>2</v>
      </c>
      <c r="D19" s="6" t="s">
        <v>137</v>
      </c>
      <c r="E19" s="6" t="s">
        <v>137</v>
      </c>
      <c r="F19" s="6">
        <v>2</v>
      </c>
      <c r="G19" s="6">
        <v>7</v>
      </c>
      <c r="H19" s="6" t="s">
        <v>777</v>
      </c>
    </row>
    <row r="20" spans="1:8">
      <c r="A20" s="6" t="s">
        <v>408</v>
      </c>
      <c r="B20" s="55" t="s">
        <v>711</v>
      </c>
      <c r="C20" s="55">
        <f t="shared" si="0"/>
        <v>1</v>
      </c>
      <c r="D20" s="6" t="s">
        <v>151</v>
      </c>
      <c r="E20" s="6"/>
      <c r="F20" s="6">
        <v>1</v>
      </c>
      <c r="G20" s="6">
        <v>4</v>
      </c>
      <c r="H20" s="6" t="s">
        <v>712</v>
      </c>
    </row>
    <row r="21" spans="1:8">
      <c r="A21" s="6" t="s">
        <v>408</v>
      </c>
      <c r="B21" s="55" t="s">
        <v>713</v>
      </c>
      <c r="C21" s="55">
        <f t="shared" si="0"/>
        <v>1</v>
      </c>
      <c r="D21" s="6" t="s">
        <v>189</v>
      </c>
      <c r="E21" s="6"/>
      <c r="F21" s="6">
        <v>1</v>
      </c>
      <c r="G21" s="6">
        <v>4</v>
      </c>
      <c r="H21" s="6" t="s">
        <v>714</v>
      </c>
    </row>
    <row r="22" spans="1:8">
      <c r="A22" s="6" t="s">
        <v>408</v>
      </c>
      <c r="B22" s="55" t="s">
        <v>715</v>
      </c>
      <c r="C22" s="55">
        <f t="shared" si="0"/>
        <v>1</v>
      </c>
      <c r="D22" s="6" t="s">
        <v>190</v>
      </c>
      <c r="E22" s="6"/>
      <c r="F22" s="6">
        <v>1</v>
      </c>
      <c r="G22" s="6">
        <v>4</v>
      </c>
      <c r="H22" s="6" t="s">
        <v>716</v>
      </c>
    </row>
    <row r="23" spans="1:8">
      <c r="A23" s="6" t="s">
        <v>408</v>
      </c>
      <c r="B23" s="55" t="s">
        <v>717</v>
      </c>
      <c r="C23" s="55">
        <f t="shared" si="0"/>
        <v>1</v>
      </c>
      <c r="D23" s="6" t="s">
        <v>272</v>
      </c>
      <c r="E23" s="6"/>
      <c r="F23" s="6">
        <v>1</v>
      </c>
      <c r="G23" s="6">
        <v>4</v>
      </c>
      <c r="H23" s="6" t="s">
        <v>718</v>
      </c>
    </row>
    <row r="24" spans="1:8">
      <c r="A24" s="6" t="s">
        <v>408</v>
      </c>
      <c r="B24" s="55" t="s">
        <v>719</v>
      </c>
      <c r="C24" s="55">
        <f t="shared" si="0"/>
        <v>1</v>
      </c>
      <c r="D24" s="6" t="s">
        <v>310</v>
      </c>
      <c r="E24" s="6"/>
      <c r="F24" s="6">
        <v>1</v>
      </c>
      <c r="G24" s="6">
        <v>4</v>
      </c>
      <c r="H24" s="6" t="s">
        <v>720</v>
      </c>
    </row>
    <row r="25" spans="1:8">
      <c r="A25" s="6" t="s">
        <v>408</v>
      </c>
      <c r="B25" s="55" t="s">
        <v>721</v>
      </c>
      <c r="C25" s="55">
        <f t="shared" si="0"/>
        <v>1</v>
      </c>
      <c r="D25" s="6" t="s">
        <v>334</v>
      </c>
      <c r="E25" s="6"/>
      <c r="F25" s="6">
        <v>1</v>
      </c>
      <c r="G25" s="6">
        <v>4</v>
      </c>
      <c r="H25" s="6" t="s">
        <v>722</v>
      </c>
    </row>
    <row r="26" spans="1:8">
      <c r="A26" s="6" t="s">
        <v>408</v>
      </c>
      <c r="B26" s="55" t="s">
        <v>723</v>
      </c>
      <c r="C26" s="55">
        <f t="shared" si="0"/>
        <v>1</v>
      </c>
      <c r="D26" s="6" t="s">
        <v>587</v>
      </c>
      <c r="E26" s="6"/>
      <c r="F26" s="6">
        <v>1</v>
      </c>
      <c r="G26" s="6">
        <v>7</v>
      </c>
      <c r="H26" s="6" t="s">
        <v>724</v>
      </c>
    </row>
    <row r="27" spans="1:8">
      <c r="A27" s="6" t="s">
        <v>408</v>
      </c>
      <c r="B27" s="55" t="s">
        <v>725</v>
      </c>
      <c r="C27" s="55">
        <f t="shared" si="0"/>
        <v>1</v>
      </c>
      <c r="D27" s="6" t="s">
        <v>153</v>
      </c>
      <c r="E27" s="6"/>
      <c r="F27" s="6">
        <v>1</v>
      </c>
      <c r="G27" s="6">
        <v>4</v>
      </c>
      <c r="H27" s="6" t="s">
        <v>726</v>
      </c>
    </row>
    <row r="28" spans="1:8">
      <c r="A28" s="6" t="s">
        <v>154</v>
      </c>
      <c r="B28" s="55" t="s">
        <v>837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838</v>
      </c>
    </row>
    <row r="29" spans="1:8">
      <c r="A29" s="6" t="s">
        <v>197</v>
      </c>
      <c r="B29" s="55" t="s">
        <v>488</v>
      </c>
      <c r="C29" s="55">
        <f t="shared" si="0"/>
        <v>1</v>
      </c>
      <c r="D29" s="6" t="s">
        <v>496</v>
      </c>
      <c r="E29" s="6"/>
      <c r="F29" s="6">
        <v>3</v>
      </c>
      <c r="G29" s="6">
        <v>11</v>
      </c>
      <c r="H29" s="6" t="s">
        <v>789</v>
      </c>
    </row>
    <row r="30" spans="1:8">
      <c r="A30" s="6" t="s">
        <v>197</v>
      </c>
      <c r="B30" s="55" t="s">
        <v>820</v>
      </c>
      <c r="C30" s="55">
        <f t="shared" si="0"/>
        <v>0</v>
      </c>
      <c r="D30" s="6"/>
      <c r="E30" s="6"/>
      <c r="F30" s="6">
        <v>3</v>
      </c>
      <c r="G30" s="6">
        <v>17</v>
      </c>
      <c r="H30" s="6" t="s">
        <v>789</v>
      </c>
    </row>
    <row r="31" spans="1:8">
      <c r="A31" s="6" t="s">
        <v>197</v>
      </c>
      <c r="B31" s="55" t="s">
        <v>852</v>
      </c>
      <c r="C31" s="55">
        <f t="shared" si="0"/>
        <v>0</v>
      </c>
      <c r="D31" s="6"/>
      <c r="E31" s="6"/>
      <c r="F31" s="6">
        <v>3</v>
      </c>
      <c r="G31" s="6">
        <v>17</v>
      </c>
      <c r="H31" s="6" t="s">
        <v>789</v>
      </c>
    </row>
    <row r="32" spans="1:8">
      <c r="A32" s="6" t="s">
        <v>787</v>
      </c>
      <c r="B32" s="55" t="s">
        <v>818</v>
      </c>
      <c r="C32" s="55">
        <f t="shared" si="0"/>
        <v>1</v>
      </c>
      <c r="D32" s="6" t="s">
        <v>496</v>
      </c>
      <c r="E32" s="6"/>
      <c r="F32" s="6">
        <v>3</v>
      </c>
      <c r="G32" s="6">
        <v>5</v>
      </c>
      <c r="H32" s="6" t="s">
        <v>819</v>
      </c>
    </row>
    <row r="33" spans="1:8">
      <c r="A33" s="6" t="s">
        <v>1116</v>
      </c>
      <c r="B33" s="55" t="s">
        <v>1039</v>
      </c>
      <c r="C33" s="55">
        <f t="shared" si="0"/>
        <v>1</v>
      </c>
      <c r="D33" s="6" t="s">
        <v>496</v>
      </c>
      <c r="E33" s="6"/>
      <c r="F33" s="6">
        <v>1</v>
      </c>
      <c r="G33" s="6">
        <v>10</v>
      </c>
      <c r="H33" s="6" t="s">
        <v>1130</v>
      </c>
    </row>
    <row r="34" spans="1:8">
      <c r="A34" s="6" t="s">
        <v>68</v>
      </c>
      <c r="B34" s="55" t="s">
        <v>562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563</v>
      </c>
    </row>
    <row r="35" spans="1:8">
      <c r="A35" s="6" t="s">
        <v>70</v>
      </c>
      <c r="B35" s="55" t="s">
        <v>404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580</v>
      </c>
    </row>
    <row r="36" spans="1:8">
      <c r="A36" s="6" t="s">
        <v>875</v>
      </c>
      <c r="B36" s="55" t="s">
        <v>748</v>
      </c>
      <c r="C36" s="55">
        <f t="shared" si="0"/>
        <v>1</v>
      </c>
      <c r="D36" s="6" t="s">
        <v>151</v>
      </c>
      <c r="E36" s="6"/>
      <c r="F36" s="6">
        <v>1</v>
      </c>
      <c r="G36" s="6">
        <v>4</v>
      </c>
      <c r="H36" s="6" t="s">
        <v>749</v>
      </c>
    </row>
    <row r="37" spans="1:8">
      <c r="A37" s="6" t="s">
        <v>875</v>
      </c>
      <c r="B37" s="55" t="s">
        <v>750</v>
      </c>
      <c r="C37" s="55">
        <f t="shared" si="0"/>
        <v>1</v>
      </c>
      <c r="D37" s="6" t="s">
        <v>189</v>
      </c>
      <c r="E37" s="6"/>
      <c r="F37" s="6">
        <v>1</v>
      </c>
      <c r="G37" s="6">
        <v>4</v>
      </c>
      <c r="H37" s="6" t="s">
        <v>751</v>
      </c>
    </row>
    <row r="38" spans="1:8">
      <c r="A38" s="6" t="s">
        <v>875</v>
      </c>
      <c r="B38" s="55" t="s">
        <v>752</v>
      </c>
      <c r="C38" s="55">
        <f t="shared" si="0"/>
        <v>1</v>
      </c>
      <c r="D38" s="6" t="s">
        <v>190</v>
      </c>
      <c r="E38" s="6"/>
      <c r="F38" s="6">
        <v>1</v>
      </c>
      <c r="G38" s="6">
        <v>4</v>
      </c>
      <c r="H38" s="6" t="s">
        <v>753</v>
      </c>
    </row>
    <row r="39" spans="1:8">
      <c r="A39" s="6" t="s">
        <v>875</v>
      </c>
      <c r="B39" s="55" t="s">
        <v>754</v>
      </c>
      <c r="C39" s="55">
        <f t="shared" si="0"/>
        <v>1</v>
      </c>
      <c r="D39" s="6" t="s">
        <v>272</v>
      </c>
      <c r="E39" s="6"/>
      <c r="F39" s="6">
        <v>1</v>
      </c>
      <c r="G39" s="6">
        <v>4</v>
      </c>
      <c r="H39" s="6" t="s">
        <v>755</v>
      </c>
    </row>
    <row r="40" spans="1:8">
      <c r="A40" s="6" t="s">
        <v>875</v>
      </c>
      <c r="B40" s="55" t="s">
        <v>343</v>
      </c>
      <c r="C40" s="55">
        <f t="shared" si="0"/>
        <v>1</v>
      </c>
      <c r="D40" s="6" t="s">
        <v>310</v>
      </c>
      <c r="E40" s="6"/>
      <c r="F40" s="6">
        <v>1</v>
      </c>
      <c r="G40" s="6">
        <v>4</v>
      </c>
      <c r="H40" s="6" t="s">
        <v>756</v>
      </c>
    </row>
    <row r="41" spans="1:8">
      <c r="A41" s="6" t="s">
        <v>875</v>
      </c>
      <c r="B41" s="55" t="s">
        <v>757</v>
      </c>
      <c r="C41" s="55">
        <f t="shared" si="0"/>
        <v>1</v>
      </c>
      <c r="D41" s="6" t="s">
        <v>334</v>
      </c>
      <c r="E41" s="6"/>
      <c r="F41" s="6">
        <v>1</v>
      </c>
      <c r="G41" s="6">
        <v>4</v>
      </c>
      <c r="H41" s="6" t="s">
        <v>758</v>
      </c>
    </row>
    <row r="42" spans="1:8">
      <c r="A42" s="6" t="s">
        <v>875</v>
      </c>
      <c r="B42" s="55" t="s">
        <v>759</v>
      </c>
      <c r="C42" s="55">
        <f t="shared" si="0"/>
        <v>1</v>
      </c>
      <c r="D42" s="6" t="s">
        <v>587</v>
      </c>
      <c r="E42" s="6"/>
      <c r="F42" s="6">
        <v>1</v>
      </c>
      <c r="G42" s="6">
        <v>7</v>
      </c>
      <c r="H42" s="6" t="s">
        <v>760</v>
      </c>
    </row>
    <row r="43" spans="1:8">
      <c r="A43" s="6" t="s">
        <v>875</v>
      </c>
      <c r="B43" s="55" t="s">
        <v>761</v>
      </c>
      <c r="C43" s="55">
        <f t="shared" si="0"/>
        <v>1</v>
      </c>
      <c r="D43" s="6" t="s">
        <v>153</v>
      </c>
      <c r="E43" s="6"/>
      <c r="F43" s="6">
        <v>1</v>
      </c>
      <c r="G43" s="6">
        <v>4</v>
      </c>
      <c r="H43" s="6" t="s">
        <v>762</v>
      </c>
    </row>
    <row r="44" spans="1:8">
      <c r="A44" s="6" t="s">
        <v>880</v>
      </c>
      <c r="B44" s="55" t="s">
        <v>803</v>
      </c>
      <c r="C44" s="55">
        <f t="shared" si="0"/>
        <v>1</v>
      </c>
      <c r="D44" s="6" t="s">
        <v>496</v>
      </c>
      <c r="E44" s="6"/>
      <c r="F44" s="6">
        <v>3</v>
      </c>
      <c r="G44" s="6">
        <v>5</v>
      </c>
      <c r="H44" s="6" t="s">
        <v>804</v>
      </c>
    </row>
    <row r="45" spans="1:8">
      <c r="A45" s="6" t="s">
        <v>876</v>
      </c>
      <c r="B45" s="55" t="s">
        <v>772</v>
      </c>
      <c r="C45" s="55">
        <f t="shared" si="0"/>
        <v>1</v>
      </c>
      <c r="D45" s="6" t="s">
        <v>496</v>
      </c>
      <c r="E45" s="6"/>
      <c r="F45" s="6">
        <v>3</v>
      </c>
      <c r="G45" s="6">
        <v>11</v>
      </c>
      <c r="H45" s="6" t="s">
        <v>773</v>
      </c>
    </row>
    <row r="46" spans="1:8">
      <c r="A46" s="6" t="s">
        <v>885</v>
      </c>
      <c r="B46" s="55" t="s">
        <v>865</v>
      </c>
      <c r="C46" s="55">
        <f t="shared" si="0"/>
        <v>1</v>
      </c>
      <c r="D46" s="6" t="s">
        <v>496</v>
      </c>
      <c r="E46" s="6"/>
      <c r="F46" s="6">
        <v>3</v>
      </c>
      <c r="G46" s="6">
        <v>5</v>
      </c>
      <c r="H46" s="6" t="s">
        <v>866</v>
      </c>
    </row>
    <row r="47" spans="1:8">
      <c r="A47" s="6" t="s">
        <v>884</v>
      </c>
      <c r="B47" s="55" t="s">
        <v>850</v>
      </c>
      <c r="C47" s="55">
        <f t="shared" si="0"/>
        <v>1</v>
      </c>
      <c r="D47" s="6" t="s">
        <v>496</v>
      </c>
      <c r="E47" s="6"/>
      <c r="F47" s="6">
        <v>3</v>
      </c>
      <c r="G47" s="6">
        <v>5</v>
      </c>
      <c r="H47" s="6" t="s">
        <v>851</v>
      </c>
    </row>
    <row r="48" spans="1:8">
      <c r="A48" s="6" t="s">
        <v>164</v>
      </c>
      <c r="B48" s="55" t="s">
        <v>434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990</v>
      </c>
    </row>
    <row r="49" spans="1:8">
      <c r="A49" s="6" t="s">
        <v>883</v>
      </c>
      <c r="B49" s="55" t="s">
        <v>833</v>
      </c>
      <c r="C49" s="55">
        <f t="shared" si="0"/>
        <v>1</v>
      </c>
      <c r="D49" s="6" t="s">
        <v>496</v>
      </c>
      <c r="E49" s="6"/>
      <c r="F49" s="6">
        <v>3</v>
      </c>
      <c r="G49" s="6">
        <v>5</v>
      </c>
      <c r="H49" s="6" t="s">
        <v>834</v>
      </c>
    </row>
    <row r="50" spans="1:8">
      <c r="A50" s="6" t="s">
        <v>494</v>
      </c>
      <c r="B50" s="55" t="s">
        <v>787</v>
      </c>
      <c r="C50" s="55">
        <f t="shared" si="0"/>
        <v>1</v>
      </c>
      <c r="D50" s="6" t="s">
        <v>496</v>
      </c>
      <c r="E50" s="6"/>
      <c r="F50" s="6">
        <v>3</v>
      </c>
      <c r="G50" s="6">
        <v>11</v>
      </c>
      <c r="H50" s="6" t="s">
        <v>788</v>
      </c>
    </row>
    <row r="51" spans="1:8">
      <c r="A51" s="6" t="s">
        <v>52</v>
      </c>
      <c r="B51" s="55" t="s">
        <v>906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551</v>
      </c>
    </row>
    <row r="52" spans="1:8">
      <c r="A52" s="6" t="s">
        <v>475</v>
      </c>
      <c r="B52" s="55" t="s">
        <v>467</v>
      </c>
      <c r="C52" s="55">
        <f t="shared" si="0"/>
        <v>1</v>
      </c>
      <c r="D52" s="6" t="s">
        <v>151</v>
      </c>
      <c r="E52" s="6"/>
      <c r="F52" s="6">
        <v>1</v>
      </c>
      <c r="G52" s="6">
        <v>10</v>
      </c>
      <c r="H52" s="6" t="s">
        <v>516</v>
      </c>
    </row>
    <row r="53" spans="1:8">
      <c r="A53" s="6" t="s">
        <v>475</v>
      </c>
      <c r="B53" s="55" t="s">
        <v>899</v>
      </c>
      <c r="C53" s="55">
        <f t="shared" si="0"/>
        <v>1</v>
      </c>
      <c r="D53" s="6" t="s">
        <v>190</v>
      </c>
      <c r="E53" s="6"/>
      <c r="F53" s="6">
        <v>1</v>
      </c>
      <c r="G53" s="6">
        <v>10</v>
      </c>
      <c r="H53" s="6" t="s">
        <v>532</v>
      </c>
    </row>
    <row r="54" spans="1:8">
      <c r="A54" s="6" t="s">
        <v>475</v>
      </c>
      <c r="B54" s="55" t="s">
        <v>908</v>
      </c>
      <c r="C54" s="55">
        <f t="shared" si="0"/>
        <v>1</v>
      </c>
      <c r="D54" s="6" t="s">
        <v>310</v>
      </c>
      <c r="E54" s="6"/>
      <c r="F54" s="6">
        <v>1</v>
      </c>
      <c r="G54" s="6">
        <v>10</v>
      </c>
      <c r="H54" s="6" t="s">
        <v>552</v>
      </c>
    </row>
    <row r="55" spans="1:8">
      <c r="A55" s="6" t="s">
        <v>475</v>
      </c>
      <c r="B55" s="55" t="s">
        <v>916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239</v>
      </c>
      <c r="B56" s="55" t="s">
        <v>890</v>
      </c>
      <c r="C56" s="55">
        <f t="shared" si="0"/>
        <v>1</v>
      </c>
      <c r="D56" s="6" t="s">
        <v>151</v>
      </c>
      <c r="E56" s="6"/>
      <c r="F56" s="6">
        <v>1</v>
      </c>
      <c r="G56" s="6">
        <v>5</v>
      </c>
      <c r="H56" s="6" t="s">
        <v>513</v>
      </c>
    </row>
    <row r="57" spans="1:8">
      <c r="A57" s="6" t="s">
        <v>239</v>
      </c>
      <c r="B57" s="55" t="s">
        <v>521</v>
      </c>
      <c r="C57" s="55">
        <f t="shared" si="0"/>
        <v>1</v>
      </c>
      <c r="D57" s="6" t="s">
        <v>189</v>
      </c>
      <c r="E57" s="6"/>
      <c r="F57" s="6">
        <v>1</v>
      </c>
      <c r="G57" s="6">
        <v>5</v>
      </c>
      <c r="H57" s="6" t="s">
        <v>522</v>
      </c>
    </row>
    <row r="58" spans="1:8">
      <c r="A58" s="6" t="s">
        <v>239</v>
      </c>
      <c r="B58" s="55" t="s">
        <v>896</v>
      </c>
      <c r="C58" s="55">
        <f t="shared" si="0"/>
        <v>1</v>
      </c>
      <c r="D58" s="6" t="s">
        <v>190</v>
      </c>
      <c r="E58" s="6"/>
      <c r="F58" s="6">
        <v>1</v>
      </c>
      <c r="G58" s="6">
        <v>5</v>
      </c>
      <c r="H58" s="6" t="s">
        <v>529</v>
      </c>
    </row>
    <row r="59" spans="1:8">
      <c r="A59" s="6" t="s">
        <v>239</v>
      </c>
      <c r="B59" s="55" t="s">
        <v>539</v>
      </c>
      <c r="C59" s="55">
        <f t="shared" si="0"/>
        <v>1</v>
      </c>
      <c r="D59" s="6" t="s">
        <v>272</v>
      </c>
      <c r="E59" s="6"/>
      <c r="F59" s="6">
        <v>1</v>
      </c>
      <c r="G59" s="6">
        <v>5</v>
      </c>
      <c r="H59" s="6" t="s">
        <v>540</v>
      </c>
    </row>
    <row r="60" spans="1:8">
      <c r="A60" s="6" t="s">
        <v>239</v>
      </c>
      <c r="B60" s="55" t="s">
        <v>904</v>
      </c>
      <c r="C60" s="55">
        <f t="shared" si="0"/>
        <v>1</v>
      </c>
      <c r="D60" s="6" t="s">
        <v>310</v>
      </c>
      <c r="E60" s="6"/>
      <c r="F60" s="6">
        <v>1</v>
      </c>
      <c r="G60" s="6">
        <v>5</v>
      </c>
      <c r="H60" s="6" t="s">
        <v>549</v>
      </c>
    </row>
    <row r="61" spans="1:8">
      <c r="A61" s="6" t="s">
        <v>239</v>
      </c>
      <c r="B61" s="55" t="s">
        <v>558</v>
      </c>
      <c r="C61" s="55">
        <f t="shared" si="0"/>
        <v>1</v>
      </c>
      <c r="D61" s="6" t="s">
        <v>334</v>
      </c>
      <c r="E61" s="6"/>
      <c r="F61" s="6">
        <v>1</v>
      </c>
      <c r="G61" s="6">
        <v>5</v>
      </c>
      <c r="H61" s="6" t="s">
        <v>559</v>
      </c>
    </row>
    <row r="62" spans="1:8">
      <c r="A62" s="6" t="s">
        <v>239</v>
      </c>
      <c r="B62" s="55" t="s">
        <v>912</v>
      </c>
      <c r="C62" s="55">
        <f t="shared" si="0"/>
        <v>1</v>
      </c>
      <c r="D62" s="6" t="s">
        <v>587</v>
      </c>
      <c r="E62" s="6"/>
      <c r="F62" s="6">
        <v>1</v>
      </c>
      <c r="G62" s="6">
        <v>10</v>
      </c>
      <c r="H62" s="6" t="s">
        <v>568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472</v>
      </c>
      <c r="B64" s="55" t="s">
        <v>518</v>
      </c>
      <c r="C64" s="55">
        <f t="shared" si="0"/>
        <v>1</v>
      </c>
      <c r="D64" s="6" t="s">
        <v>151</v>
      </c>
      <c r="E64" s="6"/>
      <c r="F64" s="6">
        <v>1</v>
      </c>
      <c r="G64" s="6">
        <v>5</v>
      </c>
      <c r="H64" s="6" t="s">
        <v>519</v>
      </c>
    </row>
    <row r="65" spans="1:8">
      <c r="A65" s="6" t="s">
        <v>472</v>
      </c>
      <c r="B65" s="55" t="s">
        <v>535</v>
      </c>
      <c r="C65" s="55">
        <f t="shared" si="0"/>
        <v>1</v>
      </c>
      <c r="D65" s="6" t="s">
        <v>190</v>
      </c>
      <c r="E65" s="6"/>
      <c r="F65" s="6">
        <v>1</v>
      </c>
      <c r="G65" s="6">
        <v>5</v>
      </c>
      <c r="H65" s="6" t="s">
        <v>536</v>
      </c>
    </row>
    <row r="66" spans="1:8">
      <c r="A66" s="6" t="s">
        <v>472</v>
      </c>
      <c r="B66" s="55" t="s">
        <v>554</v>
      </c>
      <c r="C66" s="55">
        <f t="shared" ref="C66:C129" si="1">COUNTA(D66:E66)</f>
        <v>1</v>
      </c>
      <c r="D66" s="6" t="s">
        <v>310</v>
      </c>
      <c r="E66" s="6"/>
      <c r="F66" s="6">
        <v>1</v>
      </c>
      <c r="G66" s="6">
        <v>5</v>
      </c>
      <c r="H66" s="6" t="s">
        <v>555</v>
      </c>
    </row>
    <row r="67" spans="1:8">
      <c r="A67" s="6" t="s">
        <v>472</v>
      </c>
      <c r="B67" s="55" t="s">
        <v>573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574</v>
      </c>
    </row>
    <row r="68" spans="1:8">
      <c r="A68" s="6" t="s">
        <v>863</v>
      </c>
      <c r="B68" s="55" t="s">
        <v>862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864</v>
      </c>
    </row>
    <row r="69" spans="1:8">
      <c r="A69" s="6" t="s">
        <v>191</v>
      </c>
      <c r="B69" s="55" t="s">
        <v>915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508</v>
      </c>
    </row>
    <row r="70" spans="1:8">
      <c r="A70" s="6" t="s">
        <v>108</v>
      </c>
      <c r="B70" s="55" t="s">
        <v>951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653</v>
      </c>
    </row>
    <row r="71" spans="1:8">
      <c r="A71" s="6" t="s">
        <v>882</v>
      </c>
      <c r="B71" s="55" t="s">
        <v>299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817</v>
      </c>
    </row>
    <row r="72" spans="1:8">
      <c r="A72" s="6" t="s">
        <v>215</v>
      </c>
      <c r="B72" s="55" t="s">
        <v>889</v>
      </c>
      <c r="C72" s="55">
        <f t="shared" si="1"/>
        <v>1</v>
      </c>
      <c r="D72" s="6" t="s">
        <v>151</v>
      </c>
      <c r="E72" s="6"/>
      <c r="F72" s="6">
        <v>1</v>
      </c>
      <c r="G72" s="6">
        <v>5</v>
      </c>
      <c r="H72" s="6" t="s">
        <v>512</v>
      </c>
    </row>
    <row r="73" spans="1:8">
      <c r="A73" s="6" t="s">
        <v>215</v>
      </c>
      <c r="B73" s="55" t="s">
        <v>403</v>
      </c>
      <c r="C73" s="55">
        <f t="shared" si="1"/>
        <v>1</v>
      </c>
      <c r="D73" s="6" t="s">
        <v>189</v>
      </c>
      <c r="E73" s="6"/>
      <c r="F73" s="6">
        <v>1</v>
      </c>
      <c r="G73" s="6">
        <v>5</v>
      </c>
      <c r="H73" s="6" t="s">
        <v>520</v>
      </c>
    </row>
    <row r="74" spans="1:8">
      <c r="A74" s="6" t="s">
        <v>215</v>
      </c>
      <c r="B74" s="55" t="s">
        <v>895</v>
      </c>
      <c r="C74" s="55">
        <f t="shared" si="1"/>
        <v>1</v>
      </c>
      <c r="D74" s="6" t="s">
        <v>190</v>
      </c>
      <c r="E74" s="6"/>
      <c r="F74" s="6">
        <v>1</v>
      </c>
      <c r="G74" s="6">
        <v>5</v>
      </c>
      <c r="H74" s="6" t="s">
        <v>528</v>
      </c>
    </row>
    <row r="75" spans="1:8">
      <c r="A75" s="6" t="s">
        <v>215</v>
      </c>
      <c r="B75" s="55" t="s">
        <v>537</v>
      </c>
      <c r="C75" s="55">
        <f t="shared" si="1"/>
        <v>1</v>
      </c>
      <c r="D75" s="6" t="s">
        <v>272</v>
      </c>
      <c r="E75" s="6"/>
      <c r="F75" s="6">
        <v>1</v>
      </c>
      <c r="G75" s="6">
        <v>5</v>
      </c>
      <c r="H75" s="6" t="s">
        <v>538</v>
      </c>
    </row>
    <row r="76" spans="1:8">
      <c r="A76" s="6" t="s">
        <v>215</v>
      </c>
      <c r="B76" s="55" t="s">
        <v>903</v>
      </c>
      <c r="C76" s="55">
        <f t="shared" si="1"/>
        <v>1</v>
      </c>
      <c r="D76" s="6" t="s">
        <v>310</v>
      </c>
      <c r="E76" s="6"/>
      <c r="F76" s="6">
        <v>1</v>
      </c>
      <c r="G76" s="6">
        <v>5</v>
      </c>
      <c r="H76" s="6" t="s">
        <v>548</v>
      </c>
    </row>
    <row r="77" spans="1:8">
      <c r="A77" s="6" t="s">
        <v>215</v>
      </c>
      <c r="B77" s="55" t="s">
        <v>556</v>
      </c>
      <c r="C77" s="55">
        <f t="shared" si="1"/>
        <v>1</v>
      </c>
      <c r="D77" s="6" t="s">
        <v>334</v>
      </c>
      <c r="E77" s="6"/>
      <c r="F77" s="6">
        <v>1</v>
      </c>
      <c r="G77" s="6">
        <v>5</v>
      </c>
      <c r="H77" s="6" t="s">
        <v>557</v>
      </c>
    </row>
    <row r="78" spans="1:8">
      <c r="A78" s="6" t="s">
        <v>215</v>
      </c>
      <c r="B78" s="55" t="s">
        <v>469</v>
      </c>
      <c r="C78" s="55">
        <f t="shared" si="1"/>
        <v>1</v>
      </c>
      <c r="D78" s="6" t="s">
        <v>587</v>
      </c>
      <c r="E78" s="6"/>
      <c r="F78" s="6">
        <v>1</v>
      </c>
      <c r="G78" s="6">
        <v>10</v>
      </c>
      <c r="H78" s="6" t="s">
        <v>567</v>
      </c>
    </row>
    <row r="79" spans="1:8">
      <c r="A79" s="6" t="s">
        <v>215</v>
      </c>
      <c r="B79" s="55" t="s">
        <v>332</v>
      </c>
      <c r="C79" s="55">
        <f t="shared" si="1"/>
        <v>1</v>
      </c>
      <c r="D79" s="6" t="s">
        <v>153</v>
      </c>
      <c r="E79" s="6"/>
      <c r="F79" s="6">
        <v>1</v>
      </c>
      <c r="G79" s="6">
        <v>5</v>
      </c>
      <c r="H79" s="6" t="s">
        <v>575</v>
      </c>
    </row>
    <row r="80" spans="1:8">
      <c r="A80" s="6" t="s">
        <v>471</v>
      </c>
      <c r="B80" s="55" t="s">
        <v>371</v>
      </c>
      <c r="C80" s="55">
        <f t="shared" si="1"/>
        <v>1</v>
      </c>
      <c r="D80" s="6" t="s">
        <v>151</v>
      </c>
      <c r="E80" s="6"/>
      <c r="F80" s="6">
        <v>1</v>
      </c>
      <c r="G80" s="6">
        <v>5</v>
      </c>
      <c r="H80" s="6" t="s">
        <v>511</v>
      </c>
    </row>
    <row r="81" spans="1:8">
      <c r="A81" s="6" t="s">
        <v>471</v>
      </c>
      <c r="B81" s="55" t="s">
        <v>894</v>
      </c>
      <c r="C81" s="55">
        <f t="shared" si="1"/>
        <v>1</v>
      </c>
      <c r="D81" s="6" t="s">
        <v>190</v>
      </c>
      <c r="E81" s="6"/>
      <c r="F81" s="6">
        <v>1</v>
      </c>
      <c r="G81" s="6">
        <v>5</v>
      </c>
      <c r="H81" s="6" t="s">
        <v>527</v>
      </c>
    </row>
    <row r="82" spans="1:8">
      <c r="A82" s="6" t="s">
        <v>471</v>
      </c>
      <c r="B82" s="55" t="s">
        <v>902</v>
      </c>
      <c r="C82" s="55">
        <f t="shared" si="1"/>
        <v>1</v>
      </c>
      <c r="D82" s="6" t="s">
        <v>310</v>
      </c>
      <c r="E82" s="6"/>
      <c r="F82" s="6">
        <v>1</v>
      </c>
      <c r="G82" s="6">
        <v>5</v>
      </c>
      <c r="H82" s="6" t="s">
        <v>547</v>
      </c>
    </row>
    <row r="83" spans="1:8">
      <c r="A83" s="6" t="s">
        <v>471</v>
      </c>
      <c r="B83" s="55" t="s">
        <v>401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566</v>
      </c>
    </row>
    <row r="84" spans="1:8">
      <c r="A84" s="6" t="s">
        <v>881</v>
      </c>
      <c r="B84" s="55" t="s">
        <v>815</v>
      </c>
      <c r="C84" s="55">
        <f t="shared" si="1"/>
        <v>1</v>
      </c>
      <c r="D84" s="6" t="s">
        <v>496</v>
      </c>
      <c r="E84" s="6"/>
      <c r="F84" s="6">
        <v>3</v>
      </c>
      <c r="G84" s="6">
        <v>10</v>
      </c>
      <c r="H84" s="6" t="s">
        <v>816</v>
      </c>
    </row>
    <row r="85" spans="1:8">
      <c r="A85" s="6" t="s">
        <v>363</v>
      </c>
      <c r="B85" s="55" t="s">
        <v>984</v>
      </c>
      <c r="C85" s="55">
        <f t="shared" si="1"/>
        <v>1</v>
      </c>
      <c r="D85" s="6" t="s">
        <v>496</v>
      </c>
      <c r="E85" s="6"/>
      <c r="F85" s="6">
        <v>3</v>
      </c>
      <c r="G85" s="6">
        <v>10</v>
      </c>
      <c r="H85" s="6" t="s">
        <v>985</v>
      </c>
    </row>
    <row r="86" spans="1:8">
      <c r="A86" s="6" t="s">
        <v>354</v>
      </c>
      <c r="B86" s="55" t="s">
        <v>770</v>
      </c>
      <c r="C86" s="55">
        <f t="shared" si="1"/>
        <v>1</v>
      </c>
      <c r="D86" s="6" t="s">
        <v>496</v>
      </c>
      <c r="E86" s="6"/>
      <c r="F86" s="6">
        <v>3</v>
      </c>
      <c r="G86" s="6">
        <v>10</v>
      </c>
      <c r="H86" s="6" t="s">
        <v>771</v>
      </c>
    </row>
    <row r="87" spans="1:8">
      <c r="A87" s="6" t="s">
        <v>354</v>
      </c>
      <c r="B87" s="55" t="s">
        <v>786</v>
      </c>
      <c r="C87" s="55">
        <f t="shared" si="1"/>
        <v>1</v>
      </c>
      <c r="D87" s="6" t="s">
        <v>496</v>
      </c>
      <c r="E87" s="6"/>
      <c r="F87" s="6">
        <v>3</v>
      </c>
      <c r="G87" s="6">
        <v>10</v>
      </c>
      <c r="H87" s="6" t="s">
        <v>771</v>
      </c>
    </row>
    <row r="88" spans="1:8">
      <c r="A88" s="6" t="s">
        <v>878</v>
      </c>
      <c r="B88" s="55" t="s">
        <v>799</v>
      </c>
      <c r="C88" s="55">
        <f t="shared" si="1"/>
        <v>1</v>
      </c>
      <c r="D88" s="6" t="s">
        <v>496</v>
      </c>
      <c r="E88" s="6"/>
      <c r="F88" s="6">
        <v>3</v>
      </c>
      <c r="G88" s="6">
        <v>10</v>
      </c>
      <c r="H88" s="6" t="s">
        <v>800</v>
      </c>
    </row>
    <row r="89" spans="1:8">
      <c r="A89" s="6" t="s">
        <v>359</v>
      </c>
      <c r="B89" s="55" t="s">
        <v>768</v>
      </c>
      <c r="C89" s="55">
        <f t="shared" si="1"/>
        <v>1</v>
      </c>
      <c r="D89" s="6" t="s">
        <v>496</v>
      </c>
      <c r="E89" s="6"/>
      <c r="F89" s="6">
        <v>3</v>
      </c>
      <c r="G89" s="6">
        <v>10</v>
      </c>
      <c r="H89" s="6" t="s">
        <v>769</v>
      </c>
    </row>
    <row r="90" spans="1:8">
      <c r="A90" s="6" t="s">
        <v>366</v>
      </c>
      <c r="B90" s="55" t="s">
        <v>860</v>
      </c>
      <c r="C90" s="55">
        <f t="shared" si="1"/>
        <v>1</v>
      </c>
      <c r="D90" s="6" t="s">
        <v>496</v>
      </c>
      <c r="E90" s="6"/>
      <c r="F90" s="6">
        <v>3</v>
      </c>
      <c r="G90" s="6">
        <v>10</v>
      </c>
      <c r="H90" s="6" t="s">
        <v>861</v>
      </c>
    </row>
    <row r="91" spans="1:8">
      <c r="A91" s="6" t="s">
        <v>372</v>
      </c>
      <c r="B91" s="55" t="s">
        <v>846</v>
      </c>
      <c r="C91" s="55">
        <f t="shared" si="1"/>
        <v>1</v>
      </c>
      <c r="D91" s="6" t="s">
        <v>496</v>
      </c>
      <c r="E91" s="6"/>
      <c r="F91" s="6">
        <v>3</v>
      </c>
      <c r="G91" s="6">
        <v>10</v>
      </c>
      <c r="H91" s="6" t="s">
        <v>847</v>
      </c>
    </row>
    <row r="92" spans="1:8">
      <c r="A92" s="6" t="s">
        <v>374</v>
      </c>
      <c r="B92" s="55" t="s">
        <v>830</v>
      </c>
      <c r="C92" s="55">
        <f t="shared" si="1"/>
        <v>1</v>
      </c>
      <c r="D92" s="6" t="s">
        <v>496</v>
      </c>
      <c r="E92" s="6"/>
      <c r="F92" s="6">
        <v>3</v>
      </c>
      <c r="G92" s="6">
        <v>10</v>
      </c>
      <c r="H92" s="6" t="s">
        <v>831</v>
      </c>
    </row>
    <row r="93" spans="1:8">
      <c r="A93" s="6" t="s">
        <v>255</v>
      </c>
      <c r="B93" s="55" t="s">
        <v>784</v>
      </c>
      <c r="C93" s="55">
        <f t="shared" si="1"/>
        <v>1</v>
      </c>
      <c r="D93" s="6" t="s">
        <v>496</v>
      </c>
      <c r="E93" s="6"/>
      <c r="F93" s="6">
        <v>3</v>
      </c>
      <c r="G93" s="6">
        <v>10</v>
      </c>
      <c r="H93" s="6" t="s">
        <v>785</v>
      </c>
    </row>
    <row r="94" spans="1:8">
      <c r="A94" s="6" t="s">
        <v>874</v>
      </c>
      <c r="B94" s="55" t="s">
        <v>380</v>
      </c>
      <c r="C94" s="55">
        <f t="shared" si="1"/>
        <v>1</v>
      </c>
      <c r="D94" s="6" t="s">
        <v>496</v>
      </c>
      <c r="E94" s="6"/>
      <c r="F94" s="6">
        <v>3</v>
      </c>
      <c r="G94" s="6">
        <v>13</v>
      </c>
      <c r="H94" s="6" t="s">
        <v>572</v>
      </c>
    </row>
    <row r="95" spans="1:8">
      <c r="A95" s="6" t="s">
        <v>870</v>
      </c>
      <c r="B95" s="55" t="s">
        <v>342</v>
      </c>
      <c r="C95" s="55">
        <f t="shared" si="1"/>
        <v>1</v>
      </c>
      <c r="D95" s="6" t="s">
        <v>151</v>
      </c>
      <c r="E95" s="6"/>
      <c r="F95" s="6">
        <v>1</v>
      </c>
      <c r="G95" s="6">
        <v>7</v>
      </c>
      <c r="H95" s="6" t="s">
        <v>517</v>
      </c>
    </row>
    <row r="96" spans="1:8">
      <c r="A96" s="6" t="s">
        <v>870</v>
      </c>
      <c r="B96" s="55" t="s">
        <v>533</v>
      </c>
      <c r="C96" s="55">
        <f t="shared" si="1"/>
        <v>1</v>
      </c>
      <c r="D96" s="6" t="s">
        <v>190</v>
      </c>
      <c r="E96" s="6"/>
      <c r="F96" s="6">
        <v>1</v>
      </c>
      <c r="G96" s="6">
        <v>7</v>
      </c>
      <c r="H96" s="6" t="s">
        <v>534</v>
      </c>
    </row>
    <row r="97" spans="1:8">
      <c r="A97" s="6" t="s">
        <v>872</v>
      </c>
      <c r="B97" s="55" t="s">
        <v>379</v>
      </c>
      <c r="C97" s="55">
        <f t="shared" si="1"/>
        <v>1</v>
      </c>
      <c r="D97" s="6" t="s">
        <v>496</v>
      </c>
      <c r="E97" s="6"/>
      <c r="F97" s="6">
        <v>3</v>
      </c>
      <c r="G97" s="6">
        <v>16</v>
      </c>
      <c r="H97" s="6" t="s">
        <v>553</v>
      </c>
    </row>
    <row r="98" spans="1:8">
      <c r="A98" s="6" t="s">
        <v>296</v>
      </c>
      <c r="B98" s="55" t="s">
        <v>302</v>
      </c>
      <c r="C98" s="55">
        <f t="shared" si="1"/>
        <v>2</v>
      </c>
      <c r="D98" s="6" t="s">
        <v>151</v>
      </c>
      <c r="E98" s="6" t="s">
        <v>496</v>
      </c>
      <c r="F98" s="6">
        <v>3</v>
      </c>
      <c r="G98" s="6">
        <v>10</v>
      </c>
      <c r="H98" s="6" t="s">
        <v>509</v>
      </c>
    </row>
    <row r="99" spans="1:8">
      <c r="A99" s="6" t="s">
        <v>296</v>
      </c>
      <c r="B99" s="55" t="s">
        <v>208</v>
      </c>
      <c r="C99" s="55">
        <f t="shared" si="1"/>
        <v>1</v>
      </c>
      <c r="D99" s="6" t="s">
        <v>190</v>
      </c>
      <c r="E99" s="6"/>
      <c r="F99" s="6">
        <v>3</v>
      </c>
      <c r="G99" s="6">
        <v>10</v>
      </c>
      <c r="H99" s="6" t="s">
        <v>525</v>
      </c>
    </row>
    <row r="100" spans="1:8">
      <c r="A100" s="6" t="s">
        <v>296</v>
      </c>
      <c r="B100" s="55" t="s">
        <v>901</v>
      </c>
      <c r="C100" s="55">
        <f t="shared" si="1"/>
        <v>2</v>
      </c>
      <c r="D100" s="6" t="s">
        <v>310</v>
      </c>
      <c r="E100" s="6" t="s">
        <v>496</v>
      </c>
      <c r="F100" s="6">
        <v>3</v>
      </c>
      <c r="G100" s="6">
        <v>10</v>
      </c>
      <c r="H100" s="6" t="s">
        <v>545</v>
      </c>
    </row>
    <row r="101" spans="1:8">
      <c r="A101" s="6" t="s">
        <v>296</v>
      </c>
      <c r="B101" s="55" t="s">
        <v>910</v>
      </c>
      <c r="C101" s="55">
        <f t="shared" si="1"/>
        <v>2</v>
      </c>
      <c r="D101" s="6" t="s">
        <v>114</v>
      </c>
      <c r="E101" s="6" t="s">
        <v>496</v>
      </c>
      <c r="F101" s="6">
        <v>3</v>
      </c>
      <c r="G101" s="6">
        <v>10</v>
      </c>
      <c r="H101" s="6" t="s">
        <v>564</v>
      </c>
    </row>
    <row r="102" spans="1:8">
      <c r="A102" s="6" t="s">
        <v>188</v>
      </c>
      <c r="B102" s="55" t="s">
        <v>917</v>
      </c>
      <c r="C102" s="55">
        <f t="shared" si="1"/>
        <v>2</v>
      </c>
      <c r="D102" s="6" t="s">
        <v>151</v>
      </c>
      <c r="E102" s="6" t="s">
        <v>151</v>
      </c>
      <c r="F102" s="6">
        <v>1</v>
      </c>
      <c r="G102" s="6">
        <v>5</v>
      </c>
      <c r="H102" s="6" t="s">
        <v>581</v>
      </c>
    </row>
    <row r="103" spans="1:8">
      <c r="A103" s="6" t="s">
        <v>188</v>
      </c>
      <c r="B103" s="55" t="s">
        <v>918</v>
      </c>
      <c r="C103" s="55">
        <f t="shared" si="1"/>
        <v>2</v>
      </c>
      <c r="D103" s="6" t="s">
        <v>151</v>
      </c>
      <c r="E103" s="6" t="s">
        <v>189</v>
      </c>
      <c r="F103" s="6">
        <v>1</v>
      </c>
      <c r="G103" s="6">
        <v>5</v>
      </c>
      <c r="H103" s="6" t="s">
        <v>582</v>
      </c>
    </row>
    <row r="104" spans="1:8">
      <c r="A104" s="6" t="s">
        <v>188</v>
      </c>
      <c r="B104" s="55" t="s">
        <v>492</v>
      </c>
      <c r="C104" s="55">
        <f t="shared" si="1"/>
        <v>2</v>
      </c>
      <c r="D104" s="6" t="s">
        <v>151</v>
      </c>
      <c r="E104" s="6" t="s">
        <v>190</v>
      </c>
      <c r="F104" s="6">
        <v>1</v>
      </c>
      <c r="G104" s="6">
        <v>5</v>
      </c>
      <c r="H104" s="6" t="s">
        <v>583</v>
      </c>
    </row>
    <row r="105" spans="1:8">
      <c r="A105" s="6" t="s">
        <v>188</v>
      </c>
      <c r="B105" s="55" t="s">
        <v>919</v>
      </c>
      <c r="C105" s="55">
        <f t="shared" si="1"/>
        <v>2</v>
      </c>
      <c r="D105" s="6" t="s">
        <v>151</v>
      </c>
      <c r="E105" s="6" t="s">
        <v>272</v>
      </c>
      <c r="F105" s="6">
        <v>1</v>
      </c>
      <c r="G105" s="6">
        <v>5</v>
      </c>
      <c r="H105" s="6" t="s">
        <v>584</v>
      </c>
    </row>
    <row r="106" spans="1:8">
      <c r="A106" s="6" t="s">
        <v>188</v>
      </c>
      <c r="B106" s="55" t="s">
        <v>920</v>
      </c>
      <c r="C106" s="55">
        <f t="shared" si="1"/>
        <v>2</v>
      </c>
      <c r="D106" s="6" t="s">
        <v>151</v>
      </c>
      <c r="E106" s="6" t="s">
        <v>310</v>
      </c>
      <c r="F106" s="6">
        <v>1</v>
      </c>
      <c r="G106" s="6">
        <v>5</v>
      </c>
      <c r="H106" s="6" t="s">
        <v>585</v>
      </c>
    </row>
    <row r="107" spans="1:8">
      <c r="A107" s="6" t="s">
        <v>188</v>
      </c>
      <c r="B107" s="55" t="s">
        <v>921</v>
      </c>
      <c r="C107" s="55">
        <f t="shared" si="1"/>
        <v>2</v>
      </c>
      <c r="D107" s="6" t="s">
        <v>151</v>
      </c>
      <c r="E107" s="6" t="s">
        <v>334</v>
      </c>
      <c r="F107" s="6">
        <v>1</v>
      </c>
      <c r="G107" s="6">
        <v>5</v>
      </c>
      <c r="H107" s="6" t="s">
        <v>586</v>
      </c>
    </row>
    <row r="108" spans="1:8">
      <c r="A108" s="6" t="s">
        <v>188</v>
      </c>
      <c r="B108" s="55" t="s">
        <v>922</v>
      </c>
      <c r="C108" s="55">
        <f t="shared" si="1"/>
        <v>2</v>
      </c>
      <c r="D108" s="6" t="s">
        <v>151</v>
      </c>
      <c r="E108" s="6" t="s">
        <v>587</v>
      </c>
      <c r="F108" s="6">
        <v>1</v>
      </c>
      <c r="G108" s="6">
        <v>7</v>
      </c>
      <c r="H108" s="6" t="s">
        <v>588</v>
      </c>
    </row>
    <row r="109" spans="1:8">
      <c r="A109" s="6" t="s">
        <v>188</v>
      </c>
      <c r="B109" s="55" t="s">
        <v>923</v>
      </c>
      <c r="C109" s="55">
        <f t="shared" si="1"/>
        <v>2</v>
      </c>
      <c r="D109" s="6" t="s">
        <v>151</v>
      </c>
      <c r="E109" s="6" t="s">
        <v>153</v>
      </c>
      <c r="F109" s="6">
        <v>1</v>
      </c>
      <c r="G109" s="6">
        <v>5</v>
      </c>
      <c r="H109" s="6" t="s">
        <v>589</v>
      </c>
    </row>
    <row r="110" spans="1:8">
      <c r="A110" s="6" t="s">
        <v>188</v>
      </c>
      <c r="B110" s="55" t="s">
        <v>924</v>
      </c>
      <c r="C110" s="55">
        <f t="shared" si="1"/>
        <v>2</v>
      </c>
      <c r="D110" s="6" t="s">
        <v>189</v>
      </c>
      <c r="E110" s="6" t="s">
        <v>151</v>
      </c>
      <c r="F110" s="6">
        <v>1</v>
      </c>
      <c r="G110" s="6">
        <v>5</v>
      </c>
      <c r="H110" s="6" t="s">
        <v>590</v>
      </c>
    </row>
    <row r="111" spans="1:8">
      <c r="A111" s="6" t="s">
        <v>188</v>
      </c>
      <c r="B111" s="55" t="s">
        <v>925</v>
      </c>
      <c r="C111" s="55">
        <f t="shared" si="1"/>
        <v>2</v>
      </c>
      <c r="D111" s="6" t="s">
        <v>189</v>
      </c>
      <c r="E111" s="6" t="s">
        <v>189</v>
      </c>
      <c r="F111" s="6">
        <v>1</v>
      </c>
      <c r="G111" s="6">
        <v>5</v>
      </c>
      <c r="H111" s="6" t="s">
        <v>591</v>
      </c>
    </row>
    <row r="112" spans="1:8">
      <c r="A112" s="6" t="s">
        <v>188</v>
      </c>
      <c r="B112" s="55" t="s">
        <v>592</v>
      </c>
      <c r="C112" s="55">
        <f t="shared" si="1"/>
        <v>2</v>
      </c>
      <c r="D112" s="6" t="s">
        <v>189</v>
      </c>
      <c r="E112" s="6" t="s">
        <v>190</v>
      </c>
      <c r="F112" s="6">
        <v>1</v>
      </c>
      <c r="G112" s="6">
        <v>5</v>
      </c>
      <c r="H112" s="6" t="s">
        <v>593</v>
      </c>
    </row>
    <row r="113" spans="1:8">
      <c r="A113" s="6" t="s">
        <v>188</v>
      </c>
      <c r="B113" s="55" t="s">
        <v>594</v>
      </c>
      <c r="C113" s="55">
        <f t="shared" si="1"/>
        <v>2</v>
      </c>
      <c r="D113" s="6" t="s">
        <v>189</v>
      </c>
      <c r="E113" s="6" t="s">
        <v>272</v>
      </c>
      <c r="F113" s="6">
        <v>1</v>
      </c>
      <c r="G113" s="6">
        <v>5</v>
      </c>
      <c r="H113" s="6" t="s">
        <v>595</v>
      </c>
    </row>
    <row r="114" spans="1:8">
      <c r="A114" s="6" t="s">
        <v>188</v>
      </c>
      <c r="B114" s="55" t="s">
        <v>596</v>
      </c>
      <c r="C114" s="55">
        <f t="shared" si="1"/>
        <v>2</v>
      </c>
      <c r="D114" s="6" t="s">
        <v>189</v>
      </c>
      <c r="E114" s="6" t="s">
        <v>310</v>
      </c>
      <c r="F114" s="6">
        <v>1</v>
      </c>
      <c r="G114" s="6">
        <v>5</v>
      </c>
      <c r="H114" s="6" t="s">
        <v>597</v>
      </c>
    </row>
    <row r="115" spans="1:8">
      <c r="A115" s="6" t="s">
        <v>188</v>
      </c>
      <c r="B115" s="55" t="s">
        <v>598</v>
      </c>
      <c r="C115" s="55">
        <f t="shared" si="1"/>
        <v>2</v>
      </c>
      <c r="D115" s="6" t="s">
        <v>189</v>
      </c>
      <c r="E115" s="6" t="s">
        <v>334</v>
      </c>
      <c r="F115" s="6">
        <v>1</v>
      </c>
      <c r="G115" s="6">
        <v>5</v>
      </c>
      <c r="H115" s="6" t="s">
        <v>599</v>
      </c>
    </row>
    <row r="116" spans="1:8">
      <c r="A116" s="6" t="s">
        <v>188</v>
      </c>
      <c r="B116" s="55" t="s">
        <v>600</v>
      </c>
      <c r="C116" s="55">
        <f t="shared" si="1"/>
        <v>2</v>
      </c>
      <c r="D116" s="6" t="s">
        <v>189</v>
      </c>
      <c r="E116" s="6" t="s">
        <v>587</v>
      </c>
      <c r="F116" s="6">
        <v>1</v>
      </c>
      <c r="G116" s="6">
        <v>7</v>
      </c>
      <c r="H116" s="6" t="s">
        <v>601</v>
      </c>
    </row>
    <row r="117" spans="1:8">
      <c r="A117" s="6" t="s">
        <v>188</v>
      </c>
      <c r="B117" s="55" t="s">
        <v>602</v>
      </c>
      <c r="C117" s="55">
        <f t="shared" si="1"/>
        <v>2</v>
      </c>
      <c r="D117" s="6" t="s">
        <v>189</v>
      </c>
      <c r="E117" s="6" t="s">
        <v>153</v>
      </c>
      <c r="F117" s="6">
        <v>1</v>
      </c>
      <c r="G117" s="6">
        <v>5</v>
      </c>
      <c r="H117" s="6" t="s">
        <v>603</v>
      </c>
    </row>
    <row r="118" spans="1:8">
      <c r="A118" s="6" t="s">
        <v>188</v>
      </c>
      <c r="B118" s="55" t="s">
        <v>926</v>
      </c>
      <c r="C118" s="55">
        <f t="shared" si="1"/>
        <v>2</v>
      </c>
      <c r="D118" s="6" t="s">
        <v>190</v>
      </c>
      <c r="E118" s="6" t="s">
        <v>151</v>
      </c>
      <c r="F118" s="6">
        <v>1</v>
      </c>
      <c r="G118" s="6">
        <v>5</v>
      </c>
      <c r="H118" s="6" t="s">
        <v>604</v>
      </c>
    </row>
    <row r="119" spans="1:8">
      <c r="A119" s="6" t="s">
        <v>188</v>
      </c>
      <c r="B119" s="55" t="s">
        <v>927</v>
      </c>
      <c r="C119" s="55">
        <f t="shared" si="1"/>
        <v>2</v>
      </c>
      <c r="D119" s="6" t="s">
        <v>190</v>
      </c>
      <c r="E119" s="6" t="s">
        <v>189</v>
      </c>
      <c r="F119" s="6">
        <v>1</v>
      </c>
      <c r="G119" s="6">
        <v>5</v>
      </c>
      <c r="H119" s="6" t="s">
        <v>605</v>
      </c>
    </row>
    <row r="120" spans="1:8">
      <c r="A120" s="6" t="s">
        <v>188</v>
      </c>
      <c r="B120" s="55" t="s">
        <v>928</v>
      </c>
      <c r="C120" s="55">
        <f t="shared" si="1"/>
        <v>2</v>
      </c>
      <c r="D120" s="6" t="s">
        <v>190</v>
      </c>
      <c r="E120" s="6" t="s">
        <v>190</v>
      </c>
      <c r="F120" s="6">
        <v>1</v>
      </c>
      <c r="G120" s="6">
        <v>5</v>
      </c>
      <c r="H120" s="6" t="s">
        <v>606</v>
      </c>
    </row>
    <row r="121" spans="1:8">
      <c r="A121" s="6" t="s">
        <v>188</v>
      </c>
      <c r="B121" s="55" t="s">
        <v>929</v>
      </c>
      <c r="C121" s="55">
        <f t="shared" si="1"/>
        <v>2</v>
      </c>
      <c r="D121" s="6" t="s">
        <v>190</v>
      </c>
      <c r="E121" s="6" t="s">
        <v>272</v>
      </c>
      <c r="F121" s="6">
        <v>1</v>
      </c>
      <c r="G121" s="6">
        <v>5</v>
      </c>
      <c r="H121" s="6" t="s">
        <v>607</v>
      </c>
    </row>
    <row r="122" spans="1:8">
      <c r="A122" s="6" t="s">
        <v>188</v>
      </c>
      <c r="B122" s="55" t="s">
        <v>930</v>
      </c>
      <c r="C122" s="55">
        <f t="shared" si="1"/>
        <v>2</v>
      </c>
      <c r="D122" s="6" t="s">
        <v>190</v>
      </c>
      <c r="E122" s="6" t="s">
        <v>310</v>
      </c>
      <c r="F122" s="6">
        <v>1</v>
      </c>
      <c r="G122" s="6">
        <v>5</v>
      </c>
      <c r="H122" s="6" t="s">
        <v>608</v>
      </c>
    </row>
    <row r="123" spans="1:8">
      <c r="A123" s="6" t="s">
        <v>188</v>
      </c>
      <c r="B123" s="55" t="s">
        <v>192</v>
      </c>
      <c r="C123" s="55">
        <f t="shared" si="1"/>
        <v>2</v>
      </c>
      <c r="D123" s="6" t="s">
        <v>190</v>
      </c>
      <c r="E123" s="6" t="s">
        <v>334</v>
      </c>
      <c r="F123" s="6">
        <v>1</v>
      </c>
      <c r="G123" s="6">
        <v>5</v>
      </c>
      <c r="H123" s="6" t="s">
        <v>609</v>
      </c>
    </row>
    <row r="124" spans="1:8">
      <c r="A124" s="6" t="s">
        <v>188</v>
      </c>
      <c r="B124" s="55" t="s">
        <v>931</v>
      </c>
      <c r="C124" s="55">
        <f t="shared" si="1"/>
        <v>2</v>
      </c>
      <c r="D124" s="6" t="s">
        <v>190</v>
      </c>
      <c r="E124" s="6" t="s">
        <v>587</v>
      </c>
      <c r="F124" s="6">
        <v>1</v>
      </c>
      <c r="G124" s="6">
        <v>7</v>
      </c>
      <c r="H124" s="6" t="s">
        <v>610</v>
      </c>
    </row>
    <row r="125" spans="1:8">
      <c r="A125" s="6" t="s">
        <v>188</v>
      </c>
      <c r="B125" s="55" t="s">
        <v>932</v>
      </c>
      <c r="C125" s="55">
        <f t="shared" si="1"/>
        <v>2</v>
      </c>
      <c r="D125" s="6" t="s">
        <v>190</v>
      </c>
      <c r="E125" s="6" t="s">
        <v>153</v>
      </c>
      <c r="F125" s="6">
        <v>1</v>
      </c>
      <c r="G125" s="6">
        <v>5</v>
      </c>
      <c r="H125" s="6" t="s">
        <v>611</v>
      </c>
    </row>
    <row r="126" spans="1:8">
      <c r="A126" s="6" t="s">
        <v>188</v>
      </c>
      <c r="B126" s="55" t="s">
        <v>933</v>
      </c>
      <c r="C126" s="55">
        <f t="shared" si="1"/>
        <v>2</v>
      </c>
      <c r="D126" s="6" t="s">
        <v>272</v>
      </c>
      <c r="E126" s="6" t="s">
        <v>151</v>
      </c>
      <c r="F126" s="6">
        <v>1</v>
      </c>
      <c r="G126" s="6">
        <v>5</v>
      </c>
      <c r="H126" s="6" t="s">
        <v>612</v>
      </c>
    </row>
    <row r="127" spans="1:8">
      <c r="A127" s="6" t="s">
        <v>188</v>
      </c>
      <c r="B127" s="55" t="s">
        <v>934</v>
      </c>
      <c r="C127" s="55">
        <f t="shared" si="1"/>
        <v>2</v>
      </c>
      <c r="D127" s="6" t="s">
        <v>272</v>
      </c>
      <c r="E127" s="6" t="s">
        <v>189</v>
      </c>
      <c r="F127" s="6">
        <v>1</v>
      </c>
      <c r="G127" s="6">
        <v>5</v>
      </c>
      <c r="H127" s="6" t="s">
        <v>613</v>
      </c>
    </row>
    <row r="128" spans="1:8">
      <c r="A128" s="6" t="s">
        <v>188</v>
      </c>
      <c r="B128" s="55" t="s">
        <v>365</v>
      </c>
      <c r="C128" s="55">
        <f t="shared" si="1"/>
        <v>2</v>
      </c>
      <c r="D128" s="6" t="s">
        <v>272</v>
      </c>
      <c r="E128" s="6" t="s">
        <v>190</v>
      </c>
      <c r="F128" s="6">
        <v>1</v>
      </c>
      <c r="G128" s="6">
        <v>5</v>
      </c>
      <c r="H128" s="6" t="s">
        <v>614</v>
      </c>
    </row>
    <row r="129" spans="1:8">
      <c r="A129" s="6" t="s">
        <v>188</v>
      </c>
      <c r="B129" s="55" t="s">
        <v>615</v>
      </c>
      <c r="C129" s="55">
        <f t="shared" si="1"/>
        <v>2</v>
      </c>
      <c r="D129" s="6" t="s">
        <v>272</v>
      </c>
      <c r="E129" s="6" t="s">
        <v>272</v>
      </c>
      <c r="F129" s="6">
        <v>1</v>
      </c>
      <c r="G129" s="6">
        <v>5</v>
      </c>
      <c r="H129" s="6" t="s">
        <v>616</v>
      </c>
    </row>
    <row r="130" spans="1:8">
      <c r="A130" s="6" t="s">
        <v>188</v>
      </c>
      <c r="B130" s="55" t="s">
        <v>617</v>
      </c>
      <c r="C130" s="55">
        <f t="shared" ref="C130:C193" si="2">COUNTA(D130:E130)</f>
        <v>2</v>
      </c>
      <c r="D130" s="6" t="s">
        <v>272</v>
      </c>
      <c r="E130" s="6" t="s">
        <v>310</v>
      </c>
      <c r="F130" s="6">
        <v>1</v>
      </c>
      <c r="G130" s="6">
        <v>5</v>
      </c>
      <c r="H130" s="6" t="s">
        <v>618</v>
      </c>
    </row>
    <row r="131" spans="1:8">
      <c r="A131" s="6" t="s">
        <v>188</v>
      </c>
      <c r="B131" s="55" t="s">
        <v>619</v>
      </c>
      <c r="C131" s="55">
        <f t="shared" si="2"/>
        <v>2</v>
      </c>
      <c r="D131" s="6" t="s">
        <v>272</v>
      </c>
      <c r="E131" s="6" t="s">
        <v>334</v>
      </c>
      <c r="F131" s="6">
        <v>1</v>
      </c>
      <c r="G131" s="6">
        <v>5</v>
      </c>
      <c r="H131" s="6" t="s">
        <v>620</v>
      </c>
    </row>
    <row r="132" spans="1:8">
      <c r="A132" s="6" t="s">
        <v>188</v>
      </c>
      <c r="B132" s="55" t="s">
        <v>621</v>
      </c>
      <c r="C132" s="55">
        <f t="shared" si="2"/>
        <v>2</v>
      </c>
      <c r="D132" s="6" t="s">
        <v>272</v>
      </c>
      <c r="E132" s="6" t="s">
        <v>587</v>
      </c>
      <c r="F132" s="6">
        <v>1</v>
      </c>
      <c r="G132" s="6">
        <v>7</v>
      </c>
      <c r="H132" s="6" t="s">
        <v>622</v>
      </c>
    </row>
    <row r="133" spans="1:8">
      <c r="A133" s="6" t="s">
        <v>188</v>
      </c>
      <c r="B133" s="55" t="s">
        <v>623</v>
      </c>
      <c r="C133" s="55">
        <f t="shared" si="2"/>
        <v>2</v>
      </c>
      <c r="D133" s="6" t="s">
        <v>272</v>
      </c>
      <c r="E133" s="6" t="s">
        <v>153</v>
      </c>
      <c r="F133" s="6">
        <v>1</v>
      </c>
      <c r="G133" s="6">
        <v>5</v>
      </c>
      <c r="H133" s="6" t="s">
        <v>624</v>
      </c>
    </row>
    <row r="134" spans="1:8">
      <c r="A134" s="6" t="s">
        <v>188</v>
      </c>
      <c r="B134" s="55" t="s">
        <v>935</v>
      </c>
      <c r="C134" s="55">
        <f t="shared" si="2"/>
        <v>2</v>
      </c>
      <c r="D134" s="6" t="s">
        <v>310</v>
      </c>
      <c r="E134" s="6" t="s">
        <v>151</v>
      </c>
      <c r="F134" s="6">
        <v>1</v>
      </c>
      <c r="G134" s="6">
        <v>5</v>
      </c>
      <c r="H134" s="6" t="s">
        <v>625</v>
      </c>
    </row>
    <row r="135" spans="1:8">
      <c r="A135" s="6" t="s">
        <v>188</v>
      </c>
      <c r="B135" s="55" t="s">
        <v>936</v>
      </c>
      <c r="C135" s="55">
        <f t="shared" si="2"/>
        <v>2</v>
      </c>
      <c r="D135" s="6" t="s">
        <v>310</v>
      </c>
      <c r="E135" s="6" t="s">
        <v>189</v>
      </c>
      <c r="F135" s="6">
        <v>1</v>
      </c>
      <c r="G135" s="6">
        <v>5</v>
      </c>
      <c r="H135" s="6" t="s">
        <v>626</v>
      </c>
    </row>
    <row r="136" spans="1:8">
      <c r="A136" s="6" t="s">
        <v>188</v>
      </c>
      <c r="B136" s="55" t="s">
        <v>937</v>
      </c>
      <c r="C136" s="55">
        <f t="shared" si="2"/>
        <v>2</v>
      </c>
      <c r="D136" s="6" t="s">
        <v>310</v>
      </c>
      <c r="E136" s="6" t="s">
        <v>190</v>
      </c>
      <c r="F136" s="6">
        <v>1</v>
      </c>
      <c r="G136" s="6">
        <v>5</v>
      </c>
      <c r="H136" s="6" t="s">
        <v>627</v>
      </c>
    </row>
    <row r="137" spans="1:8">
      <c r="A137" s="6" t="s">
        <v>188</v>
      </c>
      <c r="B137" s="55" t="s">
        <v>938</v>
      </c>
      <c r="C137" s="55">
        <f t="shared" si="2"/>
        <v>2</v>
      </c>
      <c r="D137" s="6" t="s">
        <v>310</v>
      </c>
      <c r="E137" s="6" t="s">
        <v>272</v>
      </c>
      <c r="F137" s="6">
        <v>1</v>
      </c>
      <c r="G137" s="6">
        <v>5</v>
      </c>
      <c r="H137" s="6" t="s">
        <v>628</v>
      </c>
    </row>
    <row r="138" spans="1:8">
      <c r="A138" s="6" t="s">
        <v>188</v>
      </c>
      <c r="B138" s="55" t="s">
        <v>939</v>
      </c>
      <c r="C138" s="55">
        <f t="shared" si="2"/>
        <v>2</v>
      </c>
      <c r="D138" s="6" t="s">
        <v>310</v>
      </c>
      <c r="E138" s="6" t="s">
        <v>310</v>
      </c>
      <c r="F138" s="6">
        <v>1</v>
      </c>
      <c r="G138" s="6">
        <v>5</v>
      </c>
      <c r="H138" s="6" t="s">
        <v>629</v>
      </c>
    </row>
    <row r="139" spans="1:8">
      <c r="A139" s="6" t="s">
        <v>188</v>
      </c>
      <c r="B139" s="55" t="s">
        <v>940</v>
      </c>
      <c r="C139" s="55">
        <f t="shared" si="2"/>
        <v>2</v>
      </c>
      <c r="D139" s="6" t="s">
        <v>310</v>
      </c>
      <c r="E139" s="6" t="s">
        <v>334</v>
      </c>
      <c r="F139" s="6">
        <v>1</v>
      </c>
      <c r="G139" s="6">
        <v>5</v>
      </c>
      <c r="H139" s="6" t="s">
        <v>630</v>
      </c>
    </row>
    <row r="140" spans="1:8">
      <c r="A140" s="6" t="s">
        <v>188</v>
      </c>
      <c r="B140" s="55" t="s">
        <v>941</v>
      </c>
      <c r="C140" s="55">
        <f t="shared" si="2"/>
        <v>2</v>
      </c>
      <c r="D140" s="6" t="s">
        <v>310</v>
      </c>
      <c r="E140" s="6" t="s">
        <v>587</v>
      </c>
      <c r="F140" s="6">
        <v>1</v>
      </c>
      <c r="G140" s="6">
        <v>7</v>
      </c>
      <c r="H140" s="6" t="s">
        <v>631</v>
      </c>
    </row>
    <row r="141" spans="1:8">
      <c r="A141" s="6" t="s">
        <v>188</v>
      </c>
      <c r="B141" s="55" t="s">
        <v>942</v>
      </c>
      <c r="C141" s="55">
        <f t="shared" si="2"/>
        <v>2</v>
      </c>
      <c r="D141" s="6" t="s">
        <v>310</v>
      </c>
      <c r="E141" s="6" t="s">
        <v>153</v>
      </c>
      <c r="F141" s="6">
        <v>1</v>
      </c>
      <c r="G141" s="6">
        <v>5</v>
      </c>
      <c r="H141" s="6" t="s">
        <v>632</v>
      </c>
    </row>
    <row r="142" spans="1:8">
      <c r="A142" s="6" t="s">
        <v>188</v>
      </c>
      <c r="B142" s="55" t="s">
        <v>943</v>
      </c>
      <c r="C142" s="55">
        <f t="shared" si="2"/>
        <v>2</v>
      </c>
      <c r="D142" s="6" t="s">
        <v>334</v>
      </c>
      <c r="E142" s="6" t="s">
        <v>151</v>
      </c>
      <c r="F142" s="6">
        <v>1</v>
      </c>
      <c r="G142" s="6">
        <v>5</v>
      </c>
      <c r="H142" s="6" t="s">
        <v>633</v>
      </c>
    </row>
    <row r="143" spans="1:8">
      <c r="A143" s="6" t="s">
        <v>188</v>
      </c>
      <c r="B143" s="55" t="s">
        <v>944</v>
      </c>
      <c r="C143" s="55">
        <f t="shared" si="2"/>
        <v>2</v>
      </c>
      <c r="D143" s="6" t="s">
        <v>334</v>
      </c>
      <c r="E143" s="6" t="s">
        <v>189</v>
      </c>
      <c r="F143" s="6">
        <v>1</v>
      </c>
      <c r="G143" s="6">
        <v>5</v>
      </c>
      <c r="H143" s="6" t="s">
        <v>634</v>
      </c>
    </row>
    <row r="144" spans="1:8">
      <c r="A144" s="6" t="s">
        <v>188</v>
      </c>
      <c r="B144" s="55" t="s">
        <v>635</v>
      </c>
      <c r="C144" s="55">
        <f t="shared" si="2"/>
        <v>2</v>
      </c>
      <c r="D144" s="6" t="s">
        <v>334</v>
      </c>
      <c r="E144" s="6" t="s">
        <v>190</v>
      </c>
      <c r="F144" s="6">
        <v>1</v>
      </c>
      <c r="G144" s="6">
        <v>5</v>
      </c>
      <c r="H144" s="6" t="s">
        <v>636</v>
      </c>
    </row>
    <row r="145" spans="1:8">
      <c r="A145" s="6" t="s">
        <v>188</v>
      </c>
      <c r="B145" s="55" t="s">
        <v>637</v>
      </c>
      <c r="C145" s="55">
        <f t="shared" si="2"/>
        <v>2</v>
      </c>
      <c r="D145" s="6" t="s">
        <v>334</v>
      </c>
      <c r="E145" s="6" t="s">
        <v>272</v>
      </c>
      <c r="F145" s="6">
        <v>1</v>
      </c>
      <c r="G145" s="6">
        <v>5</v>
      </c>
      <c r="H145" s="6" t="s">
        <v>638</v>
      </c>
    </row>
    <row r="146" spans="1:8">
      <c r="A146" s="6" t="s">
        <v>188</v>
      </c>
      <c r="B146" s="55" t="s">
        <v>639</v>
      </c>
      <c r="C146" s="55">
        <f t="shared" si="2"/>
        <v>2</v>
      </c>
      <c r="D146" s="6" t="s">
        <v>334</v>
      </c>
      <c r="E146" s="6" t="s">
        <v>310</v>
      </c>
      <c r="F146" s="6">
        <v>1</v>
      </c>
      <c r="G146" s="6">
        <v>5</v>
      </c>
      <c r="H146" s="6" t="s">
        <v>640</v>
      </c>
    </row>
    <row r="147" spans="1:8">
      <c r="A147" s="6" t="s">
        <v>188</v>
      </c>
      <c r="B147" s="55" t="s">
        <v>641</v>
      </c>
      <c r="C147" s="55">
        <f t="shared" si="2"/>
        <v>2</v>
      </c>
      <c r="D147" s="6" t="s">
        <v>334</v>
      </c>
      <c r="E147" s="6" t="s">
        <v>334</v>
      </c>
      <c r="F147" s="6">
        <v>1</v>
      </c>
      <c r="G147" s="6">
        <v>5</v>
      </c>
      <c r="H147" s="6" t="s">
        <v>642</v>
      </c>
    </row>
    <row r="148" spans="1:8">
      <c r="A148" s="6" t="s">
        <v>188</v>
      </c>
      <c r="B148" s="55" t="s">
        <v>643</v>
      </c>
      <c r="C148" s="55">
        <f t="shared" si="2"/>
        <v>2</v>
      </c>
      <c r="D148" s="6" t="s">
        <v>334</v>
      </c>
      <c r="E148" s="6" t="s">
        <v>587</v>
      </c>
      <c r="F148" s="6">
        <v>1</v>
      </c>
      <c r="G148" s="6">
        <v>7</v>
      </c>
      <c r="H148" s="6" t="s">
        <v>644</v>
      </c>
    </row>
    <row r="149" spans="1:8">
      <c r="A149" s="6" t="s">
        <v>188</v>
      </c>
      <c r="B149" s="55" t="s">
        <v>645</v>
      </c>
      <c r="C149" s="55">
        <f t="shared" si="2"/>
        <v>2</v>
      </c>
      <c r="D149" s="6" t="s">
        <v>334</v>
      </c>
      <c r="E149" s="6" t="s">
        <v>153</v>
      </c>
      <c r="F149" s="6">
        <v>1</v>
      </c>
      <c r="G149" s="6">
        <v>5</v>
      </c>
      <c r="H149" s="6" t="s">
        <v>646</v>
      </c>
    </row>
    <row r="150" spans="1:8">
      <c r="A150" s="6" t="s">
        <v>188</v>
      </c>
      <c r="B150" s="55" t="s">
        <v>945</v>
      </c>
      <c r="C150" s="55">
        <f t="shared" si="2"/>
        <v>2</v>
      </c>
      <c r="D150" s="6" t="s">
        <v>587</v>
      </c>
      <c r="E150" s="6" t="s">
        <v>151</v>
      </c>
      <c r="F150" s="6">
        <v>1</v>
      </c>
      <c r="G150" s="6">
        <v>7</v>
      </c>
      <c r="H150" s="6" t="s">
        <v>647</v>
      </c>
    </row>
    <row r="151" spans="1:8">
      <c r="A151" s="6" t="s">
        <v>188</v>
      </c>
      <c r="B151" s="55" t="s">
        <v>946</v>
      </c>
      <c r="C151" s="55">
        <f t="shared" si="2"/>
        <v>2</v>
      </c>
      <c r="D151" s="6" t="s">
        <v>587</v>
      </c>
      <c r="E151" s="6" t="s">
        <v>189</v>
      </c>
      <c r="F151" s="6">
        <v>1</v>
      </c>
      <c r="G151" s="6">
        <v>7</v>
      </c>
      <c r="H151" s="6" t="s">
        <v>648</v>
      </c>
    </row>
    <row r="152" spans="1:8">
      <c r="A152" s="6" t="s">
        <v>188</v>
      </c>
      <c r="B152" s="55" t="s">
        <v>947</v>
      </c>
      <c r="C152" s="55">
        <f t="shared" si="2"/>
        <v>2</v>
      </c>
      <c r="D152" s="6" t="s">
        <v>587</v>
      </c>
      <c r="E152" s="6" t="s">
        <v>190</v>
      </c>
      <c r="F152" s="6">
        <v>1</v>
      </c>
      <c r="G152" s="6">
        <v>7</v>
      </c>
      <c r="H152" s="6" t="s">
        <v>649</v>
      </c>
    </row>
    <row r="153" spans="1:8">
      <c r="A153" s="6" t="s">
        <v>188</v>
      </c>
      <c r="B153" s="55" t="s">
        <v>948</v>
      </c>
      <c r="C153" s="55">
        <f t="shared" si="2"/>
        <v>2</v>
      </c>
      <c r="D153" s="6" t="s">
        <v>587</v>
      </c>
      <c r="E153" s="6" t="s">
        <v>272</v>
      </c>
      <c r="F153" s="6">
        <v>1</v>
      </c>
      <c r="G153" s="6">
        <v>7</v>
      </c>
      <c r="H153" s="6" t="s">
        <v>650</v>
      </c>
    </row>
    <row r="154" spans="1:8">
      <c r="A154" s="6" t="s">
        <v>188</v>
      </c>
      <c r="B154" s="55" t="s">
        <v>949</v>
      </c>
      <c r="C154" s="55">
        <f t="shared" si="2"/>
        <v>2</v>
      </c>
      <c r="D154" s="6" t="s">
        <v>587</v>
      </c>
      <c r="E154" s="6" t="s">
        <v>310</v>
      </c>
      <c r="F154" s="6">
        <v>1</v>
      </c>
      <c r="G154" s="6">
        <v>7</v>
      </c>
      <c r="H154" s="6" t="s">
        <v>651</v>
      </c>
    </row>
    <row r="155" spans="1:8">
      <c r="A155" s="6" t="s">
        <v>188</v>
      </c>
      <c r="B155" s="55" t="s">
        <v>950</v>
      </c>
      <c r="C155" s="55">
        <f t="shared" si="2"/>
        <v>2</v>
      </c>
      <c r="D155" s="6" t="s">
        <v>587</v>
      </c>
      <c r="E155" s="6" t="s">
        <v>334</v>
      </c>
      <c r="F155" s="6">
        <v>1</v>
      </c>
      <c r="G155" s="6">
        <v>7</v>
      </c>
      <c r="H155" s="6" t="s">
        <v>652</v>
      </c>
    </row>
    <row r="156" spans="1:8">
      <c r="A156" s="6" t="s">
        <v>188</v>
      </c>
      <c r="B156" s="55" t="s">
        <v>952</v>
      </c>
      <c r="C156" s="55">
        <f t="shared" si="2"/>
        <v>2</v>
      </c>
      <c r="D156" s="6" t="s">
        <v>587</v>
      </c>
      <c r="E156" s="6" t="s">
        <v>153</v>
      </c>
      <c r="F156" s="6">
        <v>1</v>
      </c>
      <c r="G156" s="6">
        <v>7</v>
      </c>
      <c r="H156" s="6" t="s">
        <v>654</v>
      </c>
    </row>
    <row r="157" spans="1:8">
      <c r="A157" s="6" t="s">
        <v>188</v>
      </c>
      <c r="B157" s="55" t="s">
        <v>953</v>
      </c>
      <c r="C157" s="55">
        <f t="shared" si="2"/>
        <v>2</v>
      </c>
      <c r="D157" s="6" t="s">
        <v>153</v>
      </c>
      <c r="E157" s="6" t="s">
        <v>151</v>
      </c>
      <c r="F157" s="6">
        <v>1</v>
      </c>
      <c r="G157" s="6">
        <v>5</v>
      </c>
      <c r="H157" s="6" t="s">
        <v>655</v>
      </c>
    </row>
    <row r="158" spans="1:8">
      <c r="A158" s="6" t="s">
        <v>188</v>
      </c>
      <c r="B158" s="55" t="s">
        <v>954</v>
      </c>
      <c r="C158" s="55">
        <f t="shared" si="2"/>
        <v>2</v>
      </c>
      <c r="D158" s="6" t="s">
        <v>153</v>
      </c>
      <c r="E158" s="6" t="s">
        <v>189</v>
      </c>
      <c r="F158" s="6">
        <v>1</v>
      </c>
      <c r="G158" s="6">
        <v>5</v>
      </c>
      <c r="H158" s="6" t="s">
        <v>656</v>
      </c>
    </row>
    <row r="159" spans="1:8">
      <c r="A159" s="6" t="s">
        <v>188</v>
      </c>
      <c r="B159" s="55" t="s">
        <v>657</v>
      </c>
      <c r="C159" s="55">
        <f t="shared" si="2"/>
        <v>2</v>
      </c>
      <c r="D159" s="6" t="s">
        <v>153</v>
      </c>
      <c r="E159" s="6" t="s">
        <v>190</v>
      </c>
      <c r="F159" s="6">
        <v>1</v>
      </c>
      <c r="G159" s="6">
        <v>5</v>
      </c>
      <c r="H159" s="6" t="s">
        <v>658</v>
      </c>
    </row>
    <row r="160" spans="1:8">
      <c r="A160" s="6" t="s">
        <v>188</v>
      </c>
      <c r="B160" s="55" t="s">
        <v>659</v>
      </c>
      <c r="C160" s="55">
        <f t="shared" si="2"/>
        <v>2</v>
      </c>
      <c r="D160" s="6" t="s">
        <v>153</v>
      </c>
      <c r="E160" s="6" t="s">
        <v>272</v>
      </c>
      <c r="F160" s="6">
        <v>1</v>
      </c>
      <c r="G160" s="6">
        <v>5</v>
      </c>
      <c r="H160" s="6" t="s">
        <v>660</v>
      </c>
    </row>
    <row r="161" spans="1:8">
      <c r="A161" s="6" t="s">
        <v>188</v>
      </c>
      <c r="B161" s="55" t="s">
        <v>661</v>
      </c>
      <c r="C161" s="55">
        <f t="shared" si="2"/>
        <v>2</v>
      </c>
      <c r="D161" s="6" t="s">
        <v>153</v>
      </c>
      <c r="E161" s="6" t="s">
        <v>310</v>
      </c>
      <c r="F161" s="6">
        <v>1</v>
      </c>
      <c r="G161" s="6">
        <v>5</v>
      </c>
      <c r="H161" s="6" t="s">
        <v>662</v>
      </c>
    </row>
    <row r="162" spans="1:8">
      <c r="A162" s="6" t="s">
        <v>188</v>
      </c>
      <c r="B162" s="55" t="s">
        <v>663</v>
      </c>
      <c r="C162" s="55">
        <f t="shared" si="2"/>
        <v>2</v>
      </c>
      <c r="D162" s="6" t="s">
        <v>153</v>
      </c>
      <c r="E162" s="6" t="s">
        <v>334</v>
      </c>
      <c r="F162" s="6">
        <v>1</v>
      </c>
      <c r="G162" s="6">
        <v>5</v>
      </c>
      <c r="H162" s="6" t="s">
        <v>664</v>
      </c>
    </row>
    <row r="163" spans="1:8">
      <c r="A163" s="6" t="s">
        <v>188</v>
      </c>
      <c r="B163" s="55" t="s">
        <v>340</v>
      </c>
      <c r="C163" s="55">
        <f t="shared" si="2"/>
        <v>2</v>
      </c>
      <c r="D163" s="6" t="s">
        <v>153</v>
      </c>
      <c r="E163" s="6" t="s">
        <v>587</v>
      </c>
      <c r="F163" s="6">
        <v>1</v>
      </c>
      <c r="G163" s="6">
        <v>7</v>
      </c>
      <c r="H163" s="6" t="s">
        <v>665</v>
      </c>
    </row>
    <row r="164" spans="1:8">
      <c r="A164" s="6" t="s">
        <v>188</v>
      </c>
      <c r="B164" s="55" t="s">
        <v>221</v>
      </c>
      <c r="C164" s="55">
        <f t="shared" si="2"/>
        <v>2</v>
      </c>
      <c r="D164" s="6" t="s">
        <v>153</v>
      </c>
      <c r="E164" s="6" t="s">
        <v>153</v>
      </c>
      <c r="F164" s="6">
        <v>1</v>
      </c>
      <c r="G164" s="6">
        <v>5</v>
      </c>
      <c r="H164" s="6" t="s">
        <v>666</v>
      </c>
    </row>
    <row r="165" spans="1:8">
      <c r="A165" s="6" t="s">
        <v>148</v>
      </c>
      <c r="B165" s="55" t="s">
        <v>891</v>
      </c>
      <c r="C165" s="55">
        <f t="shared" si="2"/>
        <v>2</v>
      </c>
      <c r="D165" s="6" t="s">
        <v>151</v>
      </c>
      <c r="E165" s="6" t="s">
        <v>137</v>
      </c>
      <c r="F165" s="6">
        <v>2</v>
      </c>
      <c r="G165" s="6">
        <v>7</v>
      </c>
      <c r="H165" s="6" t="s">
        <v>514</v>
      </c>
    </row>
    <row r="166" spans="1:8">
      <c r="A166" s="6" t="s">
        <v>148</v>
      </c>
      <c r="B166" s="55" t="s">
        <v>454</v>
      </c>
      <c r="C166" s="55">
        <f t="shared" si="2"/>
        <v>2</v>
      </c>
      <c r="D166" s="6" t="s">
        <v>189</v>
      </c>
      <c r="E166" s="6" t="s">
        <v>137</v>
      </c>
      <c r="F166" s="6">
        <v>2</v>
      </c>
      <c r="G166" s="6">
        <v>7</v>
      </c>
      <c r="H166" s="6" t="s">
        <v>523</v>
      </c>
    </row>
    <row r="167" spans="1:8">
      <c r="A167" s="6" t="s">
        <v>148</v>
      </c>
      <c r="B167" s="55" t="s">
        <v>897</v>
      </c>
      <c r="C167" s="55">
        <f t="shared" si="2"/>
        <v>2</v>
      </c>
      <c r="D167" s="6" t="s">
        <v>190</v>
      </c>
      <c r="E167" s="6" t="s">
        <v>137</v>
      </c>
      <c r="F167" s="6">
        <v>2</v>
      </c>
      <c r="G167" s="6">
        <v>7</v>
      </c>
      <c r="H167" s="6" t="s">
        <v>530</v>
      </c>
    </row>
    <row r="168" spans="1:8">
      <c r="A168" s="6" t="s">
        <v>148</v>
      </c>
      <c r="B168" s="55" t="s">
        <v>541</v>
      </c>
      <c r="C168" s="55">
        <f t="shared" si="2"/>
        <v>2</v>
      </c>
      <c r="D168" s="6" t="s">
        <v>272</v>
      </c>
      <c r="E168" s="6" t="s">
        <v>137</v>
      </c>
      <c r="F168" s="6">
        <v>2</v>
      </c>
      <c r="G168" s="6">
        <v>7</v>
      </c>
      <c r="H168" s="6" t="s">
        <v>542</v>
      </c>
    </row>
    <row r="169" spans="1:8">
      <c r="A169" s="6" t="s">
        <v>148</v>
      </c>
      <c r="B169" s="55" t="s">
        <v>905</v>
      </c>
      <c r="C169" s="55">
        <f t="shared" si="2"/>
        <v>2</v>
      </c>
      <c r="D169" s="6" t="s">
        <v>310</v>
      </c>
      <c r="E169" s="6" t="s">
        <v>137</v>
      </c>
      <c r="F169" s="6">
        <v>2</v>
      </c>
      <c r="G169" s="6">
        <v>7</v>
      </c>
      <c r="H169" s="6" t="s">
        <v>550</v>
      </c>
    </row>
    <row r="170" spans="1:8">
      <c r="A170" s="6" t="s">
        <v>148</v>
      </c>
      <c r="B170" s="55" t="s">
        <v>560</v>
      </c>
      <c r="C170" s="55">
        <f t="shared" si="2"/>
        <v>2</v>
      </c>
      <c r="D170" s="6" t="s">
        <v>334</v>
      </c>
      <c r="E170" s="6" t="s">
        <v>137</v>
      </c>
      <c r="F170" s="6">
        <v>2</v>
      </c>
      <c r="G170" s="6">
        <v>7</v>
      </c>
      <c r="H170" s="6" t="s">
        <v>561</v>
      </c>
    </row>
    <row r="171" spans="1:8">
      <c r="A171" s="6" t="s">
        <v>148</v>
      </c>
      <c r="B171" s="55" t="s">
        <v>913</v>
      </c>
      <c r="C171" s="55">
        <f t="shared" si="2"/>
        <v>2</v>
      </c>
      <c r="D171" s="6" t="s">
        <v>587</v>
      </c>
      <c r="E171" s="6" t="s">
        <v>137</v>
      </c>
      <c r="F171" s="6">
        <v>2</v>
      </c>
      <c r="G171" s="6">
        <v>10</v>
      </c>
      <c r="H171" s="6" t="s">
        <v>569</v>
      </c>
    </row>
    <row r="172" spans="1:8">
      <c r="A172" s="6" t="s">
        <v>148</v>
      </c>
      <c r="B172" s="55" t="s">
        <v>578</v>
      </c>
      <c r="C172" s="55">
        <f t="shared" si="2"/>
        <v>2</v>
      </c>
      <c r="D172" s="6" t="s">
        <v>153</v>
      </c>
      <c r="E172" s="6" t="s">
        <v>137</v>
      </c>
      <c r="F172" s="6">
        <v>2</v>
      </c>
      <c r="G172" s="6">
        <v>7</v>
      </c>
      <c r="H172" s="6" t="s">
        <v>579</v>
      </c>
    </row>
    <row r="173" spans="1:8">
      <c r="A173" s="6" t="s">
        <v>110</v>
      </c>
      <c r="B173" s="55" t="s">
        <v>222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508</v>
      </c>
    </row>
    <row r="174" spans="1:8">
      <c r="A174" s="6" t="s">
        <v>110</v>
      </c>
      <c r="B174" s="55" t="s">
        <v>238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508</v>
      </c>
    </row>
    <row r="175" spans="1:8">
      <c r="A175" s="6" t="s">
        <v>110</v>
      </c>
      <c r="B175" s="55" t="s">
        <v>484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508</v>
      </c>
    </row>
    <row r="176" spans="1:8">
      <c r="A176" s="6" t="s">
        <v>110</v>
      </c>
      <c r="B176" s="55" t="s">
        <v>900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508</v>
      </c>
    </row>
    <row r="177" spans="1:8">
      <c r="A177" s="6" t="s">
        <v>110</v>
      </c>
      <c r="B177" s="55" t="s">
        <v>907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508</v>
      </c>
    </row>
    <row r="178" spans="1:8">
      <c r="A178" s="6" t="s">
        <v>269</v>
      </c>
      <c r="B178" s="55" t="s">
        <v>505</v>
      </c>
      <c r="C178" s="55">
        <f t="shared" si="2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2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2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2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2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2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2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2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156</v>
      </c>
      <c r="B186" s="55" t="s">
        <v>986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987</v>
      </c>
    </row>
    <row r="187" spans="1:8">
      <c r="A187" s="6" t="s">
        <v>879</v>
      </c>
      <c r="B187" s="55" t="s">
        <v>801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802</v>
      </c>
    </row>
    <row r="188" spans="1:8">
      <c r="A188" s="6" t="s">
        <v>88</v>
      </c>
      <c r="B188" s="55" t="s">
        <v>844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845</v>
      </c>
    </row>
    <row r="189" spans="1:8">
      <c r="A189" s="6" t="s">
        <v>282</v>
      </c>
      <c r="B189" s="55" t="s">
        <v>766</v>
      </c>
      <c r="C189" s="55">
        <f t="shared" si="2"/>
        <v>1</v>
      </c>
      <c r="D189" s="6" t="s">
        <v>151</v>
      </c>
      <c r="E189" s="6"/>
      <c r="F189" s="6">
        <v>1</v>
      </c>
      <c r="G189" s="6">
        <v>10</v>
      </c>
      <c r="H189" s="6" t="s">
        <v>767</v>
      </c>
    </row>
    <row r="190" spans="1:8">
      <c r="A190" s="6" t="s">
        <v>282</v>
      </c>
      <c r="B190" s="55" t="s">
        <v>797</v>
      </c>
      <c r="C190" s="55">
        <f t="shared" si="2"/>
        <v>1</v>
      </c>
      <c r="D190" s="6" t="s">
        <v>190</v>
      </c>
      <c r="E190" s="6"/>
      <c r="F190" s="6">
        <v>1</v>
      </c>
      <c r="G190" s="6">
        <v>10</v>
      </c>
      <c r="H190" s="6" t="s">
        <v>798</v>
      </c>
    </row>
    <row r="191" spans="1:8">
      <c r="A191" s="6" t="s">
        <v>282</v>
      </c>
      <c r="B191" s="55" t="s">
        <v>828</v>
      </c>
      <c r="C191" s="55">
        <f t="shared" si="2"/>
        <v>1</v>
      </c>
      <c r="D191" s="6" t="s">
        <v>310</v>
      </c>
      <c r="E191" s="6"/>
      <c r="F191" s="6">
        <v>1</v>
      </c>
      <c r="G191" s="6">
        <v>10</v>
      </c>
      <c r="H191" s="6" t="s">
        <v>829</v>
      </c>
    </row>
    <row r="192" spans="1:8">
      <c r="A192" s="6" t="s">
        <v>282</v>
      </c>
      <c r="B192" s="55" t="s">
        <v>858</v>
      </c>
      <c r="C192" s="55">
        <f t="shared" si="2"/>
        <v>1</v>
      </c>
      <c r="D192" s="6" t="s">
        <v>166</v>
      </c>
      <c r="E192" s="6"/>
      <c r="F192" s="6">
        <v>1</v>
      </c>
      <c r="G192" s="6">
        <v>10</v>
      </c>
      <c r="H192" s="6" t="s">
        <v>859</v>
      </c>
    </row>
    <row r="193" spans="1:8">
      <c r="A193" s="6" t="s">
        <v>971</v>
      </c>
      <c r="B193" s="55" t="s">
        <v>909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978</v>
      </c>
    </row>
    <row r="194" spans="1:8">
      <c r="A194" s="6" t="s">
        <v>983</v>
      </c>
      <c r="B194" s="55" t="s">
        <v>893</v>
      </c>
      <c r="C194" s="55">
        <f t="shared" ref="C194:C257" si="3">COUNTA(D194:E194)</f>
        <v>0</v>
      </c>
      <c r="D194" s="6"/>
      <c r="E194" s="6"/>
      <c r="F194" s="6">
        <v>1</v>
      </c>
      <c r="G194" s="6">
        <v>4</v>
      </c>
      <c r="H194" s="6" t="s">
        <v>991</v>
      </c>
    </row>
    <row r="195" spans="1:8">
      <c r="A195" s="6" t="s">
        <v>150</v>
      </c>
      <c r="B195" s="55" t="s">
        <v>774</v>
      </c>
      <c r="C195" s="55">
        <f t="shared" si="3"/>
        <v>1</v>
      </c>
      <c r="D195" s="6" t="s">
        <v>151</v>
      </c>
      <c r="E195" s="6"/>
      <c r="F195" s="6">
        <v>1</v>
      </c>
      <c r="G195" s="6">
        <v>11</v>
      </c>
      <c r="H195" s="6" t="s">
        <v>775</v>
      </c>
    </row>
    <row r="196" spans="1:8">
      <c r="A196" s="6" t="s">
        <v>150</v>
      </c>
      <c r="B196" s="55" t="s">
        <v>805</v>
      </c>
      <c r="C196" s="55">
        <f t="shared" si="3"/>
        <v>1</v>
      </c>
      <c r="D196" s="6" t="s">
        <v>190</v>
      </c>
      <c r="E196" s="6"/>
      <c r="F196" s="6">
        <v>1</v>
      </c>
      <c r="G196" s="6">
        <v>11</v>
      </c>
      <c r="H196" s="6" t="s">
        <v>806</v>
      </c>
    </row>
    <row r="197" spans="1:8">
      <c r="A197" s="6" t="s">
        <v>150</v>
      </c>
      <c r="B197" s="55" t="s">
        <v>835</v>
      </c>
      <c r="C197" s="55">
        <f t="shared" si="3"/>
        <v>1</v>
      </c>
      <c r="D197" s="6" t="s">
        <v>310</v>
      </c>
      <c r="E197" s="6"/>
      <c r="F197" s="6">
        <v>1</v>
      </c>
      <c r="G197" s="6">
        <v>11</v>
      </c>
      <c r="H197" s="6" t="s">
        <v>836</v>
      </c>
    </row>
    <row r="198" spans="1:8">
      <c r="A198" s="6" t="s">
        <v>150</v>
      </c>
      <c r="B198" s="55" t="s">
        <v>867</v>
      </c>
      <c r="C198" s="55">
        <f t="shared" si="3"/>
        <v>1</v>
      </c>
      <c r="D198" s="6" t="s">
        <v>166</v>
      </c>
      <c r="E198" s="6"/>
      <c r="F198" s="6">
        <v>1</v>
      </c>
      <c r="G198" s="6">
        <v>11</v>
      </c>
      <c r="H198" s="6" t="s">
        <v>868</v>
      </c>
    </row>
    <row r="199" spans="1:8">
      <c r="A199" s="6" t="s">
        <v>464</v>
      </c>
      <c r="B199" s="55" t="s">
        <v>898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531</v>
      </c>
    </row>
    <row r="200" spans="1:8">
      <c r="A200" s="6" t="s">
        <v>158</v>
      </c>
      <c r="B200" s="55" t="s">
        <v>543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544</v>
      </c>
    </row>
    <row r="201" spans="1:8">
      <c r="A201" s="6" t="s">
        <v>812</v>
      </c>
      <c r="B201" s="55" t="s">
        <v>811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813</v>
      </c>
    </row>
    <row r="202" spans="1:8">
      <c r="A202" s="6" t="s">
        <v>84</v>
      </c>
      <c r="B202" s="55" t="s">
        <v>782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783</v>
      </c>
    </row>
    <row r="203" spans="1:8">
      <c r="A203" s="6" t="s">
        <v>84</v>
      </c>
      <c r="B203" s="55" t="s">
        <v>814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462</v>
      </c>
      <c r="B204" s="55" t="s">
        <v>892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515</v>
      </c>
    </row>
    <row r="205" spans="1:8">
      <c r="A205" s="6" t="s">
        <v>1123</v>
      </c>
      <c r="B205" s="55" t="s">
        <v>1131</v>
      </c>
      <c r="C205" s="55">
        <f t="shared" si="3"/>
        <v>1</v>
      </c>
      <c r="D205" s="6" t="s">
        <v>496</v>
      </c>
      <c r="E205" s="6"/>
      <c r="F205" s="6">
        <v>1</v>
      </c>
      <c r="G205" s="6">
        <v>10</v>
      </c>
      <c r="H205" s="6" t="s">
        <v>1132</v>
      </c>
    </row>
    <row r="206" spans="1:8">
      <c r="A206" s="6" t="s">
        <v>795</v>
      </c>
      <c r="B206" s="55" t="s">
        <v>794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796</v>
      </c>
    </row>
    <row r="207" spans="1:8">
      <c r="A207" s="6" t="s">
        <v>764</v>
      </c>
      <c r="B207" s="55" t="s">
        <v>763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765</v>
      </c>
    </row>
    <row r="208" spans="1:8">
      <c r="A208" s="6" t="s">
        <v>856</v>
      </c>
      <c r="B208" s="55" t="s">
        <v>271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857</v>
      </c>
    </row>
    <row r="209" spans="1:8">
      <c r="A209" s="6" t="s">
        <v>842</v>
      </c>
      <c r="B209" s="55" t="s">
        <v>841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843</v>
      </c>
    </row>
    <row r="210" spans="1:8">
      <c r="A210" s="6" t="s">
        <v>826</v>
      </c>
      <c r="B210" s="55" t="s">
        <v>825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827</v>
      </c>
    </row>
    <row r="211" spans="1:8">
      <c r="A211" s="6" t="s">
        <v>160</v>
      </c>
      <c r="B211" s="55" t="s">
        <v>270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524</v>
      </c>
    </row>
    <row r="212" spans="1:8">
      <c r="A212" s="6" t="s">
        <v>877</v>
      </c>
      <c r="B212" s="55" t="s">
        <v>778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779</v>
      </c>
    </row>
    <row r="213" spans="1:8">
      <c r="A213" s="6" t="s">
        <v>877</v>
      </c>
      <c r="B213" s="55" t="s">
        <v>792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793</v>
      </c>
    </row>
    <row r="214" spans="1:8">
      <c r="A214" s="6" t="s">
        <v>877</v>
      </c>
      <c r="B214" s="55" t="s">
        <v>809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810</v>
      </c>
    </row>
    <row r="215" spans="1:8">
      <c r="A215" s="6" t="s">
        <v>877</v>
      </c>
      <c r="B215" s="55" t="s">
        <v>823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824</v>
      </c>
    </row>
    <row r="216" spans="1:8">
      <c r="A216" s="6" t="s">
        <v>877</v>
      </c>
      <c r="B216" s="55" t="s">
        <v>839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840</v>
      </c>
    </row>
    <row r="217" spans="1:8">
      <c r="A217" s="6" t="s">
        <v>877</v>
      </c>
      <c r="B217" s="55" t="s">
        <v>854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855</v>
      </c>
    </row>
    <row r="218" spans="1:8">
      <c r="A218" s="6" t="s">
        <v>495</v>
      </c>
      <c r="B218" s="55" t="s">
        <v>780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781</v>
      </c>
    </row>
    <row r="219" spans="1:8">
      <c r="A219" s="6" t="s">
        <v>453</v>
      </c>
      <c r="B219" s="55" t="s">
        <v>970</v>
      </c>
      <c r="C219" s="55">
        <f t="shared" si="3"/>
        <v>1</v>
      </c>
      <c r="D219" s="6" t="s">
        <v>151</v>
      </c>
      <c r="E219" s="6"/>
      <c r="F219" s="6">
        <v>1</v>
      </c>
      <c r="G219" s="6">
        <v>4</v>
      </c>
      <c r="H219" s="6" t="s">
        <v>697</v>
      </c>
    </row>
    <row r="220" spans="1:8">
      <c r="A220" s="6" t="s">
        <v>453</v>
      </c>
      <c r="B220" s="55" t="s">
        <v>368</v>
      </c>
      <c r="C220" s="55">
        <f t="shared" si="3"/>
        <v>1</v>
      </c>
      <c r="D220" s="6" t="s">
        <v>189</v>
      </c>
      <c r="E220" s="6"/>
      <c r="F220" s="6">
        <v>1</v>
      </c>
      <c r="G220" s="6">
        <v>4</v>
      </c>
      <c r="H220" s="6" t="s">
        <v>698</v>
      </c>
    </row>
    <row r="221" spans="1:8">
      <c r="A221" s="6" t="s">
        <v>453</v>
      </c>
      <c r="B221" s="55" t="s">
        <v>699</v>
      </c>
      <c r="C221" s="55">
        <f t="shared" si="3"/>
        <v>1</v>
      </c>
      <c r="D221" s="6" t="s">
        <v>190</v>
      </c>
      <c r="E221" s="6"/>
      <c r="F221" s="6">
        <v>1</v>
      </c>
      <c r="G221" s="6">
        <v>4</v>
      </c>
      <c r="H221" s="6" t="s">
        <v>700</v>
      </c>
    </row>
    <row r="222" spans="1:8">
      <c r="A222" s="6" t="s">
        <v>453</v>
      </c>
      <c r="B222" s="55" t="s">
        <v>701</v>
      </c>
      <c r="C222" s="55">
        <f t="shared" si="3"/>
        <v>1</v>
      </c>
      <c r="D222" s="6" t="s">
        <v>272</v>
      </c>
      <c r="E222" s="6"/>
      <c r="F222" s="6">
        <v>1</v>
      </c>
      <c r="G222" s="6">
        <v>4</v>
      </c>
      <c r="H222" s="6" t="s">
        <v>702</v>
      </c>
    </row>
    <row r="223" spans="1:8">
      <c r="A223" s="6" t="s">
        <v>453</v>
      </c>
      <c r="B223" s="55" t="s">
        <v>703</v>
      </c>
      <c r="C223" s="55">
        <f t="shared" si="3"/>
        <v>1</v>
      </c>
      <c r="D223" s="6" t="s">
        <v>310</v>
      </c>
      <c r="E223" s="6"/>
      <c r="F223" s="6">
        <v>1</v>
      </c>
      <c r="G223" s="6">
        <v>4</v>
      </c>
      <c r="H223" s="6" t="s">
        <v>704</v>
      </c>
    </row>
    <row r="224" spans="1:8">
      <c r="A224" s="6" t="s">
        <v>453</v>
      </c>
      <c r="B224" s="55" t="s">
        <v>705</v>
      </c>
      <c r="C224" s="55">
        <f t="shared" si="3"/>
        <v>1</v>
      </c>
      <c r="D224" s="6" t="s">
        <v>334</v>
      </c>
      <c r="E224" s="6"/>
      <c r="F224" s="6">
        <v>1</v>
      </c>
      <c r="G224" s="6">
        <v>4</v>
      </c>
      <c r="H224" s="6" t="s">
        <v>706</v>
      </c>
    </row>
    <row r="225" spans="1:8">
      <c r="A225" s="6" t="s">
        <v>453</v>
      </c>
      <c r="B225" s="55" t="s">
        <v>707</v>
      </c>
      <c r="C225" s="55">
        <f t="shared" si="3"/>
        <v>1</v>
      </c>
      <c r="D225" s="6" t="s">
        <v>587</v>
      </c>
      <c r="E225" s="6"/>
      <c r="F225" s="6">
        <v>1</v>
      </c>
      <c r="G225" s="6">
        <v>7</v>
      </c>
      <c r="H225" s="6" t="s">
        <v>708</v>
      </c>
    </row>
    <row r="226" spans="1:8">
      <c r="A226" s="6" t="s">
        <v>453</v>
      </c>
      <c r="B226" s="55" t="s">
        <v>709</v>
      </c>
      <c r="C226" s="55">
        <f t="shared" si="3"/>
        <v>1</v>
      </c>
      <c r="D226" s="6" t="s">
        <v>153</v>
      </c>
      <c r="E226" s="6"/>
      <c r="F226" s="6">
        <v>1</v>
      </c>
      <c r="G226" s="6">
        <v>4</v>
      </c>
      <c r="H226" s="6" t="s">
        <v>710</v>
      </c>
    </row>
    <row r="227" spans="1:8">
      <c r="A227" s="6" t="s">
        <v>456</v>
      </c>
      <c r="B227" s="55" t="s">
        <v>821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822</v>
      </c>
    </row>
    <row r="228" spans="1:8">
      <c r="A228" s="6" t="s">
        <v>871</v>
      </c>
      <c r="B228" s="55" t="s">
        <v>209</v>
      </c>
      <c r="C228" s="55">
        <f t="shared" si="3"/>
        <v>1</v>
      </c>
      <c r="D228" s="6" t="s">
        <v>496</v>
      </c>
      <c r="E228" s="6"/>
      <c r="F228" s="6">
        <v>3</v>
      </c>
      <c r="G228" s="6">
        <v>16</v>
      </c>
      <c r="H228" s="6" t="s">
        <v>546</v>
      </c>
    </row>
    <row r="229" spans="1:8">
      <c r="A229" s="6" t="s">
        <v>100</v>
      </c>
      <c r="B229" s="55" t="s">
        <v>988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989</v>
      </c>
    </row>
    <row r="230" spans="1:8">
      <c r="A230" s="6" t="s">
        <v>873</v>
      </c>
      <c r="B230" s="55" t="s">
        <v>911</v>
      </c>
      <c r="C230" s="55">
        <f t="shared" si="3"/>
        <v>1</v>
      </c>
      <c r="D230" s="6" t="s">
        <v>496</v>
      </c>
      <c r="E230" s="6"/>
      <c r="F230" s="6">
        <v>3</v>
      </c>
      <c r="G230" s="6">
        <v>13</v>
      </c>
      <c r="H230" s="6" t="s">
        <v>565</v>
      </c>
    </row>
    <row r="231" spans="1:8">
      <c r="A231" s="6" t="s">
        <v>869</v>
      </c>
      <c r="B231" s="55" t="s">
        <v>888</v>
      </c>
      <c r="C231" s="55">
        <f t="shared" si="3"/>
        <v>1</v>
      </c>
      <c r="D231" s="6" t="s">
        <v>151</v>
      </c>
      <c r="E231" s="6"/>
      <c r="F231" s="6">
        <v>1</v>
      </c>
      <c r="G231" s="6">
        <v>7</v>
      </c>
      <c r="H231" s="6" t="s">
        <v>510</v>
      </c>
    </row>
    <row r="232" spans="1:8">
      <c r="A232" s="6" t="s">
        <v>869</v>
      </c>
      <c r="B232" s="55" t="s">
        <v>468</v>
      </c>
      <c r="C232" s="55">
        <f t="shared" si="3"/>
        <v>1</v>
      </c>
      <c r="D232" s="6" t="s">
        <v>190</v>
      </c>
      <c r="E232" s="6"/>
      <c r="F232" s="6">
        <v>1</v>
      </c>
      <c r="G232" s="6">
        <v>7</v>
      </c>
      <c r="H232" s="6" t="s">
        <v>526</v>
      </c>
    </row>
    <row r="233" spans="1:8">
      <c r="A233" s="6" t="s">
        <v>72</v>
      </c>
      <c r="B233" s="55" t="s">
        <v>914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570</v>
      </c>
    </row>
    <row r="234" spans="1:8">
      <c r="A234" s="6" t="s">
        <v>440</v>
      </c>
      <c r="B234" s="55" t="s">
        <v>962</v>
      </c>
      <c r="C234" s="55">
        <f t="shared" si="3"/>
        <v>1</v>
      </c>
      <c r="D234" s="6" t="s">
        <v>151</v>
      </c>
      <c r="E234" s="6"/>
      <c r="F234" s="6">
        <v>1</v>
      </c>
      <c r="G234" s="6">
        <v>4</v>
      </c>
      <c r="H234" s="6" t="s">
        <v>689</v>
      </c>
    </row>
    <row r="235" spans="1:8">
      <c r="A235" s="6" t="s">
        <v>440</v>
      </c>
      <c r="B235" s="55" t="s">
        <v>963</v>
      </c>
      <c r="C235" s="55">
        <f t="shared" si="3"/>
        <v>1</v>
      </c>
      <c r="D235" s="6" t="s">
        <v>189</v>
      </c>
      <c r="E235" s="6"/>
      <c r="F235" s="6">
        <v>1</v>
      </c>
      <c r="G235" s="6">
        <v>4</v>
      </c>
      <c r="H235" s="6" t="s">
        <v>690</v>
      </c>
    </row>
    <row r="236" spans="1:8">
      <c r="A236" s="6" t="s">
        <v>440</v>
      </c>
      <c r="B236" s="55" t="s">
        <v>964</v>
      </c>
      <c r="C236" s="55">
        <f t="shared" si="3"/>
        <v>1</v>
      </c>
      <c r="D236" s="6" t="s">
        <v>190</v>
      </c>
      <c r="E236" s="6"/>
      <c r="F236" s="6">
        <v>1</v>
      </c>
      <c r="G236" s="6">
        <v>4</v>
      </c>
      <c r="H236" s="6" t="s">
        <v>691</v>
      </c>
    </row>
    <row r="237" spans="1:8">
      <c r="A237" s="6" t="s">
        <v>440</v>
      </c>
      <c r="B237" s="55" t="s">
        <v>965</v>
      </c>
      <c r="C237" s="55">
        <f t="shared" si="3"/>
        <v>1</v>
      </c>
      <c r="D237" s="6" t="s">
        <v>272</v>
      </c>
      <c r="E237" s="6"/>
      <c r="F237" s="6">
        <v>1</v>
      </c>
      <c r="G237" s="6">
        <v>4</v>
      </c>
      <c r="H237" s="6" t="s">
        <v>692</v>
      </c>
    </row>
    <row r="238" spans="1:8">
      <c r="A238" s="6" t="s">
        <v>440</v>
      </c>
      <c r="B238" s="55" t="s">
        <v>966</v>
      </c>
      <c r="C238" s="55">
        <f t="shared" si="3"/>
        <v>1</v>
      </c>
      <c r="D238" s="6" t="s">
        <v>310</v>
      </c>
      <c r="E238" s="6"/>
      <c r="F238" s="6">
        <v>1</v>
      </c>
      <c r="G238" s="6">
        <v>4</v>
      </c>
      <c r="H238" s="6" t="s">
        <v>693</v>
      </c>
    </row>
    <row r="239" spans="1:8">
      <c r="A239" s="6" t="s">
        <v>440</v>
      </c>
      <c r="B239" s="55" t="s">
        <v>967</v>
      </c>
      <c r="C239" s="55">
        <f t="shared" si="3"/>
        <v>1</v>
      </c>
      <c r="D239" s="6" t="s">
        <v>334</v>
      </c>
      <c r="E239" s="6"/>
      <c r="F239" s="6">
        <v>1</v>
      </c>
      <c r="G239" s="6">
        <v>4</v>
      </c>
      <c r="H239" s="6" t="s">
        <v>694</v>
      </c>
    </row>
    <row r="240" spans="1:8">
      <c r="A240" s="6" t="s">
        <v>440</v>
      </c>
      <c r="B240" s="55" t="s">
        <v>968</v>
      </c>
      <c r="C240" s="55">
        <f t="shared" si="3"/>
        <v>1</v>
      </c>
      <c r="D240" s="6" t="s">
        <v>587</v>
      </c>
      <c r="E240" s="6"/>
      <c r="F240" s="6">
        <v>1</v>
      </c>
      <c r="G240" s="6">
        <v>7</v>
      </c>
      <c r="H240" s="6" t="s">
        <v>695</v>
      </c>
    </row>
    <row r="241" spans="1:8">
      <c r="A241" s="6" t="s">
        <v>440</v>
      </c>
      <c r="B241" s="55" t="s">
        <v>969</v>
      </c>
      <c r="C241" s="55">
        <f t="shared" si="3"/>
        <v>1</v>
      </c>
      <c r="D241" s="6" t="s">
        <v>153</v>
      </c>
      <c r="E241" s="6"/>
      <c r="F241" s="6">
        <v>1</v>
      </c>
      <c r="G241" s="6">
        <v>4</v>
      </c>
      <c r="H241" s="6" t="s">
        <v>696</v>
      </c>
    </row>
    <row r="242" spans="1:8">
      <c r="A242" s="6" t="s">
        <v>442</v>
      </c>
      <c r="B242" s="55" t="s">
        <v>807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808</v>
      </c>
    </row>
    <row r="243" spans="1:8">
      <c r="A243" s="6" t="s">
        <v>22</v>
      </c>
      <c r="B243" s="55" t="s">
        <v>848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849</v>
      </c>
    </row>
    <row r="244" spans="1:8">
      <c r="A244" s="6" t="s">
        <v>458</v>
      </c>
      <c r="B244" s="55" t="s">
        <v>727</v>
      </c>
      <c r="C244" s="55">
        <f t="shared" si="3"/>
        <v>1</v>
      </c>
      <c r="D244" s="6" t="s">
        <v>151</v>
      </c>
      <c r="E244" s="6"/>
      <c r="F244" s="6">
        <v>1</v>
      </c>
      <c r="G244" s="6">
        <v>4</v>
      </c>
      <c r="H244" s="6" t="s">
        <v>728</v>
      </c>
    </row>
    <row r="245" spans="1:8">
      <c r="A245" s="6" t="s">
        <v>458</v>
      </c>
      <c r="B245" s="55" t="s">
        <v>729</v>
      </c>
      <c r="C245" s="55">
        <f t="shared" si="3"/>
        <v>1</v>
      </c>
      <c r="D245" s="6" t="s">
        <v>189</v>
      </c>
      <c r="E245" s="6"/>
      <c r="F245" s="6">
        <v>1</v>
      </c>
      <c r="G245" s="6">
        <v>4</v>
      </c>
      <c r="H245" s="6" t="s">
        <v>730</v>
      </c>
    </row>
    <row r="246" spans="1:8">
      <c r="A246" s="6" t="s">
        <v>458</v>
      </c>
      <c r="B246" s="55" t="s">
        <v>187</v>
      </c>
      <c r="C246" s="55">
        <f t="shared" si="3"/>
        <v>1</v>
      </c>
      <c r="D246" s="6" t="s">
        <v>190</v>
      </c>
      <c r="E246" s="6"/>
      <c r="F246" s="6">
        <v>1</v>
      </c>
      <c r="G246" s="6">
        <v>4</v>
      </c>
      <c r="H246" s="6" t="s">
        <v>731</v>
      </c>
    </row>
    <row r="247" spans="1:8">
      <c r="A247" s="6" t="s">
        <v>458</v>
      </c>
      <c r="B247" s="55" t="s">
        <v>333</v>
      </c>
      <c r="C247" s="55">
        <f t="shared" si="3"/>
        <v>1</v>
      </c>
      <c r="D247" s="6" t="s">
        <v>272</v>
      </c>
      <c r="E247" s="6"/>
      <c r="F247" s="6">
        <v>1</v>
      </c>
      <c r="G247" s="6">
        <v>4</v>
      </c>
      <c r="H247" s="6" t="s">
        <v>732</v>
      </c>
    </row>
    <row r="248" spans="1:8">
      <c r="A248" s="6" t="s">
        <v>458</v>
      </c>
      <c r="B248" s="55" t="s">
        <v>128</v>
      </c>
      <c r="C248" s="55">
        <f t="shared" si="3"/>
        <v>1</v>
      </c>
      <c r="D248" s="6" t="s">
        <v>310</v>
      </c>
      <c r="E248" s="6"/>
      <c r="F248" s="6">
        <v>1</v>
      </c>
      <c r="G248" s="6">
        <v>4</v>
      </c>
      <c r="H248" s="6" t="s">
        <v>733</v>
      </c>
    </row>
    <row r="249" spans="1:8">
      <c r="A249" s="6" t="s">
        <v>458</v>
      </c>
      <c r="B249" s="55" t="s">
        <v>734</v>
      </c>
      <c r="C249" s="55">
        <f t="shared" si="3"/>
        <v>1</v>
      </c>
      <c r="D249" s="6" t="s">
        <v>334</v>
      </c>
      <c r="E249" s="6"/>
      <c r="F249" s="6">
        <v>1</v>
      </c>
      <c r="G249" s="6">
        <v>4</v>
      </c>
      <c r="H249" s="6" t="s">
        <v>735</v>
      </c>
    </row>
    <row r="250" spans="1:8">
      <c r="A250" s="6" t="s">
        <v>458</v>
      </c>
      <c r="B250" s="55" t="s">
        <v>736</v>
      </c>
      <c r="C250" s="55">
        <f t="shared" si="3"/>
        <v>1</v>
      </c>
      <c r="D250" s="6" t="s">
        <v>587</v>
      </c>
      <c r="E250" s="6"/>
      <c r="F250" s="6">
        <v>1</v>
      </c>
      <c r="G250" s="6">
        <v>7</v>
      </c>
      <c r="H250" s="6" t="s">
        <v>737</v>
      </c>
    </row>
    <row r="251" spans="1:8">
      <c r="A251" s="6" t="s">
        <v>458</v>
      </c>
      <c r="B251" s="55" t="s">
        <v>738</v>
      </c>
      <c r="C251" s="55">
        <f t="shared" si="3"/>
        <v>1</v>
      </c>
      <c r="D251" s="6" t="s">
        <v>153</v>
      </c>
      <c r="E251" s="6"/>
      <c r="F251" s="6">
        <v>1</v>
      </c>
      <c r="G251" s="6">
        <v>4</v>
      </c>
      <c r="H251" s="6" t="s">
        <v>739</v>
      </c>
    </row>
    <row r="252" spans="1:8">
      <c r="A252" s="6" t="s">
        <v>162</v>
      </c>
      <c r="B252" s="55" t="s">
        <v>207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853</v>
      </c>
    </row>
    <row r="253" spans="1:8">
      <c r="A253" s="6" t="s">
        <v>98</v>
      </c>
      <c r="B253" s="55" t="s">
        <v>832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45" sqref="B4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83" t="s">
        <v>1031</v>
      </c>
      <c r="B1" s="184"/>
      <c r="C1" s="184"/>
      <c r="D1" s="185"/>
    </row>
    <row r="2" spans="1:4" ht="15.75" thickBot="1">
      <c r="A2" s="164" t="s">
        <v>131</v>
      </c>
      <c r="B2" s="165" t="s">
        <v>149</v>
      </c>
      <c r="C2" s="164" t="s">
        <v>129</v>
      </c>
      <c r="D2" s="166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83" t="s">
        <v>1032</v>
      </c>
      <c r="B24" s="184"/>
      <c r="C24" s="184"/>
      <c r="D24" s="185"/>
    </row>
    <row r="25" spans="1:4" ht="15.75" thickBot="1">
      <c r="A25" s="164" t="s">
        <v>131</v>
      </c>
      <c r="B25" s="165" t="s">
        <v>149</v>
      </c>
      <c r="C25" s="164" t="s">
        <v>129</v>
      </c>
      <c r="D25" s="166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1035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1036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1033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1037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1033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1034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1034</v>
      </c>
      <c r="D46" s="98"/>
    </row>
    <row r="47" spans="1:4">
      <c r="A47" s="95"/>
      <c r="B47" s="96" t="s">
        <v>84</v>
      </c>
      <c r="C47" s="156"/>
      <c r="D47" s="98"/>
    </row>
    <row r="48" spans="1:4" ht="15.75" thickBot="1"/>
    <row r="49" spans="1:4" ht="15.75" thickBot="1">
      <c r="A49" s="183" t="s">
        <v>1041</v>
      </c>
      <c r="B49" s="184"/>
      <c r="C49" s="184"/>
      <c r="D49" s="185"/>
    </row>
    <row r="50" spans="1:4">
      <c r="A50" s="95"/>
      <c r="B50" s="96" t="s">
        <v>296</v>
      </c>
      <c r="C50" s="156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6" t="s">
        <v>1040</v>
      </c>
      <c r="D51" s="98"/>
    </row>
    <row r="52" spans="1:4">
      <c r="A52" s="95"/>
      <c r="B52" s="96" t="s">
        <v>879</v>
      </c>
      <c r="C52" s="156" t="s">
        <v>1039</v>
      </c>
      <c r="D52" s="98"/>
    </row>
    <row r="53" spans="1:4">
      <c r="A53" s="95"/>
      <c r="B53" s="96" t="s">
        <v>983</v>
      </c>
      <c r="C53" s="156"/>
      <c r="D53" s="98"/>
    </row>
    <row r="54" spans="1:4">
      <c r="A54" s="95"/>
      <c r="B54" s="96" t="s">
        <v>191</v>
      </c>
      <c r="C54" s="156"/>
      <c r="D54" s="98"/>
    </row>
    <row r="55" spans="1:4" ht="15.75" thickBot="1"/>
    <row r="56" spans="1:4" ht="15.75" thickBot="1">
      <c r="A56" s="183" t="s">
        <v>1046</v>
      </c>
      <c r="B56" s="184"/>
      <c r="C56" s="184"/>
      <c r="D56" s="185"/>
    </row>
    <row r="57" spans="1:4">
      <c r="A57" s="95"/>
      <c r="B57" s="96" t="s">
        <v>1026</v>
      </c>
      <c r="C57" s="156" t="s">
        <v>1044</v>
      </c>
      <c r="D57" s="98"/>
    </row>
    <row r="58" spans="1:4">
      <c r="A58" s="95" t="s">
        <v>1042</v>
      </c>
      <c r="B58" s="96" t="s">
        <v>165</v>
      </c>
      <c r="C58" s="156" t="s">
        <v>1045</v>
      </c>
      <c r="D58" s="98"/>
    </row>
    <row r="59" spans="1:4">
      <c r="A59" s="95"/>
      <c r="B59" s="96" t="s">
        <v>296</v>
      </c>
      <c r="C59" s="156" t="s">
        <v>310</v>
      </c>
      <c r="D59" s="98" t="s">
        <v>1038</v>
      </c>
    </row>
    <row r="60" spans="1:4">
      <c r="A60" s="95"/>
      <c r="B60" s="96" t="s">
        <v>148</v>
      </c>
      <c r="C60" s="156" t="s">
        <v>153</v>
      </c>
      <c r="D60" s="98" t="s">
        <v>222</v>
      </c>
    </row>
    <row r="61" spans="1:4">
      <c r="A61" s="95"/>
      <c r="B61" s="96" t="s">
        <v>879</v>
      </c>
      <c r="C61" s="156" t="s">
        <v>1039</v>
      </c>
      <c r="D61" s="98"/>
    </row>
    <row r="62" spans="1:4">
      <c r="A62" s="95"/>
      <c r="B62" s="96" t="s">
        <v>983</v>
      </c>
      <c r="C62" s="156"/>
      <c r="D62" s="98"/>
    </row>
    <row r="63" spans="1:4">
      <c r="A63" s="95"/>
      <c r="B63" s="96" t="s">
        <v>148</v>
      </c>
      <c r="C63" s="156" t="s">
        <v>153</v>
      </c>
      <c r="D63" s="98" t="s">
        <v>371</v>
      </c>
    </row>
    <row r="64" spans="1:4">
      <c r="A64" s="95"/>
      <c r="B64" s="96" t="s">
        <v>971</v>
      </c>
      <c r="C64" s="156" t="s">
        <v>1042</v>
      </c>
      <c r="D64" s="98"/>
    </row>
    <row r="65" spans="1:4">
      <c r="A65" s="95"/>
      <c r="B65" s="96" t="s">
        <v>191</v>
      </c>
      <c r="C65" s="156"/>
      <c r="D65" s="98"/>
    </row>
    <row r="66" spans="1:4">
      <c r="A66" s="95"/>
      <c r="B66" s="96"/>
      <c r="C66" s="156"/>
      <c r="D66" s="98"/>
    </row>
    <row r="67" spans="1:4">
      <c r="A67" s="95" t="s">
        <v>1038</v>
      </c>
      <c r="B67" s="96" t="s">
        <v>299</v>
      </c>
      <c r="C67" s="156" t="s">
        <v>1043</v>
      </c>
      <c r="D67" s="98"/>
    </row>
    <row r="68" spans="1:4" ht="15.75" thickBot="1"/>
    <row r="69" spans="1:4" ht="15.75" thickBot="1">
      <c r="A69" s="183" t="s">
        <v>1049</v>
      </c>
      <c r="B69" s="184"/>
      <c r="C69" s="184"/>
      <c r="D69" s="185"/>
    </row>
    <row r="70" spans="1:4">
      <c r="A70" s="95"/>
      <c r="B70" s="96" t="s">
        <v>296</v>
      </c>
      <c r="C70" s="156" t="s">
        <v>310</v>
      </c>
      <c r="D70" s="98" t="s">
        <v>1047</v>
      </c>
    </row>
    <row r="71" spans="1:4">
      <c r="A71" s="95"/>
      <c r="B71" s="96" t="s">
        <v>882</v>
      </c>
      <c r="C71" s="156" t="s">
        <v>434</v>
      </c>
      <c r="D71" s="98"/>
    </row>
    <row r="72" spans="1:4">
      <c r="A72" s="95"/>
      <c r="B72" s="96" t="s">
        <v>879</v>
      </c>
      <c r="C72" s="156" t="s">
        <v>1039</v>
      </c>
      <c r="D72" s="98"/>
    </row>
    <row r="73" spans="1:4">
      <c r="A73" s="95"/>
      <c r="B73" s="96" t="s">
        <v>148</v>
      </c>
      <c r="C73" s="156" t="s">
        <v>153</v>
      </c>
      <c r="D73" s="98" t="s">
        <v>888</v>
      </c>
    </row>
    <row r="74" spans="1:4">
      <c r="A74" s="95"/>
      <c r="B74" s="96" t="s">
        <v>983</v>
      </c>
      <c r="C74" s="156"/>
      <c r="D74" s="98"/>
    </row>
    <row r="75" spans="1:4">
      <c r="A75" s="95"/>
      <c r="B75" s="96" t="s">
        <v>296</v>
      </c>
      <c r="C75" s="156" t="s">
        <v>310</v>
      </c>
      <c r="D75" s="98" t="s">
        <v>1038</v>
      </c>
    </row>
    <row r="76" spans="1:4">
      <c r="A76" s="95"/>
      <c r="B76" s="96" t="s">
        <v>983</v>
      </c>
      <c r="C76" s="156"/>
      <c r="D76" s="98"/>
    </row>
    <row r="77" spans="1:4">
      <c r="A77" s="95"/>
      <c r="B77" s="96" t="s">
        <v>191</v>
      </c>
      <c r="C77" s="156"/>
      <c r="D77" s="98"/>
    </row>
    <row r="78" spans="1:4">
      <c r="A78" s="95" t="s">
        <v>1047</v>
      </c>
      <c r="B78" s="96" t="s">
        <v>1048</v>
      </c>
      <c r="C78" s="156">
        <v>50</v>
      </c>
      <c r="D78" s="98"/>
    </row>
    <row r="79" spans="1:4">
      <c r="A79" s="95" t="s">
        <v>1038</v>
      </c>
      <c r="B79" s="96" t="s">
        <v>299</v>
      </c>
      <c r="C79" s="156" t="s">
        <v>1050</v>
      </c>
      <c r="D79" s="98"/>
    </row>
    <row r="80" spans="1:4" ht="15.75" thickBot="1"/>
    <row r="81" spans="1:4" ht="15.75" thickBot="1">
      <c r="A81" s="183" t="s">
        <v>1064</v>
      </c>
      <c r="B81" s="184"/>
      <c r="C81" s="184"/>
      <c r="D81" s="185"/>
    </row>
    <row r="82" spans="1:4">
      <c r="A82" s="95" t="s">
        <v>1059</v>
      </c>
      <c r="B82" s="96" t="s">
        <v>879</v>
      </c>
      <c r="C82" s="156" t="s">
        <v>1039</v>
      </c>
      <c r="D82" s="98"/>
    </row>
    <row r="83" spans="1:4">
      <c r="A83" s="95"/>
      <c r="B83" s="96" t="s">
        <v>296</v>
      </c>
      <c r="C83" s="156" t="s">
        <v>310</v>
      </c>
      <c r="D83" s="98" t="s">
        <v>1060</v>
      </c>
    </row>
    <row r="84" spans="1:4">
      <c r="A84" s="95"/>
      <c r="B84" s="96" t="s">
        <v>148</v>
      </c>
      <c r="C84" s="156" t="s">
        <v>153</v>
      </c>
      <c r="D84" s="98" t="s">
        <v>888</v>
      </c>
    </row>
    <row r="85" spans="1:4">
      <c r="A85" s="95"/>
      <c r="B85" s="96" t="s">
        <v>983</v>
      </c>
      <c r="C85" s="156"/>
      <c r="D85" s="98"/>
    </row>
    <row r="86" spans="1:4">
      <c r="A86" s="95"/>
      <c r="B86" s="96" t="s">
        <v>148</v>
      </c>
      <c r="C86" s="156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6" t="s">
        <v>151</v>
      </c>
      <c r="D87" s="98"/>
    </row>
    <row r="88" spans="1:4">
      <c r="A88" s="95"/>
      <c r="B88" s="96" t="s">
        <v>188</v>
      </c>
      <c r="C88" s="156" t="s">
        <v>153</v>
      </c>
      <c r="D88" s="98" t="s">
        <v>151</v>
      </c>
    </row>
    <row r="89" spans="1:4">
      <c r="A89" s="95"/>
      <c r="B89" s="96" t="s">
        <v>255</v>
      </c>
      <c r="C89" s="156" t="s">
        <v>1051</v>
      </c>
      <c r="D89" s="98"/>
    </row>
    <row r="90" spans="1:4">
      <c r="A90" s="95"/>
      <c r="B90" s="96" t="s">
        <v>148</v>
      </c>
      <c r="C90" s="156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6"/>
      <c r="D91" s="98"/>
    </row>
    <row r="92" spans="1:4">
      <c r="A92" s="95"/>
      <c r="B92" s="96" t="s">
        <v>879</v>
      </c>
      <c r="C92" s="156" t="s">
        <v>147</v>
      </c>
      <c r="D92" s="98"/>
    </row>
    <row r="93" spans="1:4">
      <c r="A93" s="95"/>
      <c r="B93" s="96" t="s">
        <v>879</v>
      </c>
      <c r="C93" s="156" t="s">
        <v>1037</v>
      </c>
      <c r="D93" s="98"/>
    </row>
    <row r="94" spans="1:4">
      <c r="A94" s="95"/>
      <c r="B94" s="96" t="s">
        <v>164</v>
      </c>
      <c r="C94" s="156" t="s">
        <v>302</v>
      </c>
      <c r="D94" s="98"/>
    </row>
    <row r="95" spans="1:4">
      <c r="A95" s="95"/>
      <c r="B95" s="96" t="s">
        <v>255</v>
      </c>
      <c r="C95" s="156" t="s">
        <v>1058</v>
      </c>
      <c r="D95" s="98"/>
    </row>
    <row r="96" spans="1:4">
      <c r="A96" s="95"/>
      <c r="B96" s="96" t="s">
        <v>150</v>
      </c>
      <c r="C96" s="156" t="s">
        <v>166</v>
      </c>
      <c r="D96" s="98"/>
    </row>
    <row r="97" spans="1:4">
      <c r="A97" s="95"/>
      <c r="B97" s="96" t="s">
        <v>148</v>
      </c>
      <c r="C97" s="156" t="s">
        <v>153</v>
      </c>
      <c r="D97" s="98" t="s">
        <v>238</v>
      </c>
    </row>
    <row r="98" spans="1:4">
      <c r="A98" s="95"/>
      <c r="B98" s="96" t="s">
        <v>879</v>
      </c>
      <c r="C98" s="156" t="s">
        <v>1057</v>
      </c>
      <c r="D98" s="98"/>
    </row>
    <row r="99" spans="1:4">
      <c r="A99" s="95"/>
      <c r="B99" s="96" t="s">
        <v>282</v>
      </c>
      <c r="C99" s="156" t="s">
        <v>166</v>
      </c>
      <c r="D99" s="98"/>
    </row>
    <row r="100" spans="1:4">
      <c r="A100" s="95"/>
      <c r="B100" s="96" t="s">
        <v>354</v>
      </c>
      <c r="C100" s="156" t="s">
        <v>1028</v>
      </c>
      <c r="D100" s="98"/>
    </row>
    <row r="101" spans="1:4">
      <c r="A101" s="95"/>
      <c r="B101" s="96"/>
      <c r="C101" s="156"/>
      <c r="D101" s="98"/>
    </row>
    <row r="102" spans="1:4">
      <c r="A102" s="95" t="s">
        <v>1058</v>
      </c>
      <c r="B102" s="96" t="s">
        <v>150</v>
      </c>
      <c r="C102" s="156" t="s">
        <v>166</v>
      </c>
      <c r="D102" s="98"/>
    </row>
    <row r="103" spans="1:4">
      <c r="A103" s="95"/>
      <c r="B103" s="96" t="s">
        <v>148</v>
      </c>
      <c r="C103" s="156" t="s">
        <v>153</v>
      </c>
      <c r="D103" s="98" t="s">
        <v>238</v>
      </c>
    </row>
    <row r="104" spans="1:4">
      <c r="A104" s="95"/>
      <c r="B104" s="96" t="s">
        <v>879</v>
      </c>
      <c r="C104" s="156" t="s">
        <v>1057</v>
      </c>
      <c r="D104" s="98"/>
    </row>
    <row r="105" spans="1:4">
      <c r="A105" s="95"/>
      <c r="B105" s="96" t="s">
        <v>282</v>
      </c>
      <c r="C105" s="156" t="s">
        <v>166</v>
      </c>
      <c r="D105" s="98"/>
    </row>
    <row r="106" spans="1:4">
      <c r="A106" s="95"/>
      <c r="B106" s="96" t="s">
        <v>354</v>
      </c>
      <c r="C106" s="156" t="s">
        <v>1056</v>
      </c>
      <c r="D106" s="98"/>
    </row>
    <row r="107" spans="1:4">
      <c r="A107" s="95"/>
      <c r="B107" s="96"/>
      <c r="C107" s="156"/>
      <c r="D107" s="98"/>
    </row>
    <row r="108" spans="1:4">
      <c r="A108" s="95" t="s">
        <v>1051</v>
      </c>
      <c r="B108" s="96" t="s">
        <v>296</v>
      </c>
      <c r="C108" s="156" t="s">
        <v>310</v>
      </c>
      <c r="D108" s="98" t="s">
        <v>1061</v>
      </c>
    </row>
    <row r="109" spans="1:4">
      <c r="A109" s="95"/>
      <c r="B109" s="96" t="s">
        <v>148</v>
      </c>
      <c r="C109" s="156" t="s">
        <v>153</v>
      </c>
      <c r="D109" s="98" t="s">
        <v>888</v>
      </c>
    </row>
    <row r="110" spans="1:4">
      <c r="A110" s="95"/>
      <c r="B110" s="96" t="s">
        <v>983</v>
      </c>
      <c r="C110" s="156"/>
      <c r="D110" s="98"/>
    </row>
    <row r="111" spans="1:4">
      <c r="A111" s="95"/>
      <c r="B111" s="96" t="s">
        <v>191</v>
      </c>
      <c r="C111" s="156"/>
      <c r="D111" s="98"/>
    </row>
    <row r="112" spans="1:4">
      <c r="A112" s="95" t="s">
        <v>1060</v>
      </c>
      <c r="B112" s="96" t="s">
        <v>299</v>
      </c>
      <c r="C112" s="156" t="s">
        <v>1062</v>
      </c>
      <c r="D112" s="98"/>
    </row>
    <row r="113" spans="1:4">
      <c r="A113" s="95" t="s">
        <v>1061</v>
      </c>
      <c r="B113" s="96" t="s">
        <v>299</v>
      </c>
      <c r="C113" s="156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92</vt:i4>
      </vt:variant>
    </vt:vector>
  </HeadingPairs>
  <TitlesOfParts>
    <vt:vector size="99" baseType="lpstr">
      <vt:lpstr>CPU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2026-03-03T08:53:12Z</dcterms:modified>
</cp:coreProperties>
</file>