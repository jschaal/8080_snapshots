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6B4BC92E-31B7-4D50-870E-A9D0D5183D69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9" i="2" l="1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424" i="5" a="1"/>
  <c r="J417" i="5" a="1"/>
  <c r="J395" i="5" a="1"/>
  <c r="J262" i="5" a="1"/>
  <c r="J377" i="5" a="1"/>
  <c r="J294" i="5" a="1"/>
  <c r="J206" i="5" a="1"/>
  <c r="J137" i="5" a="1"/>
  <c r="J249" i="5" a="1"/>
  <c r="J304" i="5" a="1"/>
  <c r="J243" i="5" a="1"/>
  <c r="J236" i="5" a="1"/>
  <c r="J282" i="5" a="1"/>
  <c r="J386" i="5" a="1"/>
  <c r="J341" i="5" a="1"/>
  <c r="J167" i="5" a="1"/>
  <c r="J394" i="5" a="1"/>
  <c r="J247" i="5" a="1"/>
  <c r="J143" i="5" a="1"/>
  <c r="J291" i="5" a="1"/>
  <c r="J366" i="5" a="1"/>
  <c r="J225" i="5" a="1"/>
  <c r="J284" i="5" a="1"/>
  <c r="J342" i="5" a="1"/>
  <c r="J372" i="5" a="1"/>
  <c r="J181" i="5" a="1"/>
  <c r="J340" i="5" a="1"/>
  <c r="J133" i="5" a="1"/>
  <c r="J187" i="5" a="1"/>
  <c r="J303" i="5" a="1"/>
  <c r="J336" i="5" a="1"/>
  <c r="J179" i="5" a="1"/>
  <c r="J136" i="5" a="1"/>
  <c r="J142" i="5" a="1"/>
  <c r="J277" i="5" a="1"/>
  <c r="J200" i="5" a="1"/>
  <c r="J384" i="5" a="1"/>
  <c r="J413" i="5" a="1"/>
  <c r="J390" i="5" a="1"/>
  <c r="J227" i="5" a="1"/>
  <c r="J165" i="5" a="1"/>
  <c r="J195" i="5" a="1"/>
  <c r="J283" i="5" a="1"/>
  <c r="J155" i="5" a="1"/>
  <c r="J350" i="5" a="1"/>
  <c r="J297" i="5" a="1"/>
  <c r="J279" i="5" a="1"/>
  <c r="J196" i="5" a="1"/>
  <c r="J287" i="5" a="1"/>
  <c r="J331" i="5" a="1"/>
  <c r="J126" i="5" a="1"/>
  <c r="J130" i="5" a="1"/>
  <c r="J145" i="5" a="1"/>
  <c r="J141" i="5" a="1"/>
  <c r="J269" i="5" a="1"/>
  <c r="J320" i="5" a="1"/>
  <c r="J186" i="5" a="1"/>
  <c r="J368" i="5" a="1"/>
  <c r="J321" i="5" a="1"/>
  <c r="J393" i="5" a="1"/>
  <c r="J306" i="5" a="1"/>
  <c r="J226" i="5" a="1"/>
  <c r="J338" i="5" a="1"/>
  <c r="J197" i="5" a="1"/>
  <c r="J333" i="5" a="1"/>
  <c r="J188" i="5" a="1"/>
  <c r="J256" i="5" a="1"/>
  <c r="J357" i="5" a="1"/>
  <c r="J385" i="5" a="1"/>
  <c r="J330" i="5" a="1"/>
  <c r="J314" i="5" a="1"/>
  <c r="J144" i="5" a="1"/>
  <c r="J292" i="5" a="1"/>
  <c r="J212" i="5" a="1"/>
  <c r="J383" i="5" a="1"/>
  <c r="J358" i="5" a="1"/>
  <c r="J365" i="5" a="1"/>
  <c r="J171" i="5" a="1"/>
  <c r="J288" i="5" a="1"/>
  <c r="J349" i="5" a="1"/>
  <c r="J46" i="5" a="1"/>
  <c r="J166" i="5" a="1"/>
  <c r="J311" i="5" a="1"/>
  <c r="J305" i="5" a="1"/>
  <c r="J332" i="5" a="1"/>
  <c r="J263" i="5" a="1"/>
  <c r="J189" i="5" a="1"/>
  <c r="J323" i="5" a="1"/>
  <c r="J408" i="5" a="1"/>
  <c r="J405" i="5" a="1"/>
  <c r="J401" i="5" a="1"/>
  <c r="J404" i="5" a="1"/>
  <c r="J285" i="5" a="1"/>
  <c r="J312" i="5" a="1"/>
  <c r="J175" i="5" a="1"/>
  <c r="J348" i="5" a="1"/>
  <c r="J403" i="5" a="1"/>
  <c r="J399" i="5" a="1"/>
  <c r="J438" i="5" a="1"/>
  <c r="J402" i="5" a="1"/>
  <c r="J369" i="5" a="1"/>
  <c r="J218" i="5" a="1"/>
  <c r="J255" i="5" a="1"/>
  <c r="J347" i="5" a="1"/>
  <c r="J375" i="5" a="1"/>
  <c r="J278" i="5" a="1"/>
  <c r="J387" i="5" a="1"/>
  <c r="J329" i="5" a="1"/>
  <c r="J237" i="5" a="1"/>
  <c r="J296" i="5" a="1"/>
  <c r="J295" i="5" a="1"/>
  <c r="J219" i="5" a="1"/>
  <c r="J191" i="5" a="1"/>
  <c r="J241" i="5" a="1"/>
  <c r="J313" i="5" a="1"/>
  <c r="J392" i="5" a="1"/>
  <c r="J315" i="5" a="1"/>
  <c r="J234" i="5" a="1"/>
  <c r="J44" i="5" a="1"/>
  <c r="J153" i="5" a="1"/>
  <c r="J351" i="5" a="1"/>
  <c r="J235" i="5" a="1"/>
  <c r="J339" i="5" a="1"/>
  <c r="J381" i="5" a="1"/>
  <c r="J131" i="5" a="1"/>
  <c r="J367" i="5" a="1"/>
  <c r="J271" i="5" a="1"/>
  <c r="J177" i="5" a="1"/>
  <c r="J266" i="5" a="1"/>
  <c r="J201" i="5" a="1"/>
  <c r="J185" i="5" a="1"/>
  <c r="J132" i="5" a="1"/>
  <c r="J431" i="5" a="1"/>
  <c r="J391" i="5" a="1"/>
  <c r="J215" i="5" a="1"/>
  <c r="J374" i="5" a="1"/>
  <c r="J356" i="5" a="1"/>
  <c r="J363" i="5" a="1"/>
  <c r="J260" i="5" a="1"/>
  <c r="J261" i="5" a="1"/>
  <c r="J359" i="5" a="1"/>
  <c r="J156" i="5" a="1"/>
  <c r="J127" i="5" a="1"/>
  <c r="J293" i="5" a="1"/>
  <c r="J354" i="5" a="1"/>
  <c r="J245" i="5" a="1"/>
  <c r="J138" i="5" a="1"/>
  <c r="J158" i="5" a="1"/>
  <c r="J396" i="5" a="1"/>
  <c r="J128" i="5" a="1"/>
  <c r="J376" i="5" a="1"/>
  <c r="J129" i="5" a="1"/>
  <c r="J274" i="5" a="1"/>
  <c r="J150" i="5" a="1"/>
  <c r="J248" i="5" a="1"/>
  <c r="J242" i="5" a="1"/>
  <c r="J275" i="5" a="1"/>
  <c r="J176" i="5" a="1"/>
  <c r="J178" i="5" a="1"/>
  <c r="J309" i="5" a="1"/>
  <c r="J267" i="5" a="1"/>
  <c r="J168" i="5" a="1"/>
  <c r="J151" i="5" a="1"/>
  <c r="J378" i="5" a="1"/>
  <c r="J300" i="5" a="1"/>
  <c r="J170" i="5" a="1"/>
  <c r="J152" i="5" a="1"/>
  <c r="J270" i="5" a="1"/>
  <c r="J345" i="5" a="1"/>
  <c r="J310" i="5" a="1"/>
  <c r="J246" i="5" a="1"/>
  <c r="J268" i="5" a="1"/>
  <c r="J327" i="5" a="1"/>
  <c r="J198" i="5" a="1"/>
  <c r="J318" i="5" a="1"/>
  <c r="J324" i="5" a="1"/>
  <c r="J276" i="5" a="1"/>
  <c r="J228" i="5" a="1"/>
  <c r="J199" i="5" a="1"/>
  <c r="J360" i="5" a="1"/>
  <c r="J322" i="5" a="1"/>
  <c r="J286" i="5" a="1"/>
  <c r="J302" i="5" a="1"/>
  <c r="J428" i="5" a="1"/>
  <c r="AC9" i="2" l="1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84" i="5" a="1"/>
  <c r="J99" i="5" a="1"/>
  <c r="J107" i="5" a="1"/>
  <c r="J80" i="5" a="1"/>
  <c r="J91" i="5" a="1"/>
  <c r="J85" i="5" a="1"/>
  <c r="J108" i="5" a="1"/>
  <c r="J100" i="5" a="1"/>
  <c r="J101" i="5" a="1"/>
  <c r="J102" i="5" a="1"/>
  <c r="J109" i="5" a="1"/>
  <c r="J88" i="5" a="1"/>
  <c r="J86" i="5" a="1"/>
  <c r="J90" i="5" a="1"/>
  <c r="J110" i="5" a="1"/>
  <c r="J89" i="5" a="1"/>
  <c r="J407" i="5" l="1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71" i="5" a="1"/>
  <c r="J69" i="5" a="1"/>
  <c r="J77" i="5" a="1"/>
  <c r="J26" i="5" a="1"/>
  <c r="J59" i="5" a="1"/>
  <c r="J63" i="5" a="1"/>
  <c r="J35" i="5" a="1"/>
  <c r="J78" i="5" a="1"/>
  <c r="J42" i="5" a="1"/>
  <c r="J19" i="5" a="1"/>
  <c r="J22" i="5" a="1"/>
  <c r="J72" i="5" a="1"/>
  <c r="J33" i="5" a="1"/>
  <c r="J61" i="5" a="1"/>
  <c r="J52" i="5" a="1"/>
  <c r="J79" i="5" a="1"/>
  <c r="J12" i="5" a="1"/>
  <c r="J60" i="5" a="1"/>
  <c r="J70" i="5" a="1"/>
  <c r="J31" i="5" a="1"/>
  <c r="J40" i="5" a="1"/>
  <c r="AD9" i="2" l="1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D4" i="2" l="1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AE9" i="2" l="1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AF5" i="2" l="1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AH9" i="2" l="1"/>
  <c r="AH10" i="2" s="1"/>
  <c r="AH7" i="2"/>
  <c r="B46" i="5"/>
  <c r="C47" i="5"/>
  <c r="B47" i="5" s="1"/>
  <c r="B90" i="5"/>
  <c r="C91" i="5"/>
  <c r="C25" i="5"/>
  <c r="B24" i="5"/>
  <c r="N13" i="2"/>
  <c r="L13" i="2" s="1"/>
  <c r="M12" i="2"/>
  <c r="AH4" i="2" l="1"/>
  <c r="AI5" i="2" s="1"/>
  <c r="AI9" i="2" s="1"/>
  <c r="AI10" i="2" s="1"/>
  <c r="C92" i="5"/>
  <c r="B91" i="5"/>
  <c r="B25" i="5"/>
  <c r="C26" i="5"/>
  <c r="N14" i="2"/>
  <c r="L14" i="2" s="1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AK5" i="2" l="1"/>
  <c r="AL5" i="2" s="1"/>
  <c r="AJ7" i="2"/>
  <c r="AB7" i="2" s="1"/>
  <c r="AJ4" i="2"/>
  <c r="B94" i="5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<sst xmlns="http://schemas.openxmlformats.org/spreadsheetml/2006/main" count="1802" uniqueCount="474">
  <si>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</si>
  <si>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</si>
  <si>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</si>
  <si>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</si>
  <si>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</si>
  <si>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</si>
  <si>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</si>
  <si>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</si>
  <si>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</si>
  <si>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</si>
  <si>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</si>
  <si>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</si>
  <si>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</si>
  <si>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</si>
  <si>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</si>
  <si>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</si>
  <si>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</si>
  <si>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</si>
  <si>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</si>
  <si>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</si>
  <si>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</si>
  <si>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</si>
  <si>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</si>
  <si>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</si>
  <si>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</si>
  <si>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</si>
  <si>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</si>
  <si>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</si>
  <si>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</si>
  <si>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</si>
  <si>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</si>
  <si>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</si>
  <si>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</si>
  <si>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</si>
  <si>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</si>
  <si>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</si>
  <si>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</si>
  <si>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</si>
  <si>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</si>
  <si>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</si>
  <si>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</si>
  <si>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</si>
  <si>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</si>
  <si>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</si>
  <si>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</si>
  <si>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</si>
  <si>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</si>
  <si>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</si>
  <si>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</si>
  <si>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</si>
  <si>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</si>
  <si>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</si>
  <si>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</si>
  <si>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</si>
  <si>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</si>
  <si>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</si>
  <si>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</si>
  <si>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</si>
  <si>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</si>
  <si>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</si>
  <si>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</si>
  <si>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</si>
  <si>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</si>
  <si>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</si>
  <si>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</si>
  <si>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</si>
  <si>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</si>
  <si>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</si>
  <si>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</si>
  <si>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</si>
  <si>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</si>
  <si>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</si>
  <si>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</si>
  <si>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</si>
  <si>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</si>
  <si>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</si>
  <si>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</si>
  <si>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</si>
  <si>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</si>
  <si>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</si>
  <si>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</si>
  <si>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</si>
  <si>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</si>
  <si>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</si>
  <si>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</si>
  <si>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</si>
  <si>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</si>
  <si>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</si>
  <si>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</si>
  <si>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</si>
  <si>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</si>
  <si>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</si>
  <si>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</si>
  <si>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</si>
  <si>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</si>
  <si>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</si>
  <si>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</si>
  <si>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</si>
  <si>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</si>
  <si>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</si>
  <si>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</si>
  <si>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</si>
  <si>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</si>
  <si>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</si>
  <si>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</si>
  <si>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</si>
  <si>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</si>
  <si>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</si>
  <si>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</si>
  <si>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</si>
  <si>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</si>
  <si>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</si>
  <si>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</si>
  <si>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</si>
  <si>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</si>
  <si>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</si>
  <si>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</si>
  <si>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</si>
  <si>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</si>
  <si>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</si>
  <si>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</si>
  <si>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</si>
  <si>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</si>
  <si>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</si>
  <si>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</si>
  <si>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</si>
  <si>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</si>
  <si>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</si>
  <si>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</si>
  <si>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</si>
  <si>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</si>
  <si>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</si>
  <si>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</si>
  <si>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</si>
  <si>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</si>
  <si>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</si>
  <si>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</si>
  <si>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</si>
  <si>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</si>
  <si>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</si>
  <si>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</si>
  <si>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</si>
  <si>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</si>
  <si>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</si>
  <si>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</si>
  <si>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</si>
  <si>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</si>
  <si>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</si>
  <si>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</si>
  <si>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</si>
  <si>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</si>
  <si>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</si>
  <si>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</si>
  <si>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</si>
  <si>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</si>
  <si>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</si>
  <si>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</si>
  <si>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</si>
  <si>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</si>
  <si>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</si>
  <si>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</si>
  <si>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</si>
  <si>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</si>
  <si>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</si>
  <si>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</si>
  <si>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</si>
  <si>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</si>
  <si>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</si>
  <si>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</si>
  <si>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</si>
  <si>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</si>
  <si>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</si>
  <si>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</si>
  <si>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</si>
  <si>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</si>
  <si>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</si>
  <si>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</si>
  <si>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</si>
  <si>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</si>
  <si>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</si>
  <si>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</si>
  <si>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</si>
  <si>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</si>
  <si>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</si>
  <si>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</si>
  <si>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</si>
  <si>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</si>
  <si>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</si>
  <si>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</si>
  <si>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</si>
  <si>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</si>
  <si>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</si>
  <si>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</si>
  <si>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</si>
  <si>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</si>
  <si>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</si>
  <si>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</si>
  <si>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</si>
  <si>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</si>
  <si>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</si>
  <si>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</si>
  <si>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</si>
  <si>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</si>
  <si>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</si>
  <si>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</si>
  <si>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</si>
  <si>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</si>
  <si>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</si>
  <si>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</si>
  <si>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</si>
  <si>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</si>
  <si>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</si>
  <si>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</si>
  <si>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</si>
  <si>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</si>
  <si>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</si>
  <si>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</si>
  <si>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</si>
  <si>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</si>
  <si>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</si>
  <si>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</si>
  <si>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</si>
  <si>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</si>
  <si>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</si>
  <si>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</si>
  <si>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</si>
  <si>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</si>
  <si>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</si>
  <si>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</si>
  <si>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</si>
  <si>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</si>
  <si>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</si>
  <si>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</si>
  <si>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</si>
  <si>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</si>
  <si>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</si>
  <si>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</si>
  <si>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</si>
  <si>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</si>
  <si>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</si>
  <si>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</si>
  <si>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</si>
  <si>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</si>
  <si>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</si>
  <si>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</si>
  <si>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</si>
  <si>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</si>
  <si>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</si>
  <si>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</si>
  <si>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</si>
  <si>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</si>
  <si>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</si>
  <si>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</si>
  <si>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</si>
  <si>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</si>
  <si>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</si>
  <si>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</si>
  <si>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</si>
  <si>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</si>
  <si>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</si>
  <si>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</si>
  <si>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</si>
  <si>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</si>
  <si>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</si>
  <si>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</si>
  <si>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</si>
  <si>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</si>
  <si>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</si>
  <si>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</si>
  <si>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</si>
  <si>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</si>
  <si>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</si>
  <si>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</si>
  <si>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</si>
  <si>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</si>
  <si>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</si>
  <si>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</si>
  <si>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</si>
  <si>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</si>
  <si>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</si>
  <si>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</si>
  <si>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</si>
  <si>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</si>
  <si>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</si>
  <si>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</si>
  <si>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</si>
  <si>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</si>
  <si>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</si>
  <si>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</si>
  <si>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</si>
  <si>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</si>
  <si>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</si>
  <si>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</si>
  <si>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</si>
  <si>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</si>
  <si>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</si>
  <si>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</si>
  <si>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</si>
  <si>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</si>
  <si>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</si>
  <si>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</si>
  <si>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</si>
  <si>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</si>
  <si>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</si>
  <si>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</si>
  <si>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</si>
  <si>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</si>
  <si>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</si>
  <si>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</si>
  <si>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</si>
  <si>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</si>
  <si>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</si>
  <si>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</si>
  <si>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</si>
  <si>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</si>
  <si>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</si>
  <si>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</si>
  <si>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</si>
  <si>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</si>
  <si>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</si>
  <si>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</si>
  <si>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</si>
  <si>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</si>
  <si>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</si>
  <si>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</si>
  <si>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</si>
  <si>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</si>
  <si>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</si>
  <si>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</si>
  <si>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</si>
  <si>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</si>
  <si>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</si>
  <si>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</si>
  <si>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</si>
  <si>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</si>
  <si>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</si>
  <si>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</si>
  <si>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</si>
  <si>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</si>
  <si>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</si>
  <si>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</si>
  <si>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</si>
  <si>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</si>
  <si>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</si>
  <si>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</si>
  <si>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</si>
  <si>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</si>
  <si>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</si>
  <si>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</si>
  <si>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</si>
  <si>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</si>
  <si>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</si>
  <si>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</si>
  <si>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</si>
  <si>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</si>
  <si>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</si>
  <si>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</si>
  <si>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</si>
  <si>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</si>
  <si>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</si>
  <si>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</si>
  <si>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</si>
  <si>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</si>
  <si>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</si>
  <si>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</si>
  <si>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</si>
  <si>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</si>
  <si>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</si>
  <si>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</si>
  <si>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</si>
  <si>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</si>
  <si>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</si>
  <si>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</si>
  <si>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</si>
  <si>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</si>
  <si>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</si>
  <si>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</si>
  <si>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</si>
  <si>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</si>
  <si>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</si>
  <si>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</si>
  <si>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</si>
  <si>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</si>
  <si>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</si>
  <si>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</si>
  <si>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</si>
  <si>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</si>
  <si>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</si>
  <si>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</si>
  <si>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</si>
  <si>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</si>
  <si>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</si>
  <si>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</si>
  <si>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</si>
  <si>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</si>
  <si>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</si>
  <si>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</si>
  <si>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</si>
  <si>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</si>
  <si>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</si>
  <si>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</si>
  <si>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</si>
  <si>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</si>
  <si>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</si>
  <si>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</si>
  <si>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</si>
  <si>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</si>
  <si>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</si>
  <si>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</si>
  <si>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</si>
  <si>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</si>
  <si>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</si>
  <si>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</si>
  <si>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</si>
  <si>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</si>
  <si>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</si>
  <si>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</si>
  <si>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</si>
  <si>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</si>
  <si>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</si>
  <si>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</si>
  <si>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</si>
  <si>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</si>
  <si>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</si>
  <si>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</si>
  <si>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</si>
  <si>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</si>
  <si>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</si>
  <si>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</si>
  <si>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</si>
  <si>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</si>
  <si>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</si>
  <si>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</si>
  <si>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</si>
  <si>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</si>
  <si>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</si>
  <si>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</si>
  <si>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</si>
  <si>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</si>
  <si>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</si>
  <si>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</si>
  <si>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</si>
  <si>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</si>
  <si>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</si>
  <si>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</si>
  <si>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</si>
  <si>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</si>
  <si>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</si>
  <si>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</si>
  <si>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</si>
  <si>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</si>
  <si>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</si>
  <si>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</si>
  <si>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</si>
  <si>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</si>
  <si>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</si>
  <si>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</si>
  <si>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</si>
  <si>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</si>
  <si>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</si>
  <si>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</si>
  <si>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</si>
  <si>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</si>
  <si>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</si>
  <si>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</si>
  <si>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</si>
  <si>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</si>
  <si>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</si>
  <si>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</si>
  <si>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</si>
  <si>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</si>
  <si>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</si>
  <si>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FAIL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</si>
  <si>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&gt;Unit_T045:FAIL_x000D_
&gt;Unit_T046:PASS_x000D_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</si>
</sst>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3" borderId="17" xfId="0" applyFill="1" applyBorder="1"/>
    <xf numFmtId="0" fontId="0" fillId="16" borderId="10" xfId="0" applyFill="1" applyBorder="1"/>
    <xf numFmtId="0" fontId="0" fillId="16" borderId="16" xfId="0" applyFill="1" applyBorder="1"/>
    <xf numFmtId="0" fontId="0" fillId="16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6" borderId="19" xfId="0" applyFill="1" applyBorder="1"/>
    <xf numFmtId="0" fontId="0" fillId="16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</cellXfs>
  <cellStyles count="1">
    <cellStyle name="Normal" xfId="0" builtinId="0"/>
  </cellStyles>
  <dxfs count="282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9" sqref="A9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1</v>
      </c>
      <c r="D1" s="30" t="s">
        <v>142</v>
      </c>
      <c r="E1" s="10">
        <v>0</v>
      </c>
      <c r="F1" s="115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7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1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24">
        <v>7</v>
      </c>
      <c r="AD3" s="125">
        <v>6</v>
      </c>
      <c r="AE3" s="125">
        <v>5</v>
      </c>
      <c r="AF3" s="125">
        <v>4</v>
      </c>
      <c r="AG3" s="125">
        <v>3</v>
      </c>
      <c r="AH3" s="125">
        <v>2</v>
      </c>
      <c r="AI3" s="125">
        <v>1</v>
      </c>
      <c r="AJ3" s="126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23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28">
        <f t="shared" si="0"/>
        <v>0</v>
      </c>
      <c r="AK4" s="87" t="s">
        <v>410</v>
      </c>
      <c r="AL4" s="127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38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9">
        <f t="shared" si="1"/>
        <v>1</v>
      </c>
      <c r="AK5" s="130">
        <f>SUM(AC5:AJ5)</f>
        <v>4</v>
      </c>
      <c r="AL5" s="131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188</v>
      </c>
      <c r="D6" s="34" t="str">
        <f>IF(AND(E6&gt;=32,E6&lt;=126),CHAR(E6),".")</f>
        <v>.</v>
      </c>
      <c r="E6" s="35">
        <f>HEX2DEC(C6)</f>
        <v>170</v>
      </c>
      <c r="G6" s="21" t="s">
        <v>115</v>
      </c>
      <c r="H6" s="22">
        <v>1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223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D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223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7"/>
      <c r="P8" s="98" t="s">
        <v>72</v>
      </c>
      <c r="Q8" s="99"/>
      <c r="R8" s="100"/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 t="shared" ref="N9:N72" si="14">IFERROR(IF(N8+1&lt;=HEX2DEC(MemSize)+HEX2DEC(MemStart),N8+1,""),"")</f>
        <v>257</v>
      </c>
      <c r="O9" s="97"/>
      <c r="P9" s="98" t="s">
        <v>149</v>
      </c>
      <c r="Q9" s="99" t="s">
        <v>154</v>
      </c>
      <c r="R9" s="100" t="s">
        <v>193</v>
      </c>
      <c r="S9" s="86"/>
      <c r="U9" s="48"/>
      <c r="V9" s="16"/>
      <c r="W9" s="34"/>
      <c r="X9" s="35"/>
      <c r="AA9" s="7" t="s">
        <v>138</v>
      </c>
      <c r="AB9" s="136" t="str">
        <f>DEC2HEX(AB10)</f>
        <v>AA</v>
      </c>
      <c r="AC9" s="132">
        <f>1-AC5</f>
        <v>1</v>
      </c>
      <c r="AD9" s="132">
        <f t="shared" ref="AD9:AJ9" si="15">1-AD5</f>
        <v>0</v>
      </c>
      <c r="AE9" s="132">
        <f t="shared" si="15"/>
        <v>1</v>
      </c>
      <c r="AF9" s="132">
        <f t="shared" si="15"/>
        <v>0</v>
      </c>
      <c r="AG9" s="132">
        <f t="shared" si="15"/>
        <v>1</v>
      </c>
      <c r="AH9" s="132">
        <f t="shared" si="15"/>
        <v>0</v>
      </c>
      <c r="AI9" s="132">
        <f t="shared" si="15"/>
        <v>1</v>
      </c>
      <c r="AJ9" s="133">
        <f t="shared" si="15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si="14"/>
        <v>258</v>
      </c>
      <c r="O10" s="97"/>
      <c r="P10" s="98" t="s">
        <v>68</v>
      </c>
      <c r="Q10" s="99"/>
      <c r="R10" s="100"/>
      <c r="S10" s="86"/>
      <c r="U10" s="48"/>
      <c r="V10" s="16"/>
      <c r="W10" s="34"/>
      <c r="X10" s="35"/>
      <c r="AA10" s="8" t="s">
        <v>409</v>
      </c>
      <c r="AB10" s="137">
        <f>SUM(AC10:AJ10)</f>
        <v>170</v>
      </c>
      <c r="AC10" s="134">
        <f t="shared" ref="AC10" si="16">AC9*AC6</f>
        <v>128</v>
      </c>
      <c r="AD10" s="134">
        <f t="shared" ref="AD10" si="17">AD9*AD6</f>
        <v>0</v>
      </c>
      <c r="AE10" s="134">
        <f t="shared" ref="AE10" si="18">AE9*AE6</f>
        <v>32</v>
      </c>
      <c r="AF10" s="134">
        <f t="shared" ref="AF10" si="19">AF9*AF6</f>
        <v>0</v>
      </c>
      <c r="AG10" s="134">
        <f t="shared" ref="AG10" si="20">AG9*AG6</f>
        <v>8</v>
      </c>
      <c r="AH10" s="134">
        <f t="shared" ref="AH10" si="21">AH9*AH6</f>
        <v>0</v>
      </c>
      <c r="AI10" s="134">
        <f t="shared" ref="AI10" si="22">AI9*AI6</f>
        <v>2</v>
      </c>
      <c r="AJ10" s="135">
        <f t="shared" ref="AD10: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4"/>
        <v>259</v>
      </c>
      <c r="O11" s="97"/>
      <c r="P11" s="98"/>
      <c r="Q11" s="99"/>
      <c r="R11" s="100"/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4"/>
        <v>260</v>
      </c>
      <c r="O12" s="97"/>
      <c r="P12" s="98" t="s">
        <v>192</v>
      </c>
      <c r="Q12" s="99"/>
      <c r="R12" s="100"/>
      <c r="S12" s="86"/>
      <c r="U12" s="48"/>
      <c r="V12" s="16"/>
      <c r="W12" s="34"/>
      <c r="X12" s="35"/>
    </row>
    <row r="13" spans="1:42">
      <c r="A13" s="27">
        <v>7</v>
      </c>
      <c r="B13" s="24" t="s">
        <v>112</v>
      </c>
      <c r="C13" s="44">
        <v>100</v>
      </c>
      <c r="D13" s="34" t="str">
        <f t="shared" si="3"/>
        <v>.</v>
      </c>
      <c r="E13" s="35">
        <f t="shared" si="4"/>
        <v>256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4"/>
        <v>261</v>
      </c>
      <c r="O13" s="97"/>
      <c r="P13" s="98"/>
      <c r="Q13" s="99"/>
      <c r="R13" s="100"/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4"/>
        <v>262</v>
      </c>
      <c r="O14" s="97"/>
      <c r="P14" s="98"/>
      <c r="Q14" s="99"/>
      <c r="R14" s="100"/>
      <c r="S14" s="86"/>
      <c r="U14" s="48"/>
      <c r="V14" s="16"/>
      <c r="W14" s="34"/>
      <c r="X14" s="35"/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4"/>
        <v>263</v>
      </c>
      <c r="O15" s="97"/>
      <c r="P15" s="98"/>
      <c r="Q15" s="99"/>
      <c r="R15" s="100"/>
      <c r="S15" s="86"/>
      <c r="U15" s="48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4"/>
        <v>264</v>
      </c>
      <c r="O16" s="97"/>
      <c r="P16" s="98"/>
      <c r="Q16" s="99"/>
      <c r="R16" s="100"/>
      <c r="S16" s="86"/>
      <c r="U16" s="48"/>
      <c r="V16" s="16"/>
      <c r="W16" s="34"/>
      <c r="X16" s="35"/>
    </row>
    <row r="17" spans="1:24">
      <c r="K17" s="85"/>
      <c r="L17" s="54" t="str">
        <f t="shared" si="13"/>
        <v/>
      </c>
      <c r="M17" s="38" t="str">
        <f t="shared" si="12"/>
        <v>0109</v>
      </c>
      <c r="N17" s="69">
        <f t="shared" si="14"/>
        <v>265</v>
      </c>
      <c r="O17" s="97"/>
      <c r="P17" s="98"/>
      <c r="Q17" s="99"/>
      <c r="R17" s="100"/>
      <c r="S17" s="86"/>
      <c r="U17" s="48"/>
      <c r="V17" s="16"/>
      <c r="W17" s="34"/>
      <c r="X17" s="35"/>
    </row>
    <row r="18" spans="1:24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4"/>
        <v>266</v>
      </c>
      <c r="O18" s="97"/>
      <c r="P18" s="98"/>
      <c r="Q18" s="99"/>
      <c r="R18" s="100"/>
      <c r="S18" s="86"/>
      <c r="U18" s="48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4"/>
        <v>267</v>
      </c>
      <c r="O19" s="97"/>
      <c r="P19" s="98"/>
      <c r="Q19" s="99"/>
      <c r="R19" s="100"/>
      <c r="S19" s="86"/>
      <c r="U19" s="48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4"/>
        <v>268</v>
      </c>
      <c r="O20" s="97"/>
      <c r="P20" s="98"/>
      <c r="Q20" s="99"/>
      <c r="R20" s="100"/>
      <c r="S20" s="86"/>
      <c r="U20" s="48"/>
      <c r="V20" s="16"/>
      <c r="W20" s="34"/>
      <c r="X20" s="35"/>
    </row>
    <row r="21" spans="1:24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4"/>
        <v>269</v>
      </c>
      <c r="O21" s="97"/>
      <c r="P21" s="98"/>
      <c r="Q21" s="99"/>
      <c r="R21" s="100"/>
      <c r="S21" s="86"/>
      <c r="U21" s="48"/>
      <c r="V21" s="16"/>
      <c r="W21" s="34"/>
      <c r="X21" s="35"/>
    </row>
    <row r="22" spans="1:24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4"/>
        <v>270</v>
      </c>
      <c r="O22" s="97"/>
      <c r="P22" s="98"/>
      <c r="Q22" s="99"/>
      <c r="R22" s="100"/>
      <c r="S22" s="86"/>
      <c r="U22" s="48"/>
      <c r="V22" s="16"/>
      <c r="W22" s="34"/>
      <c r="X22" s="35"/>
    </row>
    <row r="23" spans="1:24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4"/>
        <v>271</v>
      </c>
      <c r="O23" s="97"/>
      <c r="P23" s="98"/>
      <c r="Q23" s="99"/>
      <c r="R23" s="100"/>
      <c r="S23" s="86"/>
      <c r="U23" s="48"/>
      <c r="V23" s="16"/>
      <c r="W23" s="34"/>
      <c r="X23" s="35"/>
    </row>
    <row r="24" spans="1:24">
      <c r="K24" s="85"/>
      <c r="L24" s="54" t="str">
        <f t="shared" si="13"/>
        <v/>
      </c>
      <c r="M24" s="38" t="str">
        <f t="shared" si="12"/>
        <v>0110</v>
      </c>
      <c r="N24" s="69">
        <f t="shared" si="14"/>
        <v>272</v>
      </c>
      <c r="O24" s="97"/>
      <c r="P24" s="98"/>
      <c r="Q24" s="99"/>
      <c r="R24" s="100"/>
      <c r="S24" s="86"/>
      <c r="U24" s="48"/>
      <c r="V24" s="16"/>
      <c r="W24" s="34"/>
      <c r="X24" s="35"/>
    </row>
    <row r="25" spans="1:24">
      <c r="K25" s="85"/>
      <c r="L25" s="54" t="str">
        <f t="shared" si="13"/>
        <v/>
      </c>
      <c r="M25" s="38" t="str">
        <f t="shared" si="12"/>
        <v>0111</v>
      </c>
      <c r="N25" s="69">
        <f t="shared" si="14"/>
        <v>273</v>
      </c>
      <c r="O25" s="97"/>
      <c r="P25" s="98"/>
      <c r="Q25" s="99"/>
      <c r="R25" s="100"/>
      <c r="S25" s="86"/>
      <c r="U25" s="48"/>
      <c r="V25" s="16"/>
      <c r="W25" s="34"/>
      <c r="X25" s="35"/>
    </row>
    <row r="26" spans="1:24">
      <c r="K26" s="85"/>
      <c r="L26" s="54" t="str">
        <f t="shared" si="13"/>
        <v/>
      </c>
      <c r="M26" s="38" t="str">
        <f t="shared" si="12"/>
        <v>0112</v>
      </c>
      <c r="N26" s="69">
        <f t="shared" si="14"/>
        <v>274</v>
      </c>
      <c r="O26" s="97"/>
      <c r="P26" s="98"/>
      <c r="Q26" s="99"/>
      <c r="R26" s="100"/>
      <c r="S26" s="86"/>
      <c r="U26" s="48"/>
      <c r="V26" s="16"/>
      <c r="W26" s="34"/>
      <c r="X26" s="35"/>
    </row>
    <row r="27" spans="1:24">
      <c r="K27" s="85"/>
      <c r="L27" s="54" t="str">
        <f t="shared" si="13"/>
        <v/>
      </c>
      <c r="M27" s="38" t="str">
        <f t="shared" si="12"/>
        <v>0113</v>
      </c>
      <c r="N27" s="69">
        <f t="shared" si="14"/>
        <v>275</v>
      </c>
      <c r="O27" s="97"/>
      <c r="P27" s="98"/>
      <c r="Q27" s="99"/>
      <c r="R27" s="100"/>
      <c r="S27" s="86"/>
      <c r="U27" s="48"/>
      <c r="V27" s="16"/>
      <c r="W27" s="34"/>
      <c r="X27" s="35"/>
    </row>
    <row r="28" spans="1:24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4"/>
        <v>276</v>
      </c>
      <c r="O28" s="97"/>
      <c r="P28" s="98"/>
      <c r="Q28" s="99"/>
      <c r="R28" s="100"/>
      <c r="S28" s="86"/>
      <c r="U28" s="48"/>
      <c r="V28" s="16"/>
      <c r="W28" s="34"/>
      <c r="X28" s="35"/>
    </row>
    <row r="29" spans="1:24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4"/>
        <v>277</v>
      </c>
      <c r="O29" s="97"/>
      <c r="P29" s="98"/>
      <c r="Q29" s="99"/>
      <c r="R29" s="100"/>
      <c r="S29" s="86"/>
      <c r="U29" s="48"/>
      <c r="V29" s="16"/>
      <c r="W29" s="34"/>
      <c r="X29" s="35"/>
    </row>
    <row r="30" spans="1:24">
      <c r="K30" s="85"/>
      <c r="L30" s="54" t="str">
        <f t="shared" si="13"/>
        <v/>
      </c>
      <c r="M30" s="38" t="str">
        <f t="shared" si="25"/>
        <v>0116</v>
      </c>
      <c r="N30" s="69">
        <f t="shared" si="14"/>
        <v>278</v>
      </c>
      <c r="O30" s="97"/>
      <c r="P30" s="98"/>
      <c r="Q30" s="99"/>
      <c r="R30" s="100"/>
      <c r="S30" s="86"/>
      <c r="U30" s="48"/>
      <c r="V30" s="16"/>
      <c r="W30" s="34"/>
      <c r="X30" s="35"/>
    </row>
    <row r="31" spans="1:24">
      <c r="K31" s="85"/>
      <c r="L31" s="54" t="str">
        <f t="shared" si="13"/>
        <v/>
      </c>
      <c r="M31" s="38" t="str">
        <f t="shared" si="25"/>
        <v>0117</v>
      </c>
      <c r="N31" s="69">
        <f t="shared" si="14"/>
        <v>279</v>
      </c>
      <c r="O31" s="97"/>
      <c r="P31" s="98"/>
      <c r="Q31" s="99"/>
      <c r="R31" s="100"/>
      <c r="S31" s="86"/>
      <c r="U31" s="48"/>
      <c r="V31" s="16"/>
      <c r="W31" s="34"/>
      <c r="X31" s="35"/>
    </row>
    <row r="32" spans="1:24">
      <c r="K32" s="85"/>
      <c r="L32" s="54" t="str">
        <f t="shared" si="13"/>
        <v/>
      </c>
      <c r="M32" s="38" t="str">
        <f t="shared" si="25"/>
        <v>0118</v>
      </c>
      <c r="N32" s="69">
        <f t="shared" si="14"/>
        <v>280</v>
      </c>
      <c r="O32" s="97"/>
      <c r="P32" s="98"/>
      <c r="Q32" s="99"/>
      <c r="R32" s="100"/>
      <c r="S32" s="86"/>
      <c r="U32" s="48"/>
      <c r="V32" s="16"/>
      <c r="W32" s="34"/>
      <c r="X32" s="35"/>
    </row>
    <row r="33" spans="11:24">
      <c r="K33" s="85"/>
      <c r="L33" s="54" t="str">
        <f t="shared" si="13"/>
        <v/>
      </c>
      <c r="M33" s="38" t="str">
        <f t="shared" si="25"/>
        <v>0119</v>
      </c>
      <c r="N33" s="69">
        <f t="shared" si="14"/>
        <v>281</v>
      </c>
      <c r="O33" s="97"/>
      <c r="P33" s="98"/>
      <c r="Q33" s="99"/>
      <c r="R33" s="100"/>
      <c r="S33" s="86"/>
      <c r="U33" s="48"/>
      <c r="V33" s="16"/>
      <c r="W33" s="34"/>
      <c r="X33" s="35"/>
    </row>
    <row r="34" spans="11:24">
      <c r="K34" s="85"/>
      <c r="L34" s="54" t="str">
        <f t="shared" si="13"/>
        <v/>
      </c>
      <c r="M34" s="38" t="str">
        <f t="shared" si="25"/>
        <v>011A</v>
      </c>
      <c r="N34" s="69">
        <f t="shared" si="14"/>
        <v>282</v>
      </c>
      <c r="O34" s="97"/>
      <c r="P34" s="98"/>
      <c r="Q34" s="99"/>
      <c r="R34" s="100"/>
      <c r="S34" s="86"/>
      <c r="U34" s="48"/>
      <c r="V34" s="16"/>
      <c r="W34" s="34"/>
      <c r="X34" s="35"/>
    </row>
    <row r="35" spans="11:24">
      <c r="K35" s="85"/>
      <c r="L35" s="54" t="str">
        <f t="shared" si="13"/>
        <v/>
      </c>
      <c r="M35" s="38" t="str">
        <f t="shared" si="25"/>
        <v>011B</v>
      </c>
      <c r="N35" s="69">
        <f t="shared" si="14"/>
        <v>283</v>
      </c>
      <c r="O35" s="97"/>
      <c r="P35" s="98"/>
      <c r="Q35" s="99"/>
      <c r="R35" s="100"/>
      <c r="S35" s="86"/>
      <c r="U35" s="48"/>
      <c r="V35" s="16"/>
      <c r="W35" s="34"/>
      <c r="X35" s="35"/>
    </row>
    <row r="36" spans="11:24">
      <c r="K36" s="85"/>
      <c r="L36" s="54" t="str">
        <f t="shared" si="13"/>
        <v/>
      </c>
      <c r="M36" s="38" t="str">
        <f t="shared" si="25"/>
        <v>011C</v>
      </c>
      <c r="N36" s="69">
        <f t="shared" si="14"/>
        <v>284</v>
      </c>
      <c r="O36" s="97"/>
      <c r="P36" s="98"/>
      <c r="Q36" s="99"/>
      <c r="R36" s="100"/>
      <c r="S36" s="86"/>
      <c r="U36" s="48"/>
      <c r="V36" s="16"/>
      <c r="W36" s="34"/>
      <c r="X36" s="35"/>
    </row>
    <row r="37" spans="11:24">
      <c r="K37" s="85"/>
      <c r="L37" s="54" t="str">
        <f t="shared" si="13"/>
        <v/>
      </c>
      <c r="M37" s="38" t="str">
        <f t="shared" si="25"/>
        <v>011D</v>
      </c>
      <c r="N37" s="69">
        <f t="shared" si="14"/>
        <v>285</v>
      </c>
      <c r="O37" s="97"/>
      <c r="P37" s="98"/>
      <c r="Q37" s="99"/>
      <c r="R37" s="100"/>
      <c r="S37" s="86"/>
      <c r="U37" s="48"/>
      <c r="V37" s="16"/>
      <c r="W37" s="34"/>
      <c r="X37" s="35"/>
    </row>
    <row r="38" spans="11:24">
      <c r="K38" s="85"/>
      <c r="L38" s="54" t="str">
        <f t="shared" si="13"/>
        <v/>
      </c>
      <c r="M38" s="38" t="str">
        <f t="shared" si="25"/>
        <v>011E</v>
      </c>
      <c r="N38" s="69">
        <f t="shared" si="14"/>
        <v>286</v>
      </c>
      <c r="O38" s="97"/>
      <c r="P38" s="98"/>
      <c r="Q38" s="99"/>
      <c r="R38" s="100"/>
      <c r="S38" s="86"/>
      <c r="U38" s="48"/>
      <c r="V38" s="16"/>
      <c r="W38" s="34"/>
      <c r="X38" s="35"/>
    </row>
    <row r="39" spans="11:24">
      <c r="K39" s="85"/>
      <c r="L39" s="54" t="str">
        <f t="shared" si="13"/>
        <v/>
      </c>
      <c r="M39" s="38" t="str">
        <f t="shared" si="25"/>
        <v>011F</v>
      </c>
      <c r="N39" s="69">
        <f t="shared" si="14"/>
        <v>287</v>
      </c>
      <c r="O39" s="97"/>
      <c r="P39" s="98"/>
      <c r="Q39" s="99"/>
      <c r="R39" s="100"/>
      <c r="S39" s="86"/>
      <c r="U39" s="48"/>
      <c r="V39" s="16"/>
      <c r="W39" s="34"/>
      <c r="X39" s="35"/>
    </row>
    <row r="40" spans="11:24">
      <c r="K40" s="85"/>
      <c r="L40" s="54" t="str">
        <f t="shared" si="13"/>
        <v/>
      </c>
      <c r="M40" s="38" t="str">
        <f t="shared" si="25"/>
        <v>0120</v>
      </c>
      <c r="N40" s="69">
        <f t="shared" si="14"/>
        <v>288</v>
      </c>
      <c r="O40" s="97"/>
      <c r="P40" s="98"/>
      <c r="Q40" s="99"/>
      <c r="R40" s="100"/>
      <c r="S40" s="86"/>
      <c r="U40" s="48"/>
      <c r="V40" s="16"/>
      <c r="W40" s="34"/>
      <c r="X40" s="35"/>
    </row>
    <row r="41" spans="11:24">
      <c r="K41" s="85"/>
      <c r="L41" s="54" t="str">
        <f t="shared" si="13"/>
        <v/>
      </c>
      <c r="M41" s="38" t="str">
        <f t="shared" si="25"/>
        <v>0121</v>
      </c>
      <c r="N41" s="69">
        <f t="shared" si="14"/>
        <v>289</v>
      </c>
      <c r="O41" s="97"/>
      <c r="P41" s="98"/>
      <c r="Q41" s="99"/>
      <c r="R41" s="100"/>
      <c r="S41" s="86"/>
      <c r="U41" s="48"/>
      <c r="V41" s="16"/>
      <c r="W41" s="34"/>
      <c r="X41" s="35"/>
    </row>
    <row r="42" spans="11:24">
      <c r="K42" s="85"/>
      <c r="L42" s="54" t="str">
        <f t="shared" si="13"/>
        <v/>
      </c>
      <c r="M42" s="38" t="str">
        <f t="shared" si="25"/>
        <v>0122</v>
      </c>
      <c r="N42" s="69">
        <f t="shared" si="14"/>
        <v>290</v>
      </c>
      <c r="O42" s="97"/>
      <c r="P42" s="98"/>
      <c r="Q42" s="99"/>
      <c r="R42" s="100"/>
      <c r="S42" s="86"/>
      <c r="U42" s="48"/>
      <c r="V42" s="16"/>
      <c r="W42" s="34"/>
      <c r="X42" s="35"/>
    </row>
    <row r="43" spans="11:24">
      <c r="K43" s="85"/>
      <c r="L43" s="54" t="str">
        <f t="shared" si="13"/>
        <v/>
      </c>
      <c r="M43" s="38" t="str">
        <f t="shared" si="25"/>
        <v>0123</v>
      </c>
      <c r="N43" s="69">
        <f t="shared" si="14"/>
        <v>291</v>
      </c>
      <c r="O43" s="97"/>
      <c r="P43" s="98"/>
      <c r="Q43" s="99"/>
      <c r="R43" s="100"/>
      <c r="S43" s="86"/>
      <c r="U43" s="48"/>
      <c r="V43" s="16"/>
      <c r="W43" s="34"/>
      <c r="X43" s="35"/>
    </row>
    <row r="44" spans="11:24">
      <c r="K44" s="85"/>
      <c r="L44" s="54" t="str">
        <f t="shared" si="13"/>
        <v/>
      </c>
      <c r="M44" s="38" t="str">
        <f t="shared" si="25"/>
        <v>0124</v>
      </c>
      <c r="N44" s="69">
        <f t="shared" si="14"/>
        <v>292</v>
      </c>
      <c r="O44" s="97"/>
      <c r="P44" s="98"/>
      <c r="Q44" s="99"/>
      <c r="R44" s="100"/>
      <c r="S44" s="86"/>
      <c r="U44" s="48"/>
      <c r="V44" s="16"/>
      <c r="W44" s="34"/>
      <c r="X44" s="35"/>
    </row>
    <row r="45" spans="11:24">
      <c r="K45" s="85"/>
      <c r="L45" s="54" t="str">
        <f t="shared" si="13"/>
        <v/>
      </c>
      <c r="M45" s="38" t="str">
        <f t="shared" si="25"/>
        <v>0125</v>
      </c>
      <c r="N45" s="69">
        <f t="shared" si="14"/>
        <v>293</v>
      </c>
      <c r="O45" s="97"/>
      <c r="P45" s="98"/>
      <c r="Q45" s="99"/>
      <c r="R45" s="100"/>
      <c r="S45" s="86"/>
      <c r="U45" s="48"/>
      <c r="V45" s="16"/>
      <c r="W45" s="34"/>
      <c r="X45" s="35"/>
    </row>
    <row r="46" spans="11:24">
      <c r="K46" s="85"/>
      <c r="L46" s="54" t="str">
        <f t="shared" si="13"/>
        <v/>
      </c>
      <c r="M46" s="38" t="str">
        <f t="shared" si="25"/>
        <v>0126</v>
      </c>
      <c r="N46" s="69">
        <f t="shared" si="14"/>
        <v>294</v>
      </c>
      <c r="O46" s="97"/>
      <c r="P46" s="98"/>
      <c r="Q46" s="99"/>
      <c r="R46" s="100"/>
      <c r="S46" s="86"/>
      <c r="U46" s="48"/>
      <c r="V46" s="16"/>
      <c r="W46" s="34"/>
      <c r="X46" s="35"/>
    </row>
    <row r="47" spans="11:24">
      <c r="K47" s="85"/>
      <c r="L47" s="54" t="str">
        <f t="shared" si="13"/>
        <v/>
      </c>
      <c r="M47" s="38" t="str">
        <f t="shared" si="25"/>
        <v>0127</v>
      </c>
      <c r="N47" s="69">
        <f t="shared" si="14"/>
        <v>295</v>
      </c>
      <c r="O47" s="97"/>
      <c r="P47" s="98"/>
      <c r="Q47" s="99"/>
      <c r="R47" s="100"/>
      <c r="S47" s="86"/>
      <c r="U47" s="48"/>
      <c r="V47" s="16"/>
      <c r="W47" s="34"/>
      <c r="X47" s="35"/>
    </row>
    <row r="48" spans="11:24">
      <c r="K48" s="85"/>
      <c r="L48" s="54" t="str">
        <f t="shared" si="13"/>
        <v/>
      </c>
      <c r="M48" s="38" t="str">
        <f t="shared" si="25"/>
        <v>0128</v>
      </c>
      <c r="N48" s="69">
        <f t="shared" si="14"/>
        <v>296</v>
      </c>
      <c r="O48" s="97"/>
      <c r="P48" s="98"/>
      <c r="Q48" s="99"/>
      <c r="R48" s="100"/>
      <c r="S48" s="86"/>
      <c r="U48" s="48" t="str">
        <f t="shared" ref="U48:U72" si="26">IF(V48&gt;0,RIGHT("0000"&amp;DEC2HEX(V48),4),"")</f>
        <v/>
      </c>
      <c r="V48" s="16"/>
      <c r="W48" s="34"/>
      <c r="X48" s="35"/>
    </row>
    <row r="49" spans="11:24">
      <c r="K49" s="85"/>
      <c r="L49" s="54" t="str">
        <f t="shared" si="13"/>
        <v/>
      </c>
      <c r="M49" s="38" t="str">
        <f t="shared" si="25"/>
        <v>0129</v>
      </c>
      <c r="N49" s="69">
        <f t="shared" si="14"/>
        <v>297</v>
      </c>
      <c r="O49" s="97"/>
      <c r="P49" s="98"/>
      <c r="Q49" s="99"/>
      <c r="R49" s="100"/>
      <c r="S49" s="86"/>
      <c r="U49" s="48" t="str">
        <f t="shared" si="26"/>
        <v/>
      </c>
      <c r="V49" s="16"/>
      <c r="W49" s="34"/>
      <c r="X49" s="35"/>
    </row>
    <row r="50" spans="11:24">
      <c r="K50" s="85"/>
      <c r="L50" s="54" t="str">
        <f t="shared" si="13"/>
        <v/>
      </c>
      <c r="M50" s="38" t="str">
        <f t="shared" si="25"/>
        <v>012A</v>
      </c>
      <c r="N50" s="69">
        <f t="shared" si="14"/>
        <v>298</v>
      </c>
      <c r="O50" s="97"/>
      <c r="P50" s="98"/>
      <c r="Q50" s="99"/>
      <c r="R50" s="100"/>
      <c r="S50" s="86"/>
      <c r="U50" s="48" t="str">
        <f t="shared" si="26"/>
        <v/>
      </c>
      <c r="V50" s="16"/>
      <c r="W50" s="34"/>
      <c r="X50" s="35"/>
    </row>
    <row r="51" spans="11:24">
      <c r="K51" s="85"/>
      <c r="L51" s="54" t="str">
        <f t="shared" si="13"/>
        <v/>
      </c>
      <c r="M51" s="38" t="str">
        <f t="shared" si="25"/>
        <v>012B</v>
      </c>
      <c r="N51" s="69">
        <f t="shared" si="14"/>
        <v>299</v>
      </c>
      <c r="O51" s="97"/>
      <c r="P51" s="98"/>
      <c r="Q51" s="99"/>
      <c r="R51" s="100"/>
      <c r="S51" s="86"/>
      <c r="U51" s="48" t="str">
        <f t="shared" si="26"/>
        <v/>
      </c>
      <c r="V51" s="16"/>
      <c r="W51" s="34"/>
      <c r="X51" s="35"/>
    </row>
    <row r="52" spans="11:24">
      <c r="K52" s="85"/>
      <c r="L52" s="54" t="str">
        <f t="shared" si="13"/>
        <v/>
      </c>
      <c r="M52" s="38" t="str">
        <f t="shared" si="25"/>
        <v>012C</v>
      </c>
      <c r="N52" s="69">
        <f t="shared" si="14"/>
        <v>300</v>
      </c>
      <c r="O52" s="97"/>
      <c r="P52" s="98"/>
      <c r="Q52" s="99"/>
      <c r="R52" s="100"/>
      <c r="S52" s="86"/>
      <c r="U52" s="48" t="str">
        <f t="shared" si="26"/>
        <v/>
      </c>
      <c r="V52" s="16"/>
      <c r="W52" s="34"/>
      <c r="X52" s="35"/>
    </row>
    <row r="53" spans="11:24">
      <c r="K53" s="85"/>
      <c r="L53" s="54" t="str">
        <f t="shared" si="13"/>
        <v/>
      </c>
      <c r="M53" s="38" t="str">
        <f t="shared" si="25"/>
        <v>012D</v>
      </c>
      <c r="N53" s="69">
        <f t="shared" si="14"/>
        <v>301</v>
      </c>
      <c r="O53" s="97"/>
      <c r="P53" s="98"/>
      <c r="Q53" s="99"/>
      <c r="R53" s="100"/>
      <c r="S53" s="86"/>
      <c r="U53" s="48" t="str">
        <f t="shared" si="26"/>
        <v/>
      </c>
      <c r="V53" s="16"/>
      <c r="W53" s="34"/>
      <c r="X53" s="35"/>
    </row>
    <row r="54" spans="11:24">
      <c r="K54" s="85"/>
      <c r="L54" s="54" t="str">
        <f t="shared" si="13"/>
        <v/>
      </c>
      <c r="M54" s="38" t="str">
        <f t="shared" si="25"/>
        <v>012E</v>
      </c>
      <c r="N54" s="69">
        <f t="shared" si="14"/>
        <v>302</v>
      </c>
      <c r="O54" s="97"/>
      <c r="P54" s="98"/>
      <c r="Q54" s="99"/>
      <c r="R54" s="100"/>
      <c r="S54" s="86"/>
      <c r="U54" s="48" t="str">
        <f t="shared" si="26"/>
        <v/>
      </c>
      <c r="V54" s="16"/>
      <c r="W54" s="34"/>
      <c r="X54" s="35"/>
    </row>
    <row r="55" spans="11:24">
      <c r="K55" s="85"/>
      <c r="L55" s="54" t="str">
        <f t="shared" si="13"/>
        <v/>
      </c>
      <c r="M55" s="38" t="str">
        <f t="shared" si="25"/>
        <v>012F</v>
      </c>
      <c r="N55" s="69">
        <f t="shared" si="14"/>
        <v>303</v>
      </c>
      <c r="O55" s="97"/>
      <c r="P55" s="98"/>
      <c r="Q55" s="99"/>
      <c r="R55" s="100"/>
      <c r="S55" s="86"/>
      <c r="U55" s="48" t="str">
        <f t="shared" si="26"/>
        <v/>
      </c>
      <c r="V55" s="16"/>
      <c r="W55" s="34"/>
      <c r="X55" s="35"/>
    </row>
    <row r="56" spans="11:24">
      <c r="K56" s="85"/>
      <c r="L56" s="54" t="str">
        <f t="shared" si="13"/>
        <v/>
      </c>
      <c r="M56" s="38" t="str">
        <f t="shared" si="25"/>
        <v>0130</v>
      </c>
      <c r="N56" s="69">
        <f t="shared" si="14"/>
        <v>304</v>
      </c>
      <c r="O56" s="97"/>
      <c r="P56" s="98"/>
      <c r="Q56" s="99"/>
      <c r="R56" s="100"/>
      <c r="S56" s="86"/>
      <c r="U56" s="48" t="str">
        <f t="shared" si="26"/>
        <v/>
      </c>
      <c r="V56" s="16"/>
      <c r="W56" s="34"/>
      <c r="X56" s="35"/>
    </row>
    <row r="57" spans="11:24">
      <c r="K57" s="85"/>
      <c r="L57" s="54" t="str">
        <f t="shared" si="13"/>
        <v/>
      </c>
      <c r="M57" s="38" t="str">
        <f t="shared" si="25"/>
        <v>0131</v>
      </c>
      <c r="N57" s="69">
        <f t="shared" si="14"/>
        <v>305</v>
      </c>
      <c r="O57" s="97"/>
      <c r="P57" s="98"/>
      <c r="Q57" s="99"/>
      <c r="R57" s="100"/>
      <c r="S57" s="86"/>
      <c r="U57" s="48" t="str">
        <f t="shared" si="26"/>
        <v/>
      </c>
      <c r="V57" s="16"/>
      <c r="W57" s="34"/>
      <c r="X57" s="35"/>
    </row>
    <row r="58" spans="11:24">
      <c r="K58" s="85"/>
      <c r="L58" s="54" t="str">
        <f t="shared" si="13"/>
        <v/>
      </c>
      <c r="M58" s="38" t="str">
        <f t="shared" si="25"/>
        <v>0132</v>
      </c>
      <c r="N58" s="69">
        <f t="shared" si="14"/>
        <v>306</v>
      </c>
      <c r="O58" s="97"/>
      <c r="P58" s="98"/>
      <c r="Q58" s="99"/>
      <c r="R58" s="100"/>
      <c r="S58" s="86"/>
      <c r="U58" s="48" t="str">
        <f t="shared" si="26"/>
        <v/>
      </c>
      <c r="V58" s="16"/>
      <c r="W58" s="34"/>
      <c r="X58" s="35"/>
    </row>
    <row r="59" spans="11:24">
      <c r="K59" s="85"/>
      <c r="L59" s="54" t="str">
        <f t="shared" si="13"/>
        <v/>
      </c>
      <c r="M59" s="38" t="str">
        <f t="shared" si="25"/>
        <v>0133</v>
      </c>
      <c r="N59" s="69">
        <f t="shared" si="14"/>
        <v>307</v>
      </c>
      <c r="O59" s="97"/>
      <c r="P59" s="98"/>
      <c r="Q59" s="99"/>
      <c r="R59" s="100"/>
      <c r="S59" s="86"/>
      <c r="U59" s="48" t="str">
        <f t="shared" si="26"/>
        <v/>
      </c>
      <c r="V59" s="16"/>
      <c r="W59" s="34"/>
      <c r="X59" s="35"/>
    </row>
    <row r="60" spans="11:24">
      <c r="K60" s="85"/>
      <c r="L60" s="54" t="str">
        <f t="shared" si="13"/>
        <v/>
      </c>
      <c r="M60" s="38" t="str">
        <f t="shared" si="25"/>
        <v>0134</v>
      </c>
      <c r="N60" s="69">
        <f t="shared" si="14"/>
        <v>308</v>
      </c>
      <c r="O60" s="97"/>
      <c r="P60" s="98"/>
      <c r="Q60" s="99"/>
      <c r="R60" s="100"/>
      <c r="S60" s="86"/>
      <c r="U60" s="48" t="str">
        <f t="shared" si="26"/>
        <v/>
      </c>
      <c r="V60" s="16"/>
      <c r="W60" s="34"/>
      <c r="X60" s="35"/>
    </row>
    <row r="61" spans="11:24">
      <c r="K61" s="85"/>
      <c r="L61" s="54" t="str">
        <f t="shared" si="13"/>
        <v/>
      </c>
      <c r="M61" s="38" t="str">
        <f t="shared" si="25"/>
        <v>0135</v>
      </c>
      <c r="N61" s="69">
        <f t="shared" si="14"/>
        <v>309</v>
      </c>
      <c r="O61" s="97"/>
      <c r="P61" s="98"/>
      <c r="Q61" s="99"/>
      <c r="R61" s="100"/>
      <c r="S61" s="86"/>
      <c r="U61" s="48" t="str">
        <f t="shared" si="26"/>
        <v/>
      </c>
      <c r="V61" s="16"/>
      <c r="W61" s="34"/>
      <c r="X61" s="35"/>
    </row>
    <row r="62" spans="11:24">
      <c r="K62" s="85"/>
      <c r="L62" s="54" t="str">
        <f t="shared" si="13"/>
        <v/>
      </c>
      <c r="M62" s="38" t="str">
        <f t="shared" si="25"/>
        <v>0136</v>
      </c>
      <c r="N62" s="69">
        <f t="shared" si="14"/>
        <v>310</v>
      </c>
      <c r="O62" s="97"/>
      <c r="P62" s="98"/>
      <c r="Q62" s="99"/>
      <c r="R62" s="100"/>
      <c r="S62" s="86"/>
      <c r="U62" s="48" t="str">
        <f t="shared" si="26"/>
        <v/>
      </c>
      <c r="V62" s="16"/>
      <c r="W62" s="34"/>
      <c r="X62" s="35"/>
    </row>
    <row r="63" spans="11:24">
      <c r="K63" s="85"/>
      <c r="L63" s="54" t="str">
        <f t="shared" si="13"/>
        <v/>
      </c>
      <c r="M63" s="38" t="str">
        <f t="shared" si="25"/>
        <v>0137</v>
      </c>
      <c r="N63" s="69">
        <f t="shared" si="14"/>
        <v>311</v>
      </c>
      <c r="O63" s="97"/>
      <c r="P63" s="98"/>
      <c r="Q63" s="99"/>
      <c r="R63" s="100"/>
      <c r="S63" s="86"/>
      <c r="U63" s="48" t="str">
        <f t="shared" si="26"/>
        <v/>
      </c>
      <c r="V63" s="16"/>
      <c r="W63" s="34"/>
      <c r="X63" s="35"/>
    </row>
    <row r="64" spans="11:24">
      <c r="K64" s="85"/>
      <c r="L64" s="54" t="str">
        <f t="shared" si="13"/>
        <v/>
      </c>
      <c r="M64" s="38" t="str">
        <f t="shared" si="25"/>
        <v>0138</v>
      </c>
      <c r="N64" s="69">
        <f t="shared" si="14"/>
        <v>312</v>
      </c>
      <c r="O64" s="97"/>
      <c r="P64" s="98"/>
      <c r="Q64" s="99"/>
      <c r="R64" s="100"/>
      <c r="S64" s="86"/>
      <c r="U64" s="48" t="str">
        <f t="shared" si="26"/>
        <v/>
      </c>
      <c r="V64" s="16"/>
      <c r="W64" s="34"/>
      <c r="X64" s="35"/>
    </row>
    <row r="65" spans="11:24">
      <c r="K65" s="85"/>
      <c r="L65" s="54" t="str">
        <f t="shared" si="13"/>
        <v/>
      </c>
      <c r="M65" s="38" t="str">
        <f t="shared" si="25"/>
        <v>0139</v>
      </c>
      <c r="N65" s="69">
        <f t="shared" si="14"/>
        <v>313</v>
      </c>
      <c r="O65" s="97"/>
      <c r="P65" s="98"/>
      <c r="Q65" s="99"/>
      <c r="R65" s="100"/>
      <c r="S65" s="86"/>
      <c r="U65" s="48" t="str">
        <f t="shared" si="26"/>
        <v/>
      </c>
      <c r="V65" s="16"/>
      <c r="W65" s="34"/>
      <c r="X65" s="35"/>
    </row>
    <row r="66" spans="11:24">
      <c r="K66" s="85"/>
      <c r="L66" s="54" t="str">
        <f t="shared" si="13"/>
        <v/>
      </c>
      <c r="M66" s="38" t="str">
        <f t="shared" si="25"/>
        <v>013A</v>
      </c>
      <c r="N66" s="69">
        <f t="shared" si="14"/>
        <v>314</v>
      </c>
      <c r="O66" s="97"/>
      <c r="P66" s="98"/>
      <c r="Q66" s="99"/>
      <c r="R66" s="100"/>
      <c r="S66" s="86"/>
      <c r="U66" s="48" t="str">
        <f t="shared" si="26"/>
        <v/>
      </c>
      <c r="V66" s="16"/>
      <c r="W66" s="34"/>
      <c r="X66" s="35"/>
    </row>
    <row r="67" spans="11:24">
      <c r="K67" s="85"/>
      <c r="L67" s="54" t="str">
        <f t="shared" si="13"/>
        <v/>
      </c>
      <c r="M67" s="38" t="str">
        <f t="shared" si="25"/>
        <v>013B</v>
      </c>
      <c r="N67" s="69">
        <f t="shared" si="14"/>
        <v>315</v>
      </c>
      <c r="O67" s="97"/>
      <c r="P67" s="98"/>
      <c r="Q67" s="99"/>
      <c r="R67" s="100"/>
      <c r="S67" s="86"/>
      <c r="U67" s="48" t="str">
        <f t="shared" si="26"/>
        <v/>
      </c>
      <c r="V67" s="16"/>
      <c r="W67" s="34"/>
      <c r="X67" s="35"/>
    </row>
    <row r="68" spans="11:24">
      <c r="K68" s="85"/>
      <c r="L68" s="54" t="str">
        <f t="shared" si="13"/>
        <v/>
      </c>
      <c r="M68" s="38" t="str">
        <f t="shared" si="25"/>
        <v>013C</v>
      </c>
      <c r="N68" s="69">
        <f t="shared" si="14"/>
        <v>316</v>
      </c>
      <c r="O68" s="97"/>
      <c r="P68" s="98"/>
      <c r="Q68" s="99"/>
      <c r="R68" s="100"/>
      <c r="S68" s="86"/>
      <c r="U68" s="48" t="str">
        <f t="shared" si="26"/>
        <v/>
      </c>
      <c r="V68" s="16"/>
      <c r="W68" s="34"/>
      <c r="X68" s="35"/>
    </row>
    <row r="69" spans="11:24">
      <c r="K69" s="85"/>
      <c r="L69" s="54" t="str">
        <f t="shared" si="13"/>
        <v/>
      </c>
      <c r="M69" s="38" t="str">
        <f t="shared" si="25"/>
        <v>013D</v>
      </c>
      <c r="N69" s="69">
        <f t="shared" si="14"/>
        <v>317</v>
      </c>
      <c r="O69" s="97"/>
      <c r="P69" s="98"/>
      <c r="Q69" s="99"/>
      <c r="R69" s="100"/>
      <c r="S69" s="86"/>
      <c r="U69" s="48" t="str">
        <f t="shared" si="26"/>
        <v/>
      </c>
      <c r="V69" s="16"/>
      <c r="W69" s="34"/>
      <c r="X69" s="35"/>
    </row>
    <row r="70" spans="11:24">
      <c r="K70" s="85"/>
      <c r="L70" s="54" t="str">
        <f t="shared" si="13"/>
        <v/>
      </c>
      <c r="M70" s="38" t="str">
        <f t="shared" si="25"/>
        <v>013E</v>
      </c>
      <c r="N70" s="69">
        <f t="shared" si="14"/>
        <v>318</v>
      </c>
      <c r="O70" s="97"/>
      <c r="P70" s="98"/>
      <c r="Q70" s="99"/>
      <c r="R70" s="100"/>
      <c r="S70" s="86"/>
      <c r="U70" s="48" t="str">
        <f t="shared" si="26"/>
        <v/>
      </c>
      <c r="V70" s="16"/>
      <c r="W70" s="34"/>
      <c r="X70" s="35"/>
    </row>
    <row r="71" spans="11:24">
      <c r="K71" s="85"/>
      <c r="L71" s="54" t="str">
        <f t="shared" si="13"/>
        <v/>
      </c>
      <c r="M71" s="38" t="str">
        <f t="shared" si="25"/>
        <v>013F</v>
      </c>
      <c r="N71" s="69">
        <f t="shared" si="14"/>
        <v>319</v>
      </c>
      <c r="O71" s="97"/>
      <c r="P71" s="98"/>
      <c r="Q71" s="99"/>
      <c r="R71" s="100"/>
      <c r="S71" s="86"/>
      <c r="U71" s="48" t="str">
        <f t="shared" si="26"/>
        <v/>
      </c>
      <c r="V71" s="16"/>
      <c r="W71" s="34"/>
      <c r="X71" s="35"/>
    </row>
    <row r="72" spans="11:24">
      <c r="K72" s="85"/>
      <c r="L72" s="54" t="str">
        <f t="shared" si="13"/>
        <v/>
      </c>
      <c r="M72" s="38" t="str">
        <f t="shared" si="25"/>
        <v>0140</v>
      </c>
      <c r="N72" s="69">
        <f t="shared" si="14"/>
        <v>320</v>
      </c>
      <c r="O72" s="97"/>
      <c r="P72" s="98"/>
      <c r="Q72" s="99"/>
      <c r="R72" s="100"/>
      <c r="S72" s="86"/>
      <c r="U72" s="48" t="str">
        <f t="shared" si="26"/>
        <v/>
      </c>
      <c r="V72" s="16"/>
      <c r="W72" s="34"/>
      <c r="X72" s="35"/>
    </row>
    <row r="73" spans="11:24">
      <c r="K73" s="85"/>
      <c r="L73" s="54" t="str">
        <f t="shared" ref="L73:L136" si="27">IF(UPPER(P73)="EQU","E",IF(P73="DB","D",IF(O73&lt;&gt;"","L",IF(N73="","F",""))))</f>
        <v>F</v>
      </c>
      <c r="M73" s="38" t="str">
        <f t="shared" si="25"/>
        <v/>
      </c>
      <c r="N73" s="69" t="str">
        <f t="shared" ref="N73:N136" si="28">IFERROR(IF(N72+1&lt;=HEX2DEC(MemSize)+HEX2DEC(MemStart),N72+1,""),"")</f>
        <v/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</row>
    <row r="74" spans="11:24">
      <c r="K74" s="85"/>
      <c r="L74" s="54" t="str">
        <f t="shared" si="27"/>
        <v>F</v>
      </c>
      <c r="M74" s="38" t="str">
        <f t="shared" si="25"/>
        <v/>
      </c>
      <c r="N74" s="69" t="str">
        <f t="shared" si="28"/>
        <v/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</row>
    <row r="75" spans="11:24">
      <c r="K75" s="85"/>
      <c r="L75" s="54" t="str">
        <f t="shared" si="27"/>
        <v>F</v>
      </c>
      <c r="M75" s="38" t="str">
        <f t="shared" si="25"/>
        <v/>
      </c>
      <c r="N75" s="69" t="str">
        <f t="shared" si="28"/>
        <v/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</row>
    <row r="76" spans="11:24">
      <c r="K76" s="85"/>
      <c r="L76" s="54" t="str">
        <f t="shared" si="27"/>
        <v>F</v>
      </c>
      <c r="M76" s="38" t="str">
        <f t="shared" si="25"/>
        <v/>
      </c>
      <c r="N76" s="69" t="str">
        <f t="shared" si="28"/>
        <v/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</row>
    <row r="77" spans="11:24">
      <c r="K77" s="85"/>
      <c r="L77" s="54" t="str">
        <f t="shared" si="27"/>
        <v>F</v>
      </c>
      <c r="M77" s="38" t="str">
        <f t="shared" si="25"/>
        <v/>
      </c>
      <c r="N77" s="69" t="str">
        <f t="shared" si="28"/>
        <v/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</row>
    <row r="78" spans="11:24">
      <c r="K78" s="85"/>
      <c r="L78" s="54" t="str">
        <f t="shared" si="27"/>
        <v>F</v>
      </c>
      <c r="M78" s="38" t="str">
        <f t="shared" si="25"/>
        <v/>
      </c>
      <c r="N78" s="69" t="str">
        <f t="shared" si="28"/>
        <v/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</row>
    <row r="79" spans="11:24">
      <c r="K79" s="85"/>
      <c r="L79" s="54" t="str">
        <f t="shared" si="27"/>
        <v>F</v>
      </c>
      <c r="M79" s="38" t="str">
        <f t="shared" si="25"/>
        <v/>
      </c>
      <c r="N79" s="69" t="str">
        <f t="shared" si="28"/>
        <v/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</row>
    <row r="80" spans="11:24">
      <c r="K80" s="85"/>
      <c r="L80" s="54" t="str">
        <f t="shared" si="27"/>
        <v>F</v>
      </c>
      <c r="M80" s="38" t="str">
        <f t="shared" si="25"/>
        <v/>
      </c>
      <c r="N80" s="69" t="str">
        <f t="shared" si="28"/>
        <v/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</row>
    <row r="81" spans="11:24">
      <c r="K81" s="85"/>
      <c r="L81" s="54" t="str">
        <f t="shared" si="27"/>
        <v>F</v>
      </c>
      <c r="M81" s="38" t="str">
        <f t="shared" si="25"/>
        <v/>
      </c>
      <c r="N81" s="69" t="str">
        <f t="shared" si="28"/>
        <v/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</row>
    <row r="82" spans="11:24">
      <c r="K82" s="85"/>
      <c r="L82" s="54" t="str">
        <f t="shared" si="27"/>
        <v>F</v>
      </c>
      <c r="M82" s="38" t="str">
        <f t="shared" si="25"/>
        <v/>
      </c>
      <c r="N82" s="69" t="str">
        <f t="shared" si="28"/>
        <v/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</row>
    <row r="83" spans="11:24">
      <c r="K83" s="85"/>
      <c r="L83" s="54" t="str">
        <f t="shared" si="27"/>
        <v>F</v>
      </c>
      <c r="M83" s="38" t="str">
        <f t="shared" si="25"/>
        <v/>
      </c>
      <c r="N83" s="69" t="str">
        <f t="shared" si="28"/>
        <v/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</row>
    <row r="84" spans="11:24">
      <c r="K84" s="85"/>
      <c r="L84" s="54" t="str">
        <f t="shared" si="27"/>
        <v>F</v>
      </c>
      <c r="M84" s="38" t="str">
        <f t="shared" si="25"/>
        <v/>
      </c>
      <c r="N84" s="69" t="str">
        <f t="shared" si="28"/>
        <v/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</row>
    <row r="85" spans="11:24">
      <c r="K85" s="85"/>
      <c r="L85" s="54" t="str">
        <f t="shared" si="27"/>
        <v>F</v>
      </c>
      <c r="M85" s="38" t="str">
        <f t="shared" si="25"/>
        <v/>
      </c>
      <c r="N85" s="69" t="str">
        <f t="shared" si="28"/>
        <v/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</row>
    <row r="86" spans="11:24">
      <c r="K86" s="85"/>
      <c r="L86" s="54" t="str">
        <f t="shared" si="27"/>
        <v>F</v>
      </c>
      <c r="M86" s="38" t="str">
        <f t="shared" si="25"/>
        <v/>
      </c>
      <c r="N86" s="69" t="str">
        <f t="shared" si="28"/>
        <v/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</row>
    <row r="87" spans="11:24">
      <c r="K87" s="85"/>
      <c r="L87" s="54" t="str">
        <f t="shared" si="27"/>
        <v>F</v>
      </c>
      <c r="M87" s="38" t="str">
        <f t="shared" si="25"/>
        <v/>
      </c>
      <c r="N87" s="69" t="str">
        <f t="shared" si="28"/>
        <v/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</row>
    <row r="88" spans="11:24">
      <c r="K88" s="85"/>
      <c r="L88" s="54" t="str">
        <f t="shared" si="27"/>
        <v>F</v>
      </c>
      <c r="M88" s="38" t="str">
        <f t="shared" si="25"/>
        <v/>
      </c>
      <c r="N88" s="69" t="str">
        <f t="shared" si="28"/>
        <v/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</row>
    <row r="89" spans="11:24">
      <c r="K89" s="85"/>
      <c r="L89" s="54" t="str">
        <f t="shared" si="27"/>
        <v>F</v>
      </c>
      <c r="M89" s="38" t="str">
        <f t="shared" si="25"/>
        <v/>
      </c>
      <c r="N89" s="69" t="str">
        <f t="shared" si="28"/>
        <v/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</row>
    <row r="90" spans="11:24">
      <c r="K90" s="85"/>
      <c r="L90" s="54" t="str">
        <f t="shared" si="27"/>
        <v>F</v>
      </c>
      <c r="M90" s="38" t="str">
        <f t="shared" si="25"/>
        <v/>
      </c>
      <c r="N90" s="69" t="str">
        <f t="shared" si="28"/>
        <v/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</row>
    <row r="91" spans="11:24">
      <c r="K91" s="85"/>
      <c r="L91" s="54" t="str">
        <f t="shared" si="27"/>
        <v>F</v>
      </c>
      <c r="M91" s="38" t="str">
        <f t="shared" si="25"/>
        <v/>
      </c>
      <c r="N91" s="69" t="str">
        <f t="shared" si="28"/>
        <v/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</row>
    <row r="92" spans="11:24">
      <c r="K92" s="85"/>
      <c r="L92" s="54" t="str">
        <f t="shared" si="27"/>
        <v>F</v>
      </c>
      <c r="M92" s="38" t="str">
        <f t="shared" si="25"/>
        <v/>
      </c>
      <c r="N92" s="69" t="str">
        <f t="shared" si="28"/>
        <v/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</row>
    <row r="93" spans="11:24">
      <c r="K93" s="85"/>
      <c r="L93" s="54" t="str">
        <f t="shared" si="27"/>
        <v>F</v>
      </c>
      <c r="M93" s="38" t="str">
        <f t="shared" ref="M93:M156" si="30">IFERROR(RIGHT("0000"&amp;DEC2HEX(N93),4),"")</f>
        <v/>
      </c>
      <c r="N93" s="69" t="str">
        <f t="shared" si="28"/>
        <v/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</row>
    <row r="94" spans="11:24">
      <c r="K94" s="85"/>
      <c r="L94" s="54" t="str">
        <f t="shared" si="27"/>
        <v>F</v>
      </c>
      <c r="M94" s="38" t="str">
        <f t="shared" si="30"/>
        <v/>
      </c>
      <c r="N94" s="69" t="str">
        <f t="shared" si="28"/>
        <v/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</row>
    <row r="95" spans="11:24">
      <c r="K95" s="85"/>
      <c r="L95" s="54" t="str">
        <f t="shared" si="27"/>
        <v>F</v>
      </c>
      <c r="M95" s="38" t="str">
        <f t="shared" si="30"/>
        <v/>
      </c>
      <c r="N95" s="69" t="str">
        <f t="shared" si="28"/>
        <v/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</row>
    <row r="96" spans="11:24">
      <c r="K96" s="85"/>
      <c r="L96" s="54" t="str">
        <f t="shared" si="27"/>
        <v>F</v>
      </c>
      <c r="M96" s="38" t="str">
        <f t="shared" si="30"/>
        <v/>
      </c>
      <c r="N96" s="69" t="str">
        <f t="shared" si="28"/>
        <v/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</row>
    <row r="97" spans="11:24">
      <c r="K97" s="85"/>
      <c r="L97" s="54" t="str">
        <f t="shared" si="27"/>
        <v>F</v>
      </c>
      <c r="M97" s="38" t="str">
        <f t="shared" si="30"/>
        <v/>
      </c>
      <c r="N97" s="69" t="str">
        <f t="shared" si="28"/>
        <v/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</row>
    <row r="98" spans="11:24">
      <c r="K98" s="85"/>
      <c r="L98" s="54" t="str">
        <f t="shared" si="27"/>
        <v>F</v>
      </c>
      <c r="M98" s="38" t="str">
        <f t="shared" si="30"/>
        <v/>
      </c>
      <c r="N98" s="69" t="str">
        <f t="shared" si="28"/>
        <v/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</row>
    <row r="99" spans="11:24">
      <c r="K99" s="85"/>
      <c r="L99" s="54" t="str">
        <f t="shared" si="27"/>
        <v>F</v>
      </c>
      <c r="M99" s="38" t="str">
        <f t="shared" si="30"/>
        <v/>
      </c>
      <c r="N99" s="69" t="str">
        <f t="shared" si="28"/>
        <v/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</row>
    <row r="100" spans="11:24">
      <c r="K100" s="85"/>
      <c r="L100" s="54" t="str">
        <f t="shared" si="27"/>
        <v>F</v>
      </c>
      <c r="M100" s="38" t="str">
        <f t="shared" si="30"/>
        <v/>
      </c>
      <c r="N100" s="69" t="str">
        <f t="shared" si="28"/>
        <v/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</row>
    <row r="101" spans="11:24">
      <c r="K101" s="85"/>
      <c r="L101" s="54" t="str">
        <f t="shared" si="27"/>
        <v>F</v>
      </c>
      <c r="M101" s="38" t="str">
        <f t="shared" si="30"/>
        <v/>
      </c>
      <c r="N101" s="69" t="str">
        <f t="shared" si="28"/>
        <v/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</row>
    <row r="102" spans="11:24">
      <c r="K102" s="85"/>
      <c r="L102" s="54" t="str">
        <f t="shared" si="27"/>
        <v>F</v>
      </c>
      <c r="M102" s="38" t="str">
        <f t="shared" si="30"/>
        <v/>
      </c>
      <c r="N102" s="69" t="str">
        <f t="shared" si="28"/>
        <v/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</row>
    <row r="103" spans="11:24">
      <c r="K103" s="85"/>
      <c r="L103" s="54" t="str">
        <f t="shared" si="27"/>
        <v>F</v>
      </c>
      <c r="M103" s="38" t="str">
        <f t="shared" si="30"/>
        <v/>
      </c>
      <c r="N103" s="69" t="str">
        <f t="shared" si="28"/>
        <v/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</row>
    <row r="104" spans="11:24">
      <c r="K104" s="85"/>
      <c r="L104" s="54" t="str">
        <f t="shared" si="27"/>
        <v>F</v>
      </c>
      <c r="M104" s="38" t="str">
        <f t="shared" si="30"/>
        <v/>
      </c>
      <c r="N104" s="69" t="str">
        <f t="shared" si="28"/>
        <v/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</row>
    <row r="105" spans="11:24">
      <c r="K105" s="85"/>
      <c r="L105" s="54" t="str">
        <f t="shared" si="27"/>
        <v>F</v>
      </c>
      <c r="M105" s="38" t="str">
        <f t="shared" si="30"/>
        <v/>
      </c>
      <c r="N105" s="69" t="str">
        <f t="shared" si="28"/>
        <v/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</row>
    <row r="106" spans="11:24">
      <c r="K106" s="85"/>
      <c r="L106" s="54" t="str">
        <f t="shared" si="27"/>
        <v>F</v>
      </c>
      <c r="M106" s="38" t="str">
        <f t="shared" si="30"/>
        <v/>
      </c>
      <c r="N106" s="69" t="str">
        <f t="shared" si="28"/>
        <v/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</row>
    <row r="107" spans="11:24">
      <c r="K107" s="85"/>
      <c r="L107" s="54" t="str">
        <f t="shared" si="27"/>
        <v>F</v>
      </c>
      <c r="M107" s="38" t="str">
        <f t="shared" si="30"/>
        <v/>
      </c>
      <c r="N107" s="69" t="str">
        <f t="shared" si="28"/>
        <v/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</row>
    <row r="108" spans="11:24">
      <c r="K108" s="85"/>
      <c r="L108" s="54" t="str">
        <f t="shared" si="27"/>
        <v>F</v>
      </c>
      <c r="M108" s="38" t="str">
        <f t="shared" si="30"/>
        <v/>
      </c>
      <c r="N108" s="69" t="str">
        <f t="shared" si="28"/>
        <v/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</row>
    <row r="109" spans="11:24">
      <c r="K109" s="85"/>
      <c r="L109" s="54" t="str">
        <f t="shared" si="27"/>
        <v>F</v>
      </c>
      <c r="M109" s="38" t="str">
        <f t="shared" si="30"/>
        <v/>
      </c>
      <c r="N109" s="69" t="str">
        <f t="shared" si="28"/>
        <v/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</row>
    <row r="110" spans="11:24">
      <c r="K110" s="85"/>
      <c r="L110" s="54" t="str">
        <f t="shared" si="27"/>
        <v>F</v>
      </c>
      <c r="M110" s="38" t="str">
        <f t="shared" si="30"/>
        <v/>
      </c>
      <c r="N110" s="69" t="str">
        <f t="shared" si="28"/>
        <v/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</row>
    <row r="111" spans="11:24">
      <c r="K111" s="85"/>
      <c r="L111" s="54" t="str">
        <f t="shared" si="27"/>
        <v>F</v>
      </c>
      <c r="M111" s="38" t="str">
        <f t="shared" si="30"/>
        <v/>
      </c>
      <c r="N111" s="69" t="str">
        <f t="shared" si="28"/>
        <v/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</row>
    <row r="112" spans="11:24">
      <c r="K112" s="85"/>
      <c r="L112" s="54" t="str">
        <f t="shared" si="27"/>
        <v>F</v>
      </c>
      <c r="M112" s="38" t="str">
        <f t="shared" si="30"/>
        <v/>
      </c>
      <c r="N112" s="69" t="str">
        <f t="shared" si="28"/>
        <v/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</row>
    <row r="113" spans="11:24">
      <c r="K113" s="85"/>
      <c r="L113" s="54" t="str">
        <f t="shared" si="27"/>
        <v>F</v>
      </c>
      <c r="M113" s="38" t="str">
        <f t="shared" si="30"/>
        <v/>
      </c>
      <c r="N113" s="69" t="str">
        <f t="shared" si="28"/>
        <v/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</row>
    <row r="114" spans="11:24">
      <c r="K114" s="85"/>
      <c r="L114" s="54" t="str">
        <f t="shared" si="27"/>
        <v>F</v>
      </c>
      <c r="M114" s="38" t="str">
        <f t="shared" si="30"/>
        <v/>
      </c>
      <c r="N114" s="69" t="str">
        <f t="shared" si="28"/>
        <v/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</row>
    <row r="115" spans="11:24">
      <c r="K115" s="85"/>
      <c r="L115" s="54" t="str">
        <f t="shared" si="27"/>
        <v>F</v>
      </c>
      <c r="M115" s="38" t="str">
        <f t="shared" si="30"/>
        <v/>
      </c>
      <c r="N115" s="69" t="str">
        <f t="shared" si="28"/>
        <v/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</row>
    <row r="116" spans="11:24">
      <c r="K116" s="85"/>
      <c r="L116" s="54" t="str">
        <f t="shared" si="27"/>
        <v>F</v>
      </c>
      <c r="M116" s="38" t="str">
        <f t="shared" si="30"/>
        <v/>
      </c>
      <c r="N116" s="69" t="str">
        <f t="shared" si="28"/>
        <v/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</row>
    <row r="117" spans="11:24">
      <c r="K117" s="85"/>
      <c r="L117" s="54" t="str">
        <f t="shared" si="27"/>
        <v>F</v>
      </c>
      <c r="M117" s="38" t="str">
        <f t="shared" si="30"/>
        <v/>
      </c>
      <c r="N117" s="69" t="str">
        <f t="shared" si="28"/>
        <v/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</row>
    <row r="118" spans="11:24">
      <c r="K118" s="85"/>
      <c r="L118" s="54" t="str">
        <f t="shared" si="27"/>
        <v>F</v>
      </c>
      <c r="M118" s="38" t="str">
        <f t="shared" si="30"/>
        <v/>
      </c>
      <c r="N118" s="69" t="str">
        <f t="shared" si="28"/>
        <v/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</row>
    <row r="119" spans="11:24">
      <c r="K119" s="85"/>
      <c r="L119" s="54" t="str">
        <f t="shared" si="27"/>
        <v>F</v>
      </c>
      <c r="M119" s="38" t="str">
        <f t="shared" si="30"/>
        <v/>
      </c>
      <c r="N119" s="69" t="str">
        <f t="shared" si="28"/>
        <v/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</row>
    <row r="120" spans="11:24">
      <c r="K120" s="85"/>
      <c r="L120" s="54" t="str">
        <f t="shared" si="27"/>
        <v>F</v>
      </c>
      <c r="M120" s="38" t="str">
        <f t="shared" si="30"/>
        <v/>
      </c>
      <c r="N120" s="69" t="str">
        <f t="shared" si="28"/>
        <v/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</row>
    <row r="121" spans="11:24">
      <c r="K121" s="85"/>
      <c r="L121" s="54" t="str">
        <f t="shared" si="27"/>
        <v>F</v>
      </c>
      <c r="M121" s="38" t="str">
        <f t="shared" si="30"/>
        <v/>
      </c>
      <c r="N121" s="69" t="str">
        <f t="shared" si="28"/>
        <v/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</row>
    <row r="122" spans="11:24">
      <c r="K122" s="85"/>
      <c r="L122" s="54" t="str">
        <f t="shared" si="27"/>
        <v>F</v>
      </c>
      <c r="M122" s="38" t="str">
        <f t="shared" si="30"/>
        <v/>
      </c>
      <c r="N122" s="69" t="str">
        <f t="shared" si="28"/>
        <v/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</row>
    <row r="123" spans="11:24">
      <c r="K123" s="85"/>
      <c r="L123" s="54" t="str">
        <f t="shared" si="27"/>
        <v>F</v>
      </c>
      <c r="M123" s="38" t="str">
        <f t="shared" si="30"/>
        <v/>
      </c>
      <c r="N123" s="69" t="str">
        <f t="shared" si="28"/>
        <v/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</row>
    <row r="124" spans="11:24">
      <c r="K124" s="85"/>
      <c r="L124" s="54" t="str">
        <f t="shared" si="27"/>
        <v>F</v>
      </c>
      <c r="M124" s="38" t="str">
        <f t="shared" si="30"/>
        <v/>
      </c>
      <c r="N124" s="69" t="str">
        <f t="shared" si="28"/>
        <v/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</row>
    <row r="125" spans="11:24">
      <c r="K125" s="85"/>
      <c r="L125" s="54" t="str">
        <f t="shared" si="27"/>
        <v>F</v>
      </c>
      <c r="M125" s="38" t="str">
        <f t="shared" si="30"/>
        <v/>
      </c>
      <c r="N125" s="69" t="str">
        <f t="shared" si="28"/>
        <v/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</row>
    <row r="126" spans="11:24">
      <c r="K126" s="85"/>
      <c r="L126" s="54" t="str">
        <f t="shared" si="27"/>
        <v>F</v>
      </c>
      <c r="M126" s="38" t="str">
        <f t="shared" si="30"/>
        <v/>
      </c>
      <c r="N126" s="69" t="str">
        <f t="shared" si="28"/>
        <v/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</row>
    <row r="127" spans="11:24">
      <c r="K127" s="85"/>
      <c r="L127" s="54" t="str">
        <f t="shared" si="27"/>
        <v>F</v>
      </c>
      <c r="M127" s="38" t="str">
        <f t="shared" si="30"/>
        <v/>
      </c>
      <c r="N127" s="69" t="str">
        <f t="shared" si="28"/>
        <v/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</row>
    <row r="128" spans="11:24">
      <c r="K128" s="85"/>
      <c r="L128" s="54" t="str">
        <f t="shared" si="27"/>
        <v>F</v>
      </c>
      <c r="M128" s="38" t="str">
        <f t="shared" si="30"/>
        <v/>
      </c>
      <c r="N128" s="69" t="str">
        <f t="shared" si="28"/>
        <v/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</row>
    <row r="129" spans="11:24">
      <c r="K129" s="85"/>
      <c r="L129" s="54" t="str">
        <f t="shared" si="27"/>
        <v>F</v>
      </c>
      <c r="M129" s="38" t="str">
        <f t="shared" si="30"/>
        <v/>
      </c>
      <c r="N129" s="69" t="str">
        <f t="shared" si="28"/>
        <v/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</row>
    <row r="130" spans="11:24">
      <c r="K130" s="85"/>
      <c r="L130" s="54" t="str">
        <f t="shared" si="27"/>
        <v>F</v>
      </c>
      <c r="M130" s="38" t="str">
        <f t="shared" si="30"/>
        <v/>
      </c>
      <c r="N130" s="69" t="str">
        <f t="shared" si="28"/>
        <v/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</row>
    <row r="131" spans="11:24">
      <c r="K131" s="85"/>
      <c r="L131" s="54" t="str">
        <f t="shared" si="27"/>
        <v>F</v>
      </c>
      <c r="M131" s="38" t="str">
        <f t="shared" si="30"/>
        <v/>
      </c>
      <c r="N131" s="69" t="str">
        <f t="shared" si="28"/>
        <v/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</row>
    <row r="132" spans="11:24">
      <c r="K132" s="85"/>
      <c r="L132" s="54" t="str">
        <f t="shared" si="27"/>
        <v>F</v>
      </c>
      <c r="M132" s="38" t="str">
        <f t="shared" si="30"/>
        <v/>
      </c>
      <c r="N132" s="69" t="str">
        <f t="shared" si="28"/>
        <v/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</row>
    <row r="133" spans="11:24">
      <c r="K133" s="85"/>
      <c r="L133" s="54" t="str">
        <f t="shared" si="27"/>
        <v>F</v>
      </c>
      <c r="M133" s="38" t="str">
        <f t="shared" si="30"/>
        <v/>
      </c>
      <c r="N133" s="69" t="str">
        <f t="shared" si="28"/>
        <v/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</row>
    <row r="134" spans="11:24">
      <c r="K134" s="85"/>
      <c r="L134" s="54" t="str">
        <f t="shared" si="27"/>
        <v>F</v>
      </c>
      <c r="M134" s="38" t="str">
        <f t="shared" si="30"/>
        <v/>
      </c>
      <c r="N134" s="69" t="str">
        <f t="shared" si="28"/>
        <v/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</row>
    <row r="135" spans="11:24">
      <c r="K135" s="85"/>
      <c r="L135" s="54" t="str">
        <f t="shared" si="27"/>
        <v>F</v>
      </c>
      <c r="M135" s="38" t="str">
        <f t="shared" si="30"/>
        <v/>
      </c>
      <c r="N135" s="69" t="str">
        <f t="shared" si="28"/>
        <v/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</row>
    <row r="136" spans="11:24">
      <c r="K136" s="85"/>
      <c r="L136" s="54" t="str">
        <f t="shared" si="27"/>
        <v>F</v>
      </c>
      <c r="M136" s="38" t="str">
        <f t="shared" si="30"/>
        <v/>
      </c>
      <c r="N136" s="69" t="str">
        <f t="shared" si="28"/>
        <v/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</row>
    <row r="137" spans="11:24">
      <c r="K137" s="85"/>
      <c r="L137" s="54" t="str">
        <f t="shared" ref="L137:L200" si="31">IF(UPPER(P137)="EQU","E",IF(P137="DB","D",IF(O137&lt;&gt;"","L",IF(N137="","F",""))))</f>
        <v>F</v>
      </c>
      <c r="M137" s="38" t="str">
        <f t="shared" si="30"/>
        <v/>
      </c>
      <c r="N137" s="69" t="str">
        <f t="shared" ref="N137:N200" si="32">IFERROR(IF(N136+1&lt;=HEX2DEC(MemSize)+HEX2DEC(MemStart),N136+1,""),"")</f>
        <v/>
      </c>
      <c r="O137" s="97"/>
      <c r="P137" s="98"/>
      <c r="Q137" s="99"/>
      <c r="R137" s="100"/>
      <c r="S137" s="86"/>
      <c r="U137" s="48" t="str">
        <f t="shared" ref="U137:U200" si="33">IF(V137&gt;0,RIGHT("0000"&amp;DEC2HEX(V137),4),"")</f>
        <v/>
      </c>
      <c r="V137" s="16"/>
      <c r="W137" s="34"/>
      <c r="X137" s="35"/>
    </row>
    <row r="138" spans="11:24">
      <c r="K138" s="85"/>
      <c r="L138" s="54" t="str">
        <f t="shared" si="31"/>
        <v>F</v>
      </c>
      <c r="M138" s="38" t="str">
        <f t="shared" si="30"/>
        <v/>
      </c>
      <c r="N138" s="69" t="str">
        <f t="shared" si="32"/>
        <v/>
      </c>
      <c r="O138" s="97"/>
      <c r="P138" s="98"/>
      <c r="Q138" s="99"/>
      <c r="R138" s="100"/>
      <c r="S138" s="86"/>
      <c r="U138" s="48" t="str">
        <f t="shared" si="33"/>
        <v/>
      </c>
      <c r="V138" s="16"/>
      <c r="W138" s="34"/>
      <c r="X138" s="35"/>
    </row>
    <row r="139" spans="11:24">
      <c r="K139" s="85"/>
      <c r="L139" s="54" t="str">
        <f t="shared" si="31"/>
        <v>F</v>
      </c>
      <c r="M139" s="38" t="str">
        <f t="shared" si="30"/>
        <v/>
      </c>
      <c r="N139" s="69" t="str">
        <f t="shared" si="32"/>
        <v/>
      </c>
      <c r="O139" s="97"/>
      <c r="P139" s="98"/>
      <c r="Q139" s="99"/>
      <c r="R139" s="100"/>
      <c r="S139" s="86"/>
      <c r="U139" s="48" t="str">
        <f t="shared" si="33"/>
        <v/>
      </c>
      <c r="V139" s="16"/>
      <c r="W139" s="34"/>
      <c r="X139" s="35"/>
    </row>
    <row r="140" spans="11:24">
      <c r="K140" s="85"/>
      <c r="L140" s="54" t="str">
        <f t="shared" si="31"/>
        <v>F</v>
      </c>
      <c r="M140" s="38" t="str">
        <f t="shared" si="30"/>
        <v/>
      </c>
      <c r="N140" s="69" t="str">
        <f t="shared" si="32"/>
        <v/>
      </c>
      <c r="O140" s="97"/>
      <c r="P140" s="98"/>
      <c r="Q140" s="99"/>
      <c r="R140" s="100"/>
      <c r="S140" s="86"/>
      <c r="U140" s="48" t="str">
        <f t="shared" si="33"/>
        <v/>
      </c>
      <c r="V140" s="16"/>
      <c r="W140" s="34"/>
      <c r="X140" s="35"/>
    </row>
    <row r="141" spans="11:24">
      <c r="K141" s="85"/>
      <c r="L141" s="54" t="str">
        <f t="shared" si="31"/>
        <v>F</v>
      </c>
      <c r="M141" s="38" t="str">
        <f t="shared" si="30"/>
        <v/>
      </c>
      <c r="N141" s="69" t="str">
        <f t="shared" si="32"/>
        <v/>
      </c>
      <c r="O141" s="97"/>
      <c r="P141" s="98"/>
      <c r="Q141" s="99"/>
      <c r="R141" s="100"/>
      <c r="S141" s="86"/>
      <c r="U141" s="48" t="str">
        <f t="shared" si="33"/>
        <v/>
      </c>
      <c r="V141" s="16"/>
      <c r="W141" s="34"/>
      <c r="X141" s="35"/>
    </row>
    <row r="142" spans="11:24">
      <c r="K142" s="85"/>
      <c r="L142" s="54" t="str">
        <f t="shared" si="31"/>
        <v>F</v>
      </c>
      <c r="M142" s="38" t="str">
        <f t="shared" si="30"/>
        <v/>
      </c>
      <c r="N142" s="69" t="str">
        <f t="shared" si="32"/>
        <v/>
      </c>
      <c r="O142" s="97"/>
      <c r="P142" s="98"/>
      <c r="Q142" s="99"/>
      <c r="R142" s="100"/>
      <c r="S142" s="86"/>
      <c r="U142" s="48" t="str">
        <f t="shared" si="33"/>
        <v/>
      </c>
      <c r="V142" s="16"/>
      <c r="W142" s="34"/>
      <c r="X142" s="35"/>
    </row>
    <row r="143" spans="11:24">
      <c r="K143" s="85"/>
      <c r="L143" s="54" t="str">
        <f t="shared" si="31"/>
        <v>F</v>
      </c>
      <c r="M143" s="38" t="str">
        <f t="shared" si="30"/>
        <v/>
      </c>
      <c r="N143" s="69" t="str">
        <f t="shared" si="32"/>
        <v/>
      </c>
      <c r="O143" s="97"/>
      <c r="P143" s="98"/>
      <c r="Q143" s="99"/>
      <c r="R143" s="100"/>
      <c r="S143" s="86"/>
      <c r="U143" s="48" t="str">
        <f t="shared" si="33"/>
        <v/>
      </c>
      <c r="V143" s="16"/>
      <c r="W143" s="34"/>
      <c r="X143" s="35"/>
    </row>
    <row r="144" spans="11:24">
      <c r="K144" s="85"/>
      <c r="L144" s="54" t="str">
        <f t="shared" si="31"/>
        <v>F</v>
      </c>
      <c r="M144" s="38" t="str">
        <f t="shared" si="30"/>
        <v/>
      </c>
      <c r="N144" s="69" t="str">
        <f t="shared" si="32"/>
        <v/>
      </c>
      <c r="O144" s="97"/>
      <c r="P144" s="98"/>
      <c r="Q144" s="99"/>
      <c r="R144" s="100"/>
      <c r="S144" s="86"/>
      <c r="U144" s="48" t="str">
        <f t="shared" si="33"/>
        <v/>
      </c>
      <c r="V144" s="16"/>
      <c r="W144" s="34"/>
      <c r="X144" s="35"/>
    </row>
    <row r="145" spans="11:24">
      <c r="K145" s="85"/>
      <c r="L145" s="54" t="str">
        <f t="shared" si="31"/>
        <v>F</v>
      </c>
      <c r="M145" s="38" t="str">
        <f t="shared" si="30"/>
        <v/>
      </c>
      <c r="N145" s="69" t="str">
        <f t="shared" si="32"/>
        <v/>
      </c>
      <c r="O145" s="97"/>
      <c r="P145" s="98"/>
      <c r="Q145" s="99"/>
      <c r="R145" s="100"/>
      <c r="S145" s="86"/>
      <c r="U145" s="48" t="str">
        <f t="shared" si="33"/>
        <v/>
      </c>
      <c r="V145" s="16"/>
      <c r="W145" s="34"/>
      <c r="X145" s="35"/>
    </row>
    <row r="146" spans="11:24">
      <c r="K146" s="85"/>
      <c r="L146" s="54" t="str">
        <f t="shared" si="31"/>
        <v>F</v>
      </c>
      <c r="M146" s="38" t="str">
        <f t="shared" si="30"/>
        <v/>
      </c>
      <c r="N146" s="69" t="str">
        <f t="shared" si="32"/>
        <v/>
      </c>
      <c r="O146" s="97"/>
      <c r="P146" s="98"/>
      <c r="Q146" s="99"/>
      <c r="R146" s="100"/>
      <c r="S146" s="86"/>
      <c r="U146" s="48" t="str">
        <f t="shared" si="33"/>
        <v/>
      </c>
      <c r="V146" s="16"/>
      <c r="W146" s="34"/>
      <c r="X146" s="35"/>
    </row>
    <row r="147" spans="11:24">
      <c r="K147" s="85"/>
      <c r="L147" s="54" t="str">
        <f t="shared" si="31"/>
        <v>F</v>
      </c>
      <c r="M147" s="38" t="str">
        <f t="shared" si="30"/>
        <v/>
      </c>
      <c r="N147" s="69" t="str">
        <f t="shared" si="32"/>
        <v/>
      </c>
      <c r="O147" s="97"/>
      <c r="P147" s="98"/>
      <c r="Q147" s="99"/>
      <c r="R147" s="100"/>
      <c r="S147" s="86"/>
      <c r="U147" s="48" t="str">
        <f t="shared" si="33"/>
        <v/>
      </c>
      <c r="V147" s="16"/>
      <c r="W147" s="34"/>
      <c r="X147" s="35"/>
    </row>
    <row r="148" spans="11:24">
      <c r="K148" s="85"/>
      <c r="L148" s="54" t="str">
        <f t="shared" si="31"/>
        <v>F</v>
      </c>
      <c r="M148" s="38" t="str">
        <f t="shared" si="30"/>
        <v/>
      </c>
      <c r="N148" s="69" t="str">
        <f t="shared" si="32"/>
        <v/>
      </c>
      <c r="O148" s="97"/>
      <c r="P148" s="98"/>
      <c r="Q148" s="99"/>
      <c r="R148" s="100"/>
      <c r="S148" s="86"/>
      <c r="U148" s="48" t="str">
        <f t="shared" si="33"/>
        <v/>
      </c>
      <c r="V148" s="16"/>
      <c r="W148" s="34"/>
      <c r="X148" s="35"/>
    </row>
    <row r="149" spans="11:24">
      <c r="K149" s="85"/>
      <c r="L149" s="54" t="str">
        <f t="shared" si="31"/>
        <v>F</v>
      </c>
      <c r="M149" s="38" t="str">
        <f t="shared" si="30"/>
        <v/>
      </c>
      <c r="N149" s="69" t="str">
        <f t="shared" si="32"/>
        <v/>
      </c>
      <c r="O149" s="97"/>
      <c r="P149" s="98"/>
      <c r="Q149" s="99"/>
      <c r="R149" s="100"/>
      <c r="S149" s="86"/>
      <c r="U149" s="48" t="str">
        <f t="shared" si="33"/>
        <v/>
      </c>
      <c r="V149" s="16"/>
      <c r="W149" s="34"/>
      <c r="X149" s="35"/>
    </row>
    <row r="150" spans="11:24">
      <c r="K150" s="85"/>
      <c r="L150" s="54" t="str">
        <f t="shared" si="31"/>
        <v>F</v>
      </c>
      <c r="M150" s="38" t="str">
        <f t="shared" si="30"/>
        <v/>
      </c>
      <c r="N150" s="69" t="str">
        <f t="shared" si="32"/>
        <v/>
      </c>
      <c r="O150" s="97"/>
      <c r="P150" s="98"/>
      <c r="Q150" s="99"/>
      <c r="R150" s="100"/>
      <c r="S150" s="86"/>
      <c r="U150" s="48" t="str">
        <f t="shared" si="33"/>
        <v/>
      </c>
      <c r="V150" s="16"/>
      <c r="W150" s="34"/>
      <c r="X150" s="35"/>
    </row>
    <row r="151" spans="11:24">
      <c r="K151" s="85"/>
      <c r="L151" s="54" t="str">
        <f t="shared" si="31"/>
        <v>F</v>
      </c>
      <c r="M151" s="38" t="str">
        <f t="shared" si="30"/>
        <v/>
      </c>
      <c r="N151" s="69" t="str">
        <f t="shared" si="32"/>
        <v/>
      </c>
      <c r="O151" s="97"/>
      <c r="P151" s="98"/>
      <c r="Q151" s="99"/>
      <c r="R151" s="100"/>
      <c r="S151" s="86"/>
      <c r="U151" s="48" t="str">
        <f t="shared" si="33"/>
        <v/>
      </c>
      <c r="V151" s="16"/>
      <c r="W151" s="34"/>
      <c r="X151" s="35"/>
    </row>
    <row r="152" spans="11:24">
      <c r="K152" s="85"/>
      <c r="L152" s="54" t="str">
        <f t="shared" si="31"/>
        <v>F</v>
      </c>
      <c r="M152" s="38" t="str">
        <f t="shared" si="30"/>
        <v/>
      </c>
      <c r="N152" s="69" t="str">
        <f t="shared" si="32"/>
        <v/>
      </c>
      <c r="O152" s="97"/>
      <c r="P152" s="98"/>
      <c r="Q152" s="99"/>
      <c r="R152" s="100"/>
      <c r="S152" s="86"/>
      <c r="U152" s="48" t="str">
        <f t="shared" si="33"/>
        <v/>
      </c>
      <c r="V152" s="16"/>
      <c r="W152" s="34"/>
      <c r="X152" s="35"/>
    </row>
    <row r="153" spans="11:24">
      <c r="K153" s="85"/>
      <c r="L153" s="54" t="str">
        <f t="shared" si="31"/>
        <v>F</v>
      </c>
      <c r="M153" s="38" t="str">
        <f t="shared" si="30"/>
        <v/>
      </c>
      <c r="N153" s="69" t="str">
        <f t="shared" si="32"/>
        <v/>
      </c>
      <c r="O153" s="97"/>
      <c r="P153" s="98"/>
      <c r="Q153" s="99"/>
      <c r="R153" s="100"/>
      <c r="S153" s="86"/>
      <c r="U153" s="48" t="str">
        <f t="shared" si="33"/>
        <v/>
      </c>
      <c r="V153" s="16"/>
      <c r="W153" s="34"/>
      <c r="X153" s="35"/>
    </row>
    <row r="154" spans="11:24">
      <c r="K154" s="85"/>
      <c r="L154" s="54" t="str">
        <f t="shared" si="31"/>
        <v>F</v>
      </c>
      <c r="M154" s="38" t="str">
        <f t="shared" si="30"/>
        <v/>
      </c>
      <c r="N154" s="69" t="str">
        <f t="shared" si="32"/>
        <v/>
      </c>
      <c r="O154" s="97"/>
      <c r="P154" s="98"/>
      <c r="Q154" s="99"/>
      <c r="R154" s="100"/>
      <c r="S154" s="86"/>
      <c r="U154" s="48" t="str">
        <f t="shared" si="33"/>
        <v/>
      </c>
      <c r="V154" s="16"/>
      <c r="W154" s="34"/>
      <c r="X154" s="35"/>
    </row>
    <row r="155" spans="11:24">
      <c r="K155" s="85"/>
      <c r="L155" s="54" t="str">
        <f t="shared" si="31"/>
        <v>F</v>
      </c>
      <c r="M155" s="38" t="str">
        <f t="shared" si="30"/>
        <v/>
      </c>
      <c r="N155" s="69" t="str">
        <f t="shared" si="32"/>
        <v/>
      </c>
      <c r="O155" s="97"/>
      <c r="P155" s="98"/>
      <c r="Q155" s="99"/>
      <c r="R155" s="100"/>
      <c r="S155" s="86"/>
      <c r="U155" s="48" t="str">
        <f t="shared" si="33"/>
        <v/>
      </c>
      <c r="V155" s="16"/>
      <c r="W155" s="34"/>
      <c r="X155" s="35"/>
    </row>
    <row r="156" spans="11:24">
      <c r="K156" s="85"/>
      <c r="L156" s="54" t="str">
        <f t="shared" si="31"/>
        <v>F</v>
      </c>
      <c r="M156" s="38" t="str">
        <f t="shared" si="30"/>
        <v/>
      </c>
      <c r="N156" s="69" t="str">
        <f t="shared" si="32"/>
        <v/>
      </c>
      <c r="O156" s="97"/>
      <c r="P156" s="98"/>
      <c r="Q156" s="99"/>
      <c r="R156" s="100"/>
      <c r="S156" s="86"/>
      <c r="U156" s="48" t="str">
        <f t="shared" si="33"/>
        <v/>
      </c>
      <c r="V156" s="16"/>
      <c r="W156" s="34"/>
      <c r="X156" s="35"/>
    </row>
    <row r="157" spans="11:24">
      <c r="K157" s="85"/>
      <c r="L157" s="54" t="str">
        <f t="shared" si="31"/>
        <v>F</v>
      </c>
      <c r="M157" s="38" t="str">
        <f t="shared" ref="M157:M220" si="34">IFERROR(RIGHT("0000"&amp;DEC2HEX(N157),4),"")</f>
        <v/>
      </c>
      <c r="N157" s="69" t="str">
        <f t="shared" si="32"/>
        <v/>
      </c>
      <c r="O157" s="97"/>
      <c r="P157" s="98"/>
      <c r="Q157" s="99"/>
      <c r="R157" s="100"/>
      <c r="S157" s="86"/>
      <c r="U157" s="48" t="str">
        <f t="shared" si="33"/>
        <v/>
      </c>
      <c r="V157" s="16"/>
      <c r="W157" s="34"/>
      <c r="X157" s="35"/>
    </row>
    <row r="158" spans="11:24">
      <c r="K158" s="85"/>
      <c r="L158" s="54" t="str">
        <f t="shared" si="31"/>
        <v>F</v>
      </c>
      <c r="M158" s="38" t="str">
        <f t="shared" si="34"/>
        <v/>
      </c>
      <c r="N158" s="69" t="str">
        <f t="shared" si="32"/>
        <v/>
      </c>
      <c r="O158" s="97"/>
      <c r="P158" s="98"/>
      <c r="Q158" s="99"/>
      <c r="R158" s="100"/>
      <c r="S158" s="86"/>
      <c r="U158" s="48" t="str">
        <f t="shared" si="33"/>
        <v/>
      </c>
      <c r="V158" s="16"/>
      <c r="W158" s="34"/>
      <c r="X158" s="35"/>
    </row>
    <row r="159" spans="11:24">
      <c r="K159" s="85"/>
      <c r="L159" s="54" t="str">
        <f t="shared" si="31"/>
        <v>F</v>
      </c>
      <c r="M159" s="38" t="str">
        <f t="shared" si="34"/>
        <v/>
      </c>
      <c r="N159" s="69" t="str">
        <f t="shared" si="32"/>
        <v/>
      </c>
      <c r="O159" s="97"/>
      <c r="P159" s="98"/>
      <c r="Q159" s="99"/>
      <c r="R159" s="100"/>
      <c r="S159" s="86"/>
      <c r="U159" s="48" t="str">
        <f t="shared" si="33"/>
        <v/>
      </c>
      <c r="V159" s="16"/>
      <c r="W159" s="34"/>
      <c r="X159" s="35"/>
    </row>
    <row r="160" spans="11:24">
      <c r="K160" s="85"/>
      <c r="L160" s="54" t="str">
        <f t="shared" si="31"/>
        <v>F</v>
      </c>
      <c r="M160" s="38" t="str">
        <f t="shared" si="34"/>
        <v/>
      </c>
      <c r="N160" s="69" t="str">
        <f t="shared" si="32"/>
        <v/>
      </c>
      <c r="O160" s="97"/>
      <c r="P160" s="98"/>
      <c r="Q160" s="99"/>
      <c r="R160" s="100"/>
      <c r="S160" s="86"/>
      <c r="U160" s="48" t="str">
        <f t="shared" si="33"/>
        <v/>
      </c>
      <c r="V160" s="16"/>
      <c r="W160" s="34"/>
      <c r="X160" s="35"/>
    </row>
    <row r="161" spans="11:24">
      <c r="K161" s="85"/>
      <c r="L161" s="54" t="str">
        <f t="shared" si="31"/>
        <v>F</v>
      </c>
      <c r="M161" s="38" t="str">
        <f t="shared" si="34"/>
        <v/>
      </c>
      <c r="N161" s="69" t="str">
        <f t="shared" si="32"/>
        <v/>
      </c>
      <c r="O161" s="97"/>
      <c r="P161" s="98"/>
      <c r="Q161" s="99"/>
      <c r="R161" s="100"/>
      <c r="S161" s="86"/>
      <c r="U161" s="48" t="str">
        <f t="shared" si="33"/>
        <v/>
      </c>
      <c r="V161" s="16"/>
      <c r="W161" s="34"/>
      <c r="X161" s="35"/>
    </row>
    <row r="162" spans="11:24">
      <c r="K162" s="85"/>
      <c r="L162" s="54" t="str">
        <f t="shared" si="31"/>
        <v>F</v>
      </c>
      <c r="M162" s="38" t="str">
        <f t="shared" si="34"/>
        <v/>
      </c>
      <c r="N162" s="69" t="str">
        <f t="shared" si="32"/>
        <v/>
      </c>
      <c r="O162" s="97"/>
      <c r="P162" s="98"/>
      <c r="Q162" s="99"/>
      <c r="R162" s="100"/>
      <c r="S162" s="86"/>
      <c r="U162" s="48" t="str">
        <f t="shared" si="33"/>
        <v/>
      </c>
      <c r="V162" s="16"/>
      <c r="W162" s="34"/>
      <c r="X162" s="35"/>
    </row>
    <row r="163" spans="11:24">
      <c r="K163" s="85"/>
      <c r="L163" s="54" t="str">
        <f t="shared" si="31"/>
        <v>F</v>
      </c>
      <c r="M163" s="38" t="str">
        <f t="shared" si="34"/>
        <v/>
      </c>
      <c r="N163" s="69" t="str">
        <f t="shared" si="32"/>
        <v/>
      </c>
      <c r="O163" s="97"/>
      <c r="P163" s="98"/>
      <c r="Q163" s="99"/>
      <c r="R163" s="100"/>
      <c r="S163" s="86"/>
      <c r="U163" s="48" t="str">
        <f t="shared" si="33"/>
        <v/>
      </c>
      <c r="V163" s="16"/>
      <c r="W163" s="34"/>
      <c r="X163" s="35"/>
    </row>
    <row r="164" spans="11:24">
      <c r="K164" s="85"/>
      <c r="L164" s="54" t="str">
        <f t="shared" si="31"/>
        <v>F</v>
      </c>
      <c r="M164" s="38" t="str">
        <f t="shared" si="34"/>
        <v/>
      </c>
      <c r="N164" s="69" t="str">
        <f t="shared" si="32"/>
        <v/>
      </c>
      <c r="O164" s="97"/>
      <c r="P164" s="98"/>
      <c r="Q164" s="99"/>
      <c r="R164" s="100"/>
      <c r="S164" s="86"/>
      <c r="U164" s="48" t="str">
        <f t="shared" si="33"/>
        <v/>
      </c>
      <c r="V164" s="16"/>
      <c r="W164" s="34"/>
      <c r="X164" s="35"/>
    </row>
    <row r="165" spans="11:24">
      <c r="K165" s="85"/>
      <c r="L165" s="54" t="str">
        <f t="shared" si="31"/>
        <v>F</v>
      </c>
      <c r="M165" s="38" t="str">
        <f t="shared" si="34"/>
        <v/>
      </c>
      <c r="N165" s="69" t="str">
        <f t="shared" si="32"/>
        <v/>
      </c>
      <c r="O165" s="97"/>
      <c r="P165" s="98"/>
      <c r="Q165" s="99"/>
      <c r="R165" s="100"/>
      <c r="S165" s="86"/>
      <c r="U165" s="48" t="str">
        <f t="shared" si="33"/>
        <v/>
      </c>
      <c r="V165" s="16"/>
      <c r="W165" s="34"/>
      <c r="X165" s="35"/>
    </row>
    <row r="166" spans="11:24">
      <c r="K166" s="85"/>
      <c r="L166" s="54" t="str">
        <f t="shared" si="31"/>
        <v>F</v>
      </c>
      <c r="M166" s="38" t="str">
        <f t="shared" si="34"/>
        <v/>
      </c>
      <c r="N166" s="69" t="str">
        <f t="shared" si="32"/>
        <v/>
      </c>
      <c r="O166" s="97"/>
      <c r="P166" s="98"/>
      <c r="Q166" s="99"/>
      <c r="R166" s="100"/>
      <c r="S166" s="86"/>
      <c r="U166" s="48" t="str">
        <f t="shared" si="33"/>
        <v/>
      </c>
      <c r="V166" s="16"/>
      <c r="W166" s="34"/>
      <c r="X166" s="35"/>
    </row>
    <row r="167" spans="11:24">
      <c r="K167" s="85"/>
      <c r="L167" s="54" t="str">
        <f t="shared" si="31"/>
        <v>F</v>
      </c>
      <c r="M167" s="38" t="str">
        <f t="shared" si="34"/>
        <v/>
      </c>
      <c r="N167" s="69" t="str">
        <f t="shared" si="32"/>
        <v/>
      </c>
      <c r="O167" s="97"/>
      <c r="P167" s="98"/>
      <c r="Q167" s="99"/>
      <c r="R167" s="100"/>
      <c r="S167" s="86"/>
      <c r="U167" s="48" t="str">
        <f t="shared" si="33"/>
        <v/>
      </c>
      <c r="V167" s="16"/>
      <c r="W167" s="34"/>
      <c r="X167" s="35"/>
    </row>
    <row r="168" spans="11:24">
      <c r="K168" s="85"/>
      <c r="L168" s="54" t="str">
        <f t="shared" si="31"/>
        <v>F</v>
      </c>
      <c r="M168" s="38" t="str">
        <f t="shared" si="34"/>
        <v/>
      </c>
      <c r="N168" s="69" t="str">
        <f t="shared" si="32"/>
        <v/>
      </c>
      <c r="O168" s="97"/>
      <c r="P168" s="98"/>
      <c r="Q168" s="99"/>
      <c r="R168" s="100"/>
      <c r="S168" s="86"/>
      <c r="U168" s="48" t="str">
        <f t="shared" si="33"/>
        <v/>
      </c>
      <c r="V168" s="16"/>
      <c r="W168" s="34"/>
      <c r="X168" s="35"/>
    </row>
    <row r="169" spans="11:24">
      <c r="K169" s="85"/>
      <c r="L169" s="54" t="str">
        <f t="shared" si="31"/>
        <v>F</v>
      </c>
      <c r="M169" s="38" t="str">
        <f t="shared" si="34"/>
        <v/>
      </c>
      <c r="N169" s="69" t="str">
        <f t="shared" si="32"/>
        <v/>
      </c>
      <c r="O169" s="97"/>
      <c r="P169" s="98"/>
      <c r="Q169" s="99"/>
      <c r="R169" s="100"/>
      <c r="S169" s="86"/>
      <c r="U169" s="48" t="str">
        <f t="shared" si="33"/>
        <v/>
      </c>
      <c r="V169" s="16"/>
      <c r="W169" s="34"/>
      <c r="X169" s="35"/>
    </row>
    <row r="170" spans="11:24">
      <c r="K170" s="85"/>
      <c r="L170" s="54" t="str">
        <f t="shared" si="31"/>
        <v>F</v>
      </c>
      <c r="M170" s="38" t="str">
        <f t="shared" si="34"/>
        <v/>
      </c>
      <c r="N170" s="69" t="str">
        <f t="shared" si="32"/>
        <v/>
      </c>
      <c r="O170" s="97"/>
      <c r="P170" s="98"/>
      <c r="Q170" s="99"/>
      <c r="R170" s="100"/>
      <c r="S170" s="86"/>
      <c r="U170" s="48" t="str">
        <f t="shared" si="33"/>
        <v/>
      </c>
      <c r="V170" s="16"/>
      <c r="W170" s="34"/>
      <c r="X170" s="35"/>
    </row>
    <row r="171" spans="11:24">
      <c r="K171" s="85"/>
      <c r="L171" s="54" t="str">
        <f t="shared" si="31"/>
        <v>F</v>
      </c>
      <c r="M171" s="38" t="str">
        <f t="shared" si="34"/>
        <v/>
      </c>
      <c r="N171" s="69" t="str">
        <f t="shared" si="32"/>
        <v/>
      </c>
      <c r="O171" s="97"/>
      <c r="P171" s="98"/>
      <c r="Q171" s="99"/>
      <c r="R171" s="100"/>
      <c r="S171" s="86"/>
      <c r="U171" s="48" t="str">
        <f t="shared" si="33"/>
        <v/>
      </c>
      <c r="V171" s="16"/>
      <c r="W171" s="34"/>
      <c r="X171" s="35"/>
    </row>
    <row r="172" spans="11:24">
      <c r="K172" s="85"/>
      <c r="L172" s="54" t="str">
        <f t="shared" si="31"/>
        <v>F</v>
      </c>
      <c r="M172" s="38" t="str">
        <f t="shared" si="34"/>
        <v/>
      </c>
      <c r="N172" s="69" t="str">
        <f t="shared" si="32"/>
        <v/>
      </c>
      <c r="O172" s="97"/>
      <c r="P172" s="98"/>
      <c r="Q172" s="99"/>
      <c r="R172" s="100"/>
      <c r="S172" s="86"/>
      <c r="U172" s="48" t="str">
        <f t="shared" si="33"/>
        <v/>
      </c>
      <c r="V172" s="16"/>
      <c r="W172" s="34"/>
      <c r="X172" s="35"/>
    </row>
    <row r="173" spans="11:24">
      <c r="K173" s="85"/>
      <c r="L173" s="54" t="str">
        <f t="shared" si="31"/>
        <v>F</v>
      </c>
      <c r="M173" s="38" t="str">
        <f t="shared" si="34"/>
        <v/>
      </c>
      <c r="N173" s="69" t="str">
        <f t="shared" si="32"/>
        <v/>
      </c>
      <c r="O173" s="97"/>
      <c r="P173" s="98"/>
      <c r="Q173" s="99"/>
      <c r="R173" s="100"/>
      <c r="S173" s="86"/>
      <c r="U173" s="48" t="str">
        <f t="shared" si="33"/>
        <v/>
      </c>
      <c r="V173" s="16"/>
      <c r="W173" s="34"/>
      <c r="X173" s="35"/>
    </row>
    <row r="174" spans="11:24">
      <c r="K174" s="85"/>
      <c r="L174" s="54" t="str">
        <f t="shared" si="31"/>
        <v>F</v>
      </c>
      <c r="M174" s="38" t="str">
        <f t="shared" si="34"/>
        <v/>
      </c>
      <c r="N174" s="69" t="str">
        <f t="shared" si="32"/>
        <v/>
      </c>
      <c r="O174" s="97"/>
      <c r="P174" s="98"/>
      <c r="Q174" s="99"/>
      <c r="R174" s="100"/>
      <c r="S174" s="86"/>
      <c r="U174" s="48" t="str">
        <f t="shared" si="33"/>
        <v/>
      </c>
      <c r="V174" s="16"/>
      <c r="W174" s="34"/>
      <c r="X174" s="35"/>
    </row>
    <row r="175" spans="11:24">
      <c r="K175" s="85"/>
      <c r="L175" s="54" t="str">
        <f t="shared" si="31"/>
        <v>F</v>
      </c>
      <c r="M175" s="38" t="str">
        <f t="shared" si="34"/>
        <v/>
      </c>
      <c r="N175" s="69" t="str">
        <f t="shared" si="32"/>
        <v/>
      </c>
      <c r="O175" s="97"/>
      <c r="P175" s="98"/>
      <c r="Q175" s="99"/>
      <c r="R175" s="100"/>
      <c r="S175" s="86"/>
      <c r="U175" s="48" t="str">
        <f t="shared" si="33"/>
        <v/>
      </c>
      <c r="V175" s="16"/>
      <c r="W175" s="34"/>
      <c r="X175" s="35"/>
    </row>
    <row r="176" spans="11:24">
      <c r="K176" s="85"/>
      <c r="L176" s="54" t="str">
        <f t="shared" si="31"/>
        <v>F</v>
      </c>
      <c r="M176" s="38" t="str">
        <f t="shared" si="34"/>
        <v/>
      </c>
      <c r="N176" s="69" t="str">
        <f t="shared" si="32"/>
        <v/>
      </c>
      <c r="O176" s="97"/>
      <c r="P176" s="98"/>
      <c r="Q176" s="99"/>
      <c r="R176" s="100"/>
      <c r="S176" s="86"/>
      <c r="U176" s="48" t="str">
        <f t="shared" si="33"/>
        <v/>
      </c>
      <c r="V176" s="16"/>
      <c r="W176" s="34"/>
      <c r="X176" s="35"/>
    </row>
    <row r="177" spans="11:24">
      <c r="K177" s="85"/>
      <c r="L177" s="54" t="str">
        <f t="shared" si="31"/>
        <v>F</v>
      </c>
      <c r="M177" s="38" t="str">
        <f t="shared" si="34"/>
        <v/>
      </c>
      <c r="N177" s="69" t="str">
        <f t="shared" si="32"/>
        <v/>
      </c>
      <c r="O177" s="97"/>
      <c r="P177" s="98"/>
      <c r="Q177" s="99"/>
      <c r="R177" s="100"/>
      <c r="S177" s="86"/>
      <c r="U177" s="48" t="str">
        <f t="shared" si="33"/>
        <v/>
      </c>
      <c r="V177" s="16"/>
      <c r="W177" s="34"/>
      <c r="X177" s="35"/>
    </row>
    <row r="178" spans="11:24">
      <c r="K178" s="85"/>
      <c r="L178" s="54" t="str">
        <f t="shared" si="31"/>
        <v>F</v>
      </c>
      <c r="M178" s="38" t="str">
        <f t="shared" si="34"/>
        <v/>
      </c>
      <c r="N178" s="69" t="str">
        <f t="shared" si="32"/>
        <v/>
      </c>
      <c r="O178" s="97"/>
      <c r="P178" s="98"/>
      <c r="Q178" s="99"/>
      <c r="R178" s="100"/>
      <c r="S178" s="86"/>
      <c r="U178" s="48" t="str">
        <f t="shared" si="33"/>
        <v/>
      </c>
      <c r="V178" s="16"/>
      <c r="W178" s="34"/>
      <c r="X178" s="35"/>
    </row>
    <row r="179" spans="11:24">
      <c r="K179" s="85"/>
      <c r="L179" s="54" t="str">
        <f t="shared" si="31"/>
        <v>F</v>
      </c>
      <c r="M179" s="38" t="str">
        <f t="shared" si="34"/>
        <v/>
      </c>
      <c r="N179" s="69" t="str">
        <f t="shared" si="32"/>
        <v/>
      </c>
      <c r="O179" s="97"/>
      <c r="P179" s="98"/>
      <c r="Q179" s="99"/>
      <c r="R179" s="100"/>
      <c r="S179" s="86"/>
      <c r="U179" s="48" t="str">
        <f t="shared" si="33"/>
        <v/>
      </c>
      <c r="V179" s="16"/>
      <c r="W179" s="34"/>
      <c r="X179" s="35"/>
    </row>
    <row r="180" spans="11:24">
      <c r="K180" s="85"/>
      <c r="L180" s="54" t="str">
        <f t="shared" si="31"/>
        <v>F</v>
      </c>
      <c r="M180" s="38" t="str">
        <f t="shared" si="34"/>
        <v/>
      </c>
      <c r="N180" s="69" t="str">
        <f t="shared" si="32"/>
        <v/>
      </c>
      <c r="O180" s="97"/>
      <c r="P180" s="98"/>
      <c r="Q180" s="99"/>
      <c r="R180" s="100"/>
      <c r="S180" s="86"/>
      <c r="U180" s="48" t="str">
        <f t="shared" si="33"/>
        <v/>
      </c>
      <c r="V180" s="16"/>
      <c r="W180" s="34"/>
      <c r="X180" s="35"/>
    </row>
    <row r="181" spans="11:24">
      <c r="K181" s="85"/>
      <c r="L181" s="54" t="str">
        <f t="shared" si="31"/>
        <v>F</v>
      </c>
      <c r="M181" s="38" t="str">
        <f t="shared" si="34"/>
        <v/>
      </c>
      <c r="N181" s="69" t="str">
        <f t="shared" si="32"/>
        <v/>
      </c>
      <c r="O181" s="97"/>
      <c r="P181" s="98"/>
      <c r="Q181" s="99"/>
      <c r="R181" s="100"/>
      <c r="S181" s="86"/>
      <c r="U181" s="48" t="str">
        <f t="shared" si="33"/>
        <v/>
      </c>
      <c r="V181" s="16"/>
      <c r="W181" s="34"/>
      <c r="X181" s="35"/>
    </row>
    <row r="182" spans="11:24">
      <c r="K182" s="85"/>
      <c r="L182" s="54" t="str">
        <f t="shared" si="31"/>
        <v>F</v>
      </c>
      <c r="M182" s="38" t="str">
        <f t="shared" si="34"/>
        <v/>
      </c>
      <c r="N182" s="69" t="str">
        <f t="shared" si="32"/>
        <v/>
      </c>
      <c r="O182" s="97"/>
      <c r="P182" s="98"/>
      <c r="Q182" s="99"/>
      <c r="R182" s="100"/>
      <c r="S182" s="86"/>
      <c r="U182" s="48" t="str">
        <f t="shared" si="33"/>
        <v/>
      </c>
      <c r="V182" s="16"/>
      <c r="W182" s="34"/>
      <c r="X182" s="35"/>
    </row>
    <row r="183" spans="11:24">
      <c r="K183" s="85"/>
      <c r="L183" s="54" t="str">
        <f t="shared" si="31"/>
        <v>F</v>
      </c>
      <c r="M183" s="38" t="str">
        <f t="shared" si="34"/>
        <v/>
      </c>
      <c r="N183" s="69" t="str">
        <f t="shared" si="32"/>
        <v/>
      </c>
      <c r="O183" s="97"/>
      <c r="P183" s="98"/>
      <c r="Q183" s="99"/>
      <c r="R183" s="100"/>
      <c r="S183" s="86"/>
      <c r="U183" s="48" t="str">
        <f t="shared" si="33"/>
        <v/>
      </c>
      <c r="V183" s="16"/>
      <c r="W183" s="34"/>
      <c r="X183" s="35"/>
    </row>
    <row r="184" spans="11:24">
      <c r="K184" s="85"/>
      <c r="L184" s="54" t="str">
        <f t="shared" si="31"/>
        <v>F</v>
      </c>
      <c r="M184" s="38" t="str">
        <f t="shared" si="34"/>
        <v/>
      </c>
      <c r="N184" s="69" t="str">
        <f t="shared" si="32"/>
        <v/>
      </c>
      <c r="O184" s="97"/>
      <c r="P184" s="98"/>
      <c r="Q184" s="99"/>
      <c r="R184" s="100"/>
      <c r="S184" s="86"/>
      <c r="U184" s="48" t="str">
        <f t="shared" si="33"/>
        <v/>
      </c>
      <c r="V184" s="16"/>
      <c r="W184" s="34"/>
      <c r="X184" s="35"/>
    </row>
    <row r="185" spans="11:24">
      <c r="K185" s="85"/>
      <c r="L185" s="54" t="str">
        <f t="shared" si="31"/>
        <v>F</v>
      </c>
      <c r="M185" s="38" t="str">
        <f t="shared" si="34"/>
        <v/>
      </c>
      <c r="N185" s="69" t="str">
        <f t="shared" si="32"/>
        <v/>
      </c>
      <c r="O185" s="97"/>
      <c r="P185" s="98"/>
      <c r="Q185" s="99"/>
      <c r="R185" s="100"/>
      <c r="S185" s="86"/>
      <c r="U185" s="48" t="str">
        <f t="shared" si="33"/>
        <v/>
      </c>
      <c r="V185" s="16"/>
      <c r="W185" s="34"/>
      <c r="X185" s="35"/>
    </row>
    <row r="186" spans="11:24">
      <c r="K186" s="85"/>
      <c r="L186" s="54" t="str">
        <f t="shared" si="31"/>
        <v>F</v>
      </c>
      <c r="M186" s="38" t="str">
        <f t="shared" si="34"/>
        <v/>
      </c>
      <c r="N186" s="69" t="str">
        <f t="shared" si="32"/>
        <v/>
      </c>
      <c r="O186" s="97"/>
      <c r="P186" s="98"/>
      <c r="Q186" s="99"/>
      <c r="R186" s="100"/>
      <c r="S186" s="86"/>
      <c r="U186" s="48" t="str">
        <f t="shared" si="33"/>
        <v/>
      </c>
      <c r="V186" s="16"/>
      <c r="W186" s="34"/>
      <c r="X186" s="35"/>
    </row>
    <row r="187" spans="11:24">
      <c r="K187" s="85"/>
      <c r="L187" s="54" t="str">
        <f t="shared" si="31"/>
        <v>F</v>
      </c>
      <c r="M187" s="38" t="str">
        <f t="shared" si="34"/>
        <v/>
      </c>
      <c r="N187" s="69" t="str">
        <f t="shared" si="32"/>
        <v/>
      </c>
      <c r="O187" s="97"/>
      <c r="P187" s="98"/>
      <c r="Q187" s="99"/>
      <c r="R187" s="100"/>
      <c r="S187" s="86"/>
      <c r="U187" s="48" t="str">
        <f t="shared" si="33"/>
        <v/>
      </c>
      <c r="V187" s="16"/>
      <c r="W187" s="34"/>
      <c r="X187" s="35"/>
    </row>
    <row r="188" spans="11:24">
      <c r="K188" s="85"/>
      <c r="L188" s="54" t="str">
        <f t="shared" si="31"/>
        <v>F</v>
      </c>
      <c r="M188" s="38" t="str">
        <f t="shared" si="34"/>
        <v/>
      </c>
      <c r="N188" s="69" t="str">
        <f t="shared" si="32"/>
        <v/>
      </c>
      <c r="O188" s="97"/>
      <c r="P188" s="98"/>
      <c r="Q188" s="99"/>
      <c r="R188" s="100"/>
      <c r="S188" s="86"/>
      <c r="U188" s="48" t="str">
        <f t="shared" si="33"/>
        <v/>
      </c>
      <c r="V188" s="16"/>
      <c r="W188" s="34"/>
      <c r="X188" s="35"/>
    </row>
    <row r="189" spans="11:24">
      <c r="K189" s="85"/>
      <c r="L189" s="54" t="str">
        <f t="shared" si="31"/>
        <v>F</v>
      </c>
      <c r="M189" s="38" t="str">
        <f t="shared" si="34"/>
        <v/>
      </c>
      <c r="N189" s="69" t="str">
        <f t="shared" si="32"/>
        <v/>
      </c>
      <c r="O189" s="97"/>
      <c r="P189" s="98"/>
      <c r="Q189" s="99"/>
      <c r="R189" s="100"/>
      <c r="S189" s="86"/>
      <c r="U189" s="48" t="str">
        <f t="shared" si="33"/>
        <v/>
      </c>
      <c r="V189" s="16"/>
      <c r="W189" s="34"/>
      <c r="X189" s="35"/>
    </row>
    <row r="190" spans="11:24">
      <c r="K190" s="85"/>
      <c r="L190" s="54" t="str">
        <f t="shared" si="31"/>
        <v>F</v>
      </c>
      <c r="M190" s="38" t="str">
        <f t="shared" si="34"/>
        <v/>
      </c>
      <c r="N190" s="69" t="str">
        <f t="shared" si="32"/>
        <v/>
      </c>
      <c r="O190" s="97"/>
      <c r="P190" s="98"/>
      <c r="Q190" s="99"/>
      <c r="R190" s="100"/>
      <c r="S190" s="86"/>
      <c r="U190" s="48" t="str">
        <f t="shared" si="33"/>
        <v/>
      </c>
      <c r="V190" s="16"/>
      <c r="W190" s="34"/>
      <c r="X190" s="35"/>
    </row>
    <row r="191" spans="11:24">
      <c r="K191" s="85"/>
      <c r="L191" s="54" t="str">
        <f t="shared" si="31"/>
        <v>F</v>
      </c>
      <c r="M191" s="38" t="str">
        <f t="shared" si="34"/>
        <v/>
      </c>
      <c r="N191" s="69" t="str">
        <f t="shared" si="32"/>
        <v/>
      </c>
      <c r="O191" s="97"/>
      <c r="P191" s="98"/>
      <c r="Q191" s="99"/>
      <c r="R191" s="100"/>
      <c r="S191" s="86"/>
      <c r="U191" s="48" t="str">
        <f t="shared" si="33"/>
        <v/>
      </c>
      <c r="V191" s="16"/>
      <c r="W191" s="34"/>
      <c r="X191" s="35"/>
    </row>
    <row r="192" spans="11:24">
      <c r="K192" s="85"/>
      <c r="L192" s="54" t="str">
        <f t="shared" si="31"/>
        <v>F</v>
      </c>
      <c r="M192" s="38" t="str">
        <f t="shared" si="34"/>
        <v/>
      </c>
      <c r="N192" s="69" t="str">
        <f t="shared" si="32"/>
        <v/>
      </c>
      <c r="O192" s="97"/>
      <c r="P192" s="98"/>
      <c r="Q192" s="99"/>
      <c r="R192" s="100"/>
      <c r="S192" s="86"/>
      <c r="U192" s="48" t="str">
        <f t="shared" si="33"/>
        <v/>
      </c>
      <c r="V192" s="16"/>
      <c r="W192" s="34"/>
      <c r="X192" s="35"/>
    </row>
    <row r="193" spans="11:24">
      <c r="K193" s="85"/>
      <c r="L193" s="54" t="str">
        <f t="shared" si="31"/>
        <v>F</v>
      </c>
      <c r="M193" s="38" t="str">
        <f t="shared" si="34"/>
        <v/>
      </c>
      <c r="N193" s="69" t="str">
        <f t="shared" si="32"/>
        <v/>
      </c>
      <c r="O193" s="97"/>
      <c r="P193" s="98"/>
      <c r="Q193" s="99"/>
      <c r="R193" s="100"/>
      <c r="S193" s="86"/>
      <c r="U193" s="48" t="str">
        <f t="shared" si="33"/>
        <v/>
      </c>
      <c r="V193" s="16"/>
      <c r="W193" s="34"/>
      <c r="X193" s="35"/>
    </row>
    <row r="194" spans="11:24">
      <c r="K194" s="85"/>
      <c r="L194" s="54" t="str">
        <f t="shared" si="31"/>
        <v>F</v>
      </c>
      <c r="M194" s="38" t="str">
        <f t="shared" si="34"/>
        <v/>
      </c>
      <c r="N194" s="69" t="str">
        <f t="shared" si="32"/>
        <v/>
      </c>
      <c r="O194" s="97"/>
      <c r="P194" s="98"/>
      <c r="Q194" s="99"/>
      <c r="R194" s="100"/>
      <c r="S194" s="86"/>
      <c r="U194" s="48" t="str">
        <f t="shared" si="33"/>
        <v/>
      </c>
      <c r="V194" s="16"/>
      <c r="W194" s="34"/>
      <c r="X194" s="35"/>
    </row>
    <row r="195" spans="11:24">
      <c r="K195" s="85"/>
      <c r="L195" s="54" t="str">
        <f t="shared" si="31"/>
        <v>F</v>
      </c>
      <c r="M195" s="38" t="str">
        <f t="shared" si="34"/>
        <v/>
      </c>
      <c r="N195" s="69" t="str">
        <f t="shared" si="32"/>
        <v/>
      </c>
      <c r="O195" s="97"/>
      <c r="P195" s="98"/>
      <c r="Q195" s="99"/>
      <c r="R195" s="100"/>
      <c r="S195" s="86"/>
      <c r="U195" s="48" t="str">
        <f t="shared" si="33"/>
        <v/>
      </c>
      <c r="V195" s="16"/>
      <c r="W195" s="34"/>
      <c r="X195" s="35"/>
    </row>
    <row r="196" spans="11:24">
      <c r="K196" s="85"/>
      <c r="L196" s="54" t="str">
        <f t="shared" si="31"/>
        <v>F</v>
      </c>
      <c r="M196" s="38" t="str">
        <f t="shared" si="34"/>
        <v/>
      </c>
      <c r="N196" s="69" t="str">
        <f t="shared" si="32"/>
        <v/>
      </c>
      <c r="O196" s="97"/>
      <c r="P196" s="98"/>
      <c r="Q196" s="99"/>
      <c r="R196" s="100"/>
      <c r="S196" s="86"/>
      <c r="U196" s="48" t="str">
        <f t="shared" si="33"/>
        <v/>
      </c>
      <c r="V196" s="16"/>
      <c r="W196" s="34"/>
      <c r="X196" s="35"/>
    </row>
    <row r="197" spans="11:24">
      <c r="K197" s="85"/>
      <c r="L197" s="54" t="str">
        <f t="shared" si="31"/>
        <v>F</v>
      </c>
      <c r="M197" s="38" t="str">
        <f t="shared" si="34"/>
        <v/>
      </c>
      <c r="N197" s="69" t="str">
        <f t="shared" si="32"/>
        <v/>
      </c>
      <c r="O197" s="97"/>
      <c r="P197" s="98"/>
      <c r="Q197" s="99"/>
      <c r="R197" s="100"/>
      <c r="S197" s="86"/>
      <c r="U197" s="48" t="str">
        <f t="shared" si="33"/>
        <v/>
      </c>
      <c r="V197" s="16"/>
      <c r="W197" s="34"/>
      <c r="X197" s="35"/>
    </row>
    <row r="198" spans="11:24">
      <c r="K198" s="85"/>
      <c r="L198" s="54" t="str">
        <f t="shared" si="31"/>
        <v>F</v>
      </c>
      <c r="M198" s="38" t="str">
        <f t="shared" si="34"/>
        <v/>
      </c>
      <c r="N198" s="69" t="str">
        <f t="shared" si="32"/>
        <v/>
      </c>
      <c r="O198" s="97"/>
      <c r="P198" s="98"/>
      <c r="Q198" s="99"/>
      <c r="R198" s="100"/>
      <c r="S198" s="86"/>
      <c r="U198" s="48" t="str">
        <f t="shared" si="33"/>
        <v/>
      </c>
      <c r="V198" s="16"/>
      <c r="W198" s="34"/>
      <c r="X198" s="35"/>
    </row>
    <row r="199" spans="11:24">
      <c r="K199" s="85"/>
      <c r="L199" s="54" t="str">
        <f t="shared" si="31"/>
        <v>F</v>
      </c>
      <c r="M199" s="38" t="str">
        <f t="shared" si="34"/>
        <v/>
      </c>
      <c r="N199" s="69" t="str">
        <f t="shared" si="32"/>
        <v/>
      </c>
      <c r="O199" s="97"/>
      <c r="P199" s="98"/>
      <c r="Q199" s="99"/>
      <c r="R199" s="100"/>
      <c r="S199" s="86"/>
      <c r="U199" s="48" t="str">
        <f t="shared" si="33"/>
        <v/>
      </c>
      <c r="V199" s="16"/>
      <c r="W199" s="34"/>
      <c r="X199" s="35"/>
    </row>
    <row r="200" spans="11:24">
      <c r="K200" s="85"/>
      <c r="L200" s="54" t="str">
        <f t="shared" si="31"/>
        <v>F</v>
      </c>
      <c r="M200" s="38" t="str">
        <f t="shared" si="34"/>
        <v/>
      </c>
      <c r="N200" s="69" t="str">
        <f t="shared" si="32"/>
        <v/>
      </c>
      <c r="O200" s="97"/>
      <c r="P200" s="98"/>
      <c r="Q200" s="99"/>
      <c r="R200" s="100"/>
      <c r="S200" s="86"/>
      <c r="U200" s="48" t="str">
        <f t="shared" si="33"/>
        <v/>
      </c>
      <c r="V200" s="16"/>
      <c r="W200" s="34"/>
      <c r="X200" s="35"/>
    </row>
    <row r="201" spans="11:24">
      <c r="K201" s="85"/>
      <c r="L201" s="54" t="str">
        <f t="shared" ref="L201:L264" si="35">IF(UPPER(P201)="EQU","E",IF(P201="DB","D",IF(O201&lt;&gt;"","L",IF(N201="","F",""))))</f>
        <v>F</v>
      </c>
      <c r="M201" s="38" t="str">
        <f t="shared" si="34"/>
        <v/>
      </c>
      <c r="N201" s="69" t="str">
        <f t="shared" ref="N201:N264" si="36">IFERROR(IF(N200+1&lt;=HEX2DEC(MemSize)+HEX2DEC(MemStart),N200+1,""),"")</f>
        <v/>
      </c>
      <c r="O201" s="97"/>
      <c r="P201" s="98"/>
      <c r="Q201" s="99"/>
      <c r="R201" s="100"/>
      <c r="S201" s="86"/>
      <c r="U201" s="48" t="str">
        <f t="shared" ref="U201:U264" si="37">IF(V201&gt;0,RIGHT("0000"&amp;DEC2HEX(V201),4),"")</f>
        <v/>
      </c>
      <c r="V201" s="16"/>
      <c r="W201" s="34"/>
      <c r="X201" s="35"/>
    </row>
    <row r="202" spans="11:24">
      <c r="K202" s="85"/>
      <c r="L202" s="54" t="str">
        <f t="shared" si="35"/>
        <v>F</v>
      </c>
      <c r="M202" s="38" t="str">
        <f t="shared" si="34"/>
        <v/>
      </c>
      <c r="N202" s="69" t="str">
        <f t="shared" si="36"/>
        <v/>
      </c>
      <c r="O202" s="97"/>
      <c r="P202" s="98"/>
      <c r="Q202" s="99"/>
      <c r="R202" s="100"/>
      <c r="S202" s="86"/>
      <c r="U202" s="48" t="str">
        <f t="shared" si="37"/>
        <v/>
      </c>
      <c r="V202" s="16"/>
      <c r="W202" s="34"/>
      <c r="X202" s="35"/>
    </row>
    <row r="203" spans="11:24">
      <c r="K203" s="85"/>
      <c r="L203" s="54" t="str">
        <f t="shared" si="35"/>
        <v>F</v>
      </c>
      <c r="M203" s="38" t="str">
        <f t="shared" si="34"/>
        <v/>
      </c>
      <c r="N203" s="69" t="str">
        <f t="shared" si="36"/>
        <v/>
      </c>
      <c r="O203" s="97"/>
      <c r="P203" s="98"/>
      <c r="Q203" s="99"/>
      <c r="R203" s="100"/>
      <c r="S203" s="86"/>
      <c r="U203" s="48" t="str">
        <f t="shared" si="37"/>
        <v/>
      </c>
      <c r="V203" s="16"/>
      <c r="W203" s="34"/>
      <c r="X203" s="35"/>
    </row>
    <row r="204" spans="11:24">
      <c r="K204" s="85"/>
      <c r="L204" s="54" t="str">
        <f t="shared" si="35"/>
        <v>F</v>
      </c>
      <c r="M204" s="38" t="str">
        <f t="shared" si="34"/>
        <v/>
      </c>
      <c r="N204" s="69" t="str">
        <f t="shared" si="36"/>
        <v/>
      </c>
      <c r="O204" s="97"/>
      <c r="P204" s="98"/>
      <c r="Q204" s="99"/>
      <c r="R204" s="100"/>
      <c r="S204" s="86"/>
      <c r="U204" s="48" t="str">
        <f t="shared" si="37"/>
        <v/>
      </c>
      <c r="V204" s="16"/>
      <c r="W204" s="34"/>
      <c r="X204" s="35"/>
    </row>
    <row r="205" spans="11:24">
      <c r="K205" s="85"/>
      <c r="L205" s="54" t="str">
        <f t="shared" si="35"/>
        <v>F</v>
      </c>
      <c r="M205" s="38" t="str">
        <f t="shared" si="34"/>
        <v/>
      </c>
      <c r="N205" s="69" t="str">
        <f t="shared" si="36"/>
        <v/>
      </c>
      <c r="O205" s="97"/>
      <c r="P205" s="98"/>
      <c r="Q205" s="99"/>
      <c r="R205" s="100"/>
      <c r="S205" s="86"/>
      <c r="U205" s="48" t="str">
        <f t="shared" si="37"/>
        <v/>
      </c>
      <c r="V205" s="16"/>
      <c r="W205" s="34"/>
      <c r="X205" s="35"/>
    </row>
    <row r="206" spans="11:24">
      <c r="K206" s="85"/>
      <c r="L206" s="54" t="str">
        <f t="shared" si="35"/>
        <v>F</v>
      </c>
      <c r="M206" s="38" t="str">
        <f t="shared" si="34"/>
        <v/>
      </c>
      <c r="N206" s="69" t="str">
        <f t="shared" si="36"/>
        <v/>
      </c>
      <c r="O206" s="97"/>
      <c r="P206" s="98"/>
      <c r="Q206" s="99"/>
      <c r="R206" s="100"/>
      <c r="S206" s="86"/>
      <c r="U206" s="48" t="str">
        <f t="shared" si="37"/>
        <v/>
      </c>
      <c r="V206" s="16"/>
      <c r="W206" s="34"/>
      <c r="X206" s="35"/>
    </row>
    <row r="207" spans="11:24">
      <c r="K207" s="85"/>
      <c r="L207" s="54" t="str">
        <f t="shared" si="35"/>
        <v>F</v>
      </c>
      <c r="M207" s="38" t="str">
        <f t="shared" si="34"/>
        <v/>
      </c>
      <c r="N207" s="69" t="str">
        <f t="shared" si="36"/>
        <v/>
      </c>
      <c r="O207" s="97"/>
      <c r="P207" s="98"/>
      <c r="Q207" s="99"/>
      <c r="R207" s="100"/>
      <c r="S207" s="86"/>
      <c r="U207" s="48" t="str">
        <f t="shared" si="37"/>
        <v/>
      </c>
      <c r="V207" s="16"/>
      <c r="W207" s="34"/>
      <c r="X207" s="35"/>
    </row>
    <row r="208" spans="11:24">
      <c r="K208" s="85"/>
      <c r="L208" s="54" t="str">
        <f t="shared" si="35"/>
        <v>F</v>
      </c>
      <c r="M208" s="38" t="str">
        <f t="shared" si="34"/>
        <v/>
      </c>
      <c r="N208" s="69" t="str">
        <f t="shared" si="36"/>
        <v/>
      </c>
      <c r="O208" s="97"/>
      <c r="P208" s="98"/>
      <c r="Q208" s="99"/>
      <c r="R208" s="100"/>
      <c r="S208" s="86"/>
      <c r="U208" s="48" t="str">
        <f t="shared" si="37"/>
        <v/>
      </c>
      <c r="V208" s="16"/>
      <c r="W208" s="34"/>
      <c r="X208" s="35"/>
    </row>
    <row r="209" spans="11:24">
      <c r="K209" s="85"/>
      <c r="L209" s="54" t="str">
        <f t="shared" si="35"/>
        <v>F</v>
      </c>
      <c r="M209" s="38" t="str">
        <f t="shared" si="34"/>
        <v/>
      </c>
      <c r="N209" s="69" t="str">
        <f t="shared" si="36"/>
        <v/>
      </c>
      <c r="O209" s="97"/>
      <c r="P209" s="98"/>
      <c r="Q209" s="99"/>
      <c r="R209" s="100"/>
      <c r="S209" s="86"/>
      <c r="U209" s="48" t="str">
        <f t="shared" si="37"/>
        <v/>
      </c>
      <c r="V209" s="16"/>
      <c r="W209" s="34"/>
      <c r="X209" s="35"/>
    </row>
    <row r="210" spans="11:24">
      <c r="K210" s="85"/>
      <c r="L210" s="54" t="str">
        <f t="shared" si="35"/>
        <v>F</v>
      </c>
      <c r="M210" s="38" t="str">
        <f t="shared" si="34"/>
        <v/>
      </c>
      <c r="N210" s="69" t="str">
        <f t="shared" si="36"/>
        <v/>
      </c>
      <c r="O210" s="97"/>
      <c r="P210" s="98"/>
      <c r="Q210" s="99"/>
      <c r="R210" s="100"/>
      <c r="S210" s="86"/>
      <c r="U210" s="48" t="str">
        <f t="shared" si="37"/>
        <v/>
      </c>
      <c r="V210" s="16"/>
      <c r="W210" s="34"/>
      <c r="X210" s="35"/>
    </row>
    <row r="211" spans="11:24">
      <c r="K211" s="85"/>
      <c r="L211" s="54" t="str">
        <f t="shared" si="35"/>
        <v>F</v>
      </c>
      <c r="M211" s="38" t="str">
        <f t="shared" si="34"/>
        <v/>
      </c>
      <c r="N211" s="69" t="str">
        <f t="shared" si="36"/>
        <v/>
      </c>
      <c r="O211" s="97"/>
      <c r="P211" s="98"/>
      <c r="Q211" s="99"/>
      <c r="R211" s="100"/>
      <c r="S211" s="86"/>
      <c r="U211" s="48" t="str">
        <f t="shared" si="37"/>
        <v/>
      </c>
      <c r="V211" s="16"/>
      <c r="W211" s="34"/>
      <c r="X211" s="35"/>
    </row>
    <row r="212" spans="11:24">
      <c r="K212" s="85"/>
      <c r="L212" s="54" t="str">
        <f t="shared" si="35"/>
        <v>F</v>
      </c>
      <c r="M212" s="38" t="str">
        <f t="shared" si="34"/>
        <v/>
      </c>
      <c r="N212" s="69" t="str">
        <f t="shared" si="36"/>
        <v/>
      </c>
      <c r="O212" s="97"/>
      <c r="P212" s="98"/>
      <c r="Q212" s="99"/>
      <c r="R212" s="100"/>
      <c r="S212" s="86"/>
      <c r="U212" s="48" t="str">
        <f t="shared" si="37"/>
        <v/>
      </c>
      <c r="V212" s="16"/>
      <c r="W212" s="34"/>
      <c r="X212" s="35"/>
    </row>
    <row r="213" spans="11:24">
      <c r="K213" s="85"/>
      <c r="L213" s="54" t="str">
        <f t="shared" si="35"/>
        <v>F</v>
      </c>
      <c r="M213" s="38" t="str">
        <f t="shared" si="34"/>
        <v/>
      </c>
      <c r="N213" s="69" t="str">
        <f t="shared" si="36"/>
        <v/>
      </c>
      <c r="O213" s="97"/>
      <c r="P213" s="98"/>
      <c r="Q213" s="99"/>
      <c r="R213" s="100"/>
      <c r="S213" s="86"/>
      <c r="U213" s="48" t="str">
        <f t="shared" si="37"/>
        <v/>
      </c>
      <c r="V213" s="16"/>
      <c r="W213" s="34"/>
      <c r="X213" s="35"/>
    </row>
    <row r="214" spans="11:24">
      <c r="K214" s="85"/>
      <c r="L214" s="54" t="str">
        <f t="shared" si="35"/>
        <v>F</v>
      </c>
      <c r="M214" s="38" t="str">
        <f t="shared" si="34"/>
        <v/>
      </c>
      <c r="N214" s="69" t="str">
        <f t="shared" si="36"/>
        <v/>
      </c>
      <c r="O214" s="97"/>
      <c r="P214" s="98"/>
      <c r="Q214" s="99"/>
      <c r="R214" s="100"/>
      <c r="S214" s="86"/>
      <c r="U214" s="48" t="str">
        <f t="shared" si="37"/>
        <v/>
      </c>
      <c r="V214" s="16"/>
      <c r="W214" s="34"/>
      <c r="X214" s="35"/>
    </row>
    <row r="215" spans="11:24">
      <c r="K215" s="85"/>
      <c r="L215" s="54" t="str">
        <f t="shared" si="35"/>
        <v>F</v>
      </c>
      <c r="M215" s="38" t="str">
        <f t="shared" si="34"/>
        <v/>
      </c>
      <c r="N215" s="69" t="str">
        <f t="shared" si="36"/>
        <v/>
      </c>
      <c r="O215" s="97"/>
      <c r="P215" s="98"/>
      <c r="Q215" s="99"/>
      <c r="R215" s="100"/>
      <c r="S215" s="86"/>
      <c r="U215" s="48" t="str">
        <f t="shared" si="37"/>
        <v/>
      </c>
      <c r="V215" s="16"/>
      <c r="W215" s="34"/>
      <c r="X215" s="35"/>
    </row>
    <row r="216" spans="11:24">
      <c r="K216" s="85"/>
      <c r="L216" s="54" t="str">
        <f t="shared" si="35"/>
        <v>F</v>
      </c>
      <c r="M216" s="38" t="str">
        <f t="shared" si="34"/>
        <v/>
      </c>
      <c r="N216" s="69" t="str">
        <f t="shared" si="36"/>
        <v/>
      </c>
      <c r="O216" s="97"/>
      <c r="P216" s="98"/>
      <c r="Q216" s="99"/>
      <c r="R216" s="100"/>
      <c r="S216" s="86"/>
      <c r="U216" s="48" t="str">
        <f t="shared" si="37"/>
        <v/>
      </c>
      <c r="V216" s="16"/>
      <c r="W216" s="34"/>
      <c r="X216" s="35"/>
    </row>
    <row r="217" spans="11:24">
      <c r="K217" s="85"/>
      <c r="L217" s="54" t="str">
        <f t="shared" si="35"/>
        <v>F</v>
      </c>
      <c r="M217" s="38" t="str">
        <f t="shared" si="34"/>
        <v/>
      </c>
      <c r="N217" s="69" t="str">
        <f t="shared" si="36"/>
        <v/>
      </c>
      <c r="O217" s="97"/>
      <c r="P217" s="98"/>
      <c r="Q217" s="99"/>
      <c r="R217" s="100"/>
      <c r="S217" s="86"/>
      <c r="U217" s="48" t="str">
        <f t="shared" si="37"/>
        <v/>
      </c>
      <c r="V217" s="16"/>
      <c r="W217" s="34"/>
      <c r="X217" s="35"/>
    </row>
    <row r="218" spans="11:24">
      <c r="K218" s="85"/>
      <c r="L218" s="54" t="str">
        <f t="shared" si="35"/>
        <v>F</v>
      </c>
      <c r="M218" s="38" t="str">
        <f t="shared" si="34"/>
        <v/>
      </c>
      <c r="N218" s="69" t="str">
        <f t="shared" si="36"/>
        <v/>
      </c>
      <c r="O218" s="97"/>
      <c r="P218" s="98"/>
      <c r="Q218" s="99"/>
      <c r="R218" s="100"/>
      <c r="S218" s="86"/>
      <c r="U218" s="48" t="str">
        <f t="shared" si="37"/>
        <v/>
      </c>
      <c r="V218" s="16"/>
      <c r="W218" s="34"/>
      <c r="X218" s="35"/>
    </row>
    <row r="219" spans="11:24">
      <c r="K219" s="85"/>
      <c r="L219" s="54" t="str">
        <f t="shared" si="35"/>
        <v>F</v>
      </c>
      <c r="M219" s="38" t="str">
        <f t="shared" si="34"/>
        <v/>
      </c>
      <c r="N219" s="69" t="str">
        <f t="shared" si="36"/>
        <v/>
      </c>
      <c r="O219" s="97"/>
      <c r="P219" s="98"/>
      <c r="Q219" s="99"/>
      <c r="R219" s="100"/>
      <c r="S219" s="86"/>
      <c r="U219" s="48" t="str">
        <f t="shared" si="37"/>
        <v/>
      </c>
      <c r="V219" s="16"/>
      <c r="W219" s="34"/>
      <c r="X219" s="35"/>
    </row>
    <row r="220" spans="11:24">
      <c r="K220" s="85"/>
      <c r="L220" s="54" t="str">
        <f t="shared" si="35"/>
        <v>F</v>
      </c>
      <c r="M220" s="38" t="str">
        <f t="shared" si="34"/>
        <v/>
      </c>
      <c r="N220" s="69" t="str">
        <f t="shared" si="36"/>
        <v/>
      </c>
      <c r="O220" s="97"/>
      <c r="P220" s="98"/>
      <c r="Q220" s="99"/>
      <c r="R220" s="100"/>
      <c r="S220" s="86"/>
      <c r="U220" s="48" t="str">
        <f t="shared" si="37"/>
        <v/>
      </c>
      <c r="V220" s="16"/>
      <c r="W220" s="34"/>
      <c r="X220" s="35"/>
    </row>
    <row r="221" spans="11:24">
      <c r="K221" s="85"/>
      <c r="L221" s="54" t="str">
        <f t="shared" si="35"/>
        <v>F</v>
      </c>
      <c r="M221" s="38" t="str">
        <f t="shared" ref="M221:M284" si="38">IFERROR(RIGHT("0000"&amp;DEC2HEX(N221),4),"")</f>
        <v/>
      </c>
      <c r="N221" s="69" t="str">
        <f t="shared" si="36"/>
        <v/>
      </c>
      <c r="O221" s="97"/>
      <c r="P221" s="98"/>
      <c r="Q221" s="99"/>
      <c r="R221" s="100"/>
      <c r="S221" s="86"/>
      <c r="U221" s="48" t="str">
        <f t="shared" si="37"/>
        <v/>
      </c>
      <c r="V221" s="16"/>
      <c r="W221" s="34"/>
      <c r="X221" s="35"/>
    </row>
    <row r="222" spans="11:24">
      <c r="K222" s="85"/>
      <c r="L222" s="54" t="str">
        <f t="shared" si="35"/>
        <v>F</v>
      </c>
      <c r="M222" s="38" t="str">
        <f t="shared" si="38"/>
        <v/>
      </c>
      <c r="N222" s="69" t="str">
        <f t="shared" si="36"/>
        <v/>
      </c>
      <c r="O222" s="97"/>
      <c r="P222" s="98"/>
      <c r="Q222" s="99"/>
      <c r="R222" s="100"/>
      <c r="S222" s="86"/>
      <c r="U222" s="48" t="str">
        <f t="shared" si="37"/>
        <v/>
      </c>
      <c r="V222" s="16"/>
      <c r="W222" s="34"/>
      <c r="X222" s="35"/>
    </row>
    <row r="223" spans="11:24">
      <c r="K223" s="85"/>
      <c r="L223" s="54" t="str">
        <f t="shared" si="35"/>
        <v>F</v>
      </c>
      <c r="M223" s="38" t="str">
        <f t="shared" si="38"/>
        <v/>
      </c>
      <c r="N223" s="69" t="str">
        <f t="shared" si="36"/>
        <v/>
      </c>
      <c r="O223" s="97"/>
      <c r="P223" s="98"/>
      <c r="Q223" s="99"/>
      <c r="R223" s="100"/>
      <c r="S223" s="86"/>
      <c r="U223" s="48" t="str">
        <f t="shared" si="37"/>
        <v/>
      </c>
      <c r="V223" s="16"/>
      <c r="W223" s="34"/>
      <c r="X223" s="35"/>
    </row>
    <row r="224" spans="11:24">
      <c r="K224" s="85"/>
      <c r="L224" s="54" t="str">
        <f t="shared" si="35"/>
        <v>F</v>
      </c>
      <c r="M224" s="38" t="str">
        <f t="shared" si="38"/>
        <v/>
      </c>
      <c r="N224" s="69" t="str">
        <f t="shared" si="36"/>
        <v/>
      </c>
      <c r="O224" s="97"/>
      <c r="P224" s="98"/>
      <c r="Q224" s="99"/>
      <c r="R224" s="100"/>
      <c r="S224" s="86"/>
      <c r="U224" s="48" t="str">
        <f t="shared" si="37"/>
        <v/>
      </c>
      <c r="V224" s="16"/>
      <c r="W224" s="34"/>
      <c r="X224" s="35"/>
    </row>
    <row r="225" spans="11:24">
      <c r="K225" s="85"/>
      <c r="L225" s="54" t="str">
        <f t="shared" si="35"/>
        <v>F</v>
      </c>
      <c r="M225" s="38" t="str">
        <f t="shared" si="38"/>
        <v/>
      </c>
      <c r="N225" s="69" t="str">
        <f t="shared" si="36"/>
        <v/>
      </c>
      <c r="O225" s="97"/>
      <c r="P225" s="98"/>
      <c r="Q225" s="99"/>
      <c r="R225" s="100"/>
      <c r="S225" s="86"/>
      <c r="U225" s="48" t="str">
        <f t="shared" si="37"/>
        <v/>
      </c>
      <c r="V225" s="16"/>
      <c r="W225" s="34"/>
      <c r="X225" s="35"/>
    </row>
    <row r="226" spans="11:24">
      <c r="K226" s="85"/>
      <c r="L226" s="54" t="str">
        <f t="shared" si="35"/>
        <v>F</v>
      </c>
      <c r="M226" s="38" t="str">
        <f t="shared" si="38"/>
        <v/>
      </c>
      <c r="N226" s="69" t="str">
        <f t="shared" si="36"/>
        <v/>
      </c>
      <c r="O226" s="97"/>
      <c r="P226" s="98"/>
      <c r="Q226" s="99"/>
      <c r="R226" s="100"/>
      <c r="S226" s="86"/>
      <c r="U226" s="48" t="str">
        <f t="shared" si="37"/>
        <v/>
      </c>
      <c r="V226" s="16"/>
      <c r="W226" s="34"/>
      <c r="X226" s="35"/>
    </row>
    <row r="227" spans="11:24">
      <c r="K227" s="85"/>
      <c r="L227" s="54" t="str">
        <f t="shared" si="35"/>
        <v>F</v>
      </c>
      <c r="M227" s="38" t="str">
        <f t="shared" si="38"/>
        <v/>
      </c>
      <c r="N227" s="69" t="str">
        <f t="shared" si="36"/>
        <v/>
      </c>
      <c r="O227" s="97"/>
      <c r="P227" s="98"/>
      <c r="Q227" s="99"/>
      <c r="R227" s="100"/>
      <c r="S227" s="86"/>
      <c r="U227" s="48" t="str">
        <f t="shared" si="37"/>
        <v/>
      </c>
      <c r="V227" s="16"/>
      <c r="W227" s="34"/>
      <c r="X227" s="35"/>
    </row>
    <row r="228" spans="11:24">
      <c r="K228" s="85"/>
      <c r="L228" s="54" t="str">
        <f t="shared" si="35"/>
        <v>F</v>
      </c>
      <c r="M228" s="38" t="str">
        <f t="shared" si="38"/>
        <v/>
      </c>
      <c r="N228" s="69" t="str">
        <f t="shared" si="36"/>
        <v/>
      </c>
      <c r="O228" s="97"/>
      <c r="P228" s="98"/>
      <c r="Q228" s="99"/>
      <c r="R228" s="100"/>
      <c r="S228" s="86"/>
      <c r="U228" s="48" t="str">
        <f t="shared" si="37"/>
        <v/>
      </c>
      <c r="V228" s="16"/>
      <c r="W228" s="34"/>
      <c r="X228" s="35"/>
    </row>
    <row r="229" spans="11:24">
      <c r="K229" s="85"/>
      <c r="L229" s="54" t="str">
        <f t="shared" si="35"/>
        <v>F</v>
      </c>
      <c r="M229" s="38" t="str">
        <f t="shared" si="38"/>
        <v/>
      </c>
      <c r="N229" s="69" t="str">
        <f t="shared" si="36"/>
        <v/>
      </c>
      <c r="O229" s="97"/>
      <c r="P229" s="98"/>
      <c r="Q229" s="99"/>
      <c r="R229" s="100"/>
      <c r="S229" s="86"/>
      <c r="U229" s="48" t="str">
        <f t="shared" si="37"/>
        <v/>
      </c>
      <c r="V229" s="16"/>
      <c r="W229" s="34"/>
      <c r="X229" s="35"/>
    </row>
    <row r="230" spans="11:24">
      <c r="K230" s="85"/>
      <c r="L230" s="54" t="str">
        <f t="shared" si="35"/>
        <v>F</v>
      </c>
      <c r="M230" s="38" t="str">
        <f t="shared" si="38"/>
        <v/>
      </c>
      <c r="N230" s="69" t="str">
        <f t="shared" si="36"/>
        <v/>
      </c>
      <c r="O230" s="97"/>
      <c r="P230" s="98"/>
      <c r="Q230" s="99"/>
      <c r="R230" s="100"/>
      <c r="S230" s="86"/>
      <c r="U230" s="48" t="str">
        <f t="shared" si="37"/>
        <v/>
      </c>
      <c r="V230" s="16"/>
      <c r="W230" s="34"/>
      <c r="X230" s="35"/>
    </row>
    <row r="231" spans="11:24">
      <c r="K231" s="85"/>
      <c r="L231" s="54" t="str">
        <f t="shared" si="35"/>
        <v>F</v>
      </c>
      <c r="M231" s="38" t="str">
        <f t="shared" si="38"/>
        <v/>
      </c>
      <c r="N231" s="69" t="str">
        <f t="shared" si="36"/>
        <v/>
      </c>
      <c r="O231" s="97"/>
      <c r="P231" s="98"/>
      <c r="Q231" s="99"/>
      <c r="R231" s="100"/>
      <c r="S231" s="86"/>
      <c r="U231" s="48" t="str">
        <f t="shared" si="37"/>
        <v/>
      </c>
      <c r="V231" s="16"/>
      <c r="W231" s="34"/>
      <c r="X231" s="35"/>
    </row>
    <row r="232" spans="11:24">
      <c r="K232" s="85"/>
      <c r="L232" s="54" t="str">
        <f t="shared" si="35"/>
        <v>F</v>
      </c>
      <c r="M232" s="38" t="str">
        <f t="shared" si="38"/>
        <v/>
      </c>
      <c r="N232" s="69" t="str">
        <f t="shared" si="36"/>
        <v/>
      </c>
      <c r="O232" s="97"/>
      <c r="P232" s="98"/>
      <c r="Q232" s="99"/>
      <c r="R232" s="100"/>
      <c r="S232" s="86"/>
      <c r="U232" s="48" t="str">
        <f t="shared" si="37"/>
        <v/>
      </c>
      <c r="V232" s="16"/>
      <c r="W232" s="34"/>
      <c r="X232" s="35"/>
    </row>
    <row r="233" spans="11:24">
      <c r="K233" s="85"/>
      <c r="L233" s="54" t="str">
        <f t="shared" si="35"/>
        <v>F</v>
      </c>
      <c r="M233" s="38" t="str">
        <f t="shared" si="38"/>
        <v/>
      </c>
      <c r="N233" s="69" t="str">
        <f t="shared" si="36"/>
        <v/>
      </c>
      <c r="O233" s="97"/>
      <c r="P233" s="98"/>
      <c r="Q233" s="99"/>
      <c r="R233" s="100"/>
      <c r="S233" s="86"/>
      <c r="U233" s="48" t="str">
        <f t="shared" si="37"/>
        <v/>
      </c>
      <c r="V233" s="16"/>
      <c r="W233" s="34"/>
      <c r="X233" s="35"/>
    </row>
    <row r="234" spans="11:24">
      <c r="K234" s="85"/>
      <c r="L234" s="54" t="str">
        <f t="shared" si="35"/>
        <v>F</v>
      </c>
      <c r="M234" s="38" t="str">
        <f t="shared" si="38"/>
        <v/>
      </c>
      <c r="N234" s="69" t="str">
        <f t="shared" si="36"/>
        <v/>
      </c>
      <c r="O234" s="97"/>
      <c r="P234" s="98"/>
      <c r="Q234" s="99"/>
      <c r="R234" s="100"/>
      <c r="S234" s="86"/>
      <c r="U234" s="48" t="str">
        <f t="shared" si="37"/>
        <v/>
      </c>
      <c r="V234" s="16"/>
      <c r="W234" s="34"/>
      <c r="X234" s="35"/>
    </row>
    <row r="235" spans="11:24">
      <c r="K235" s="85"/>
      <c r="L235" s="54" t="str">
        <f t="shared" si="35"/>
        <v>F</v>
      </c>
      <c r="M235" s="38" t="str">
        <f t="shared" si="38"/>
        <v/>
      </c>
      <c r="N235" s="69" t="str">
        <f t="shared" si="36"/>
        <v/>
      </c>
      <c r="O235" s="97"/>
      <c r="P235" s="98"/>
      <c r="Q235" s="99"/>
      <c r="R235" s="100"/>
      <c r="S235" s="86"/>
      <c r="U235" s="48" t="str">
        <f t="shared" si="37"/>
        <v/>
      </c>
      <c r="V235" s="16"/>
      <c r="W235" s="34"/>
      <c r="X235" s="35"/>
    </row>
    <row r="236" spans="11:24">
      <c r="K236" s="85"/>
      <c r="L236" s="54" t="str">
        <f t="shared" si="35"/>
        <v>F</v>
      </c>
      <c r="M236" s="38" t="str">
        <f t="shared" si="38"/>
        <v/>
      </c>
      <c r="N236" s="69" t="str">
        <f t="shared" si="36"/>
        <v/>
      </c>
      <c r="O236" s="97"/>
      <c r="P236" s="98"/>
      <c r="Q236" s="99"/>
      <c r="R236" s="100"/>
      <c r="S236" s="86"/>
      <c r="U236" s="48" t="str">
        <f t="shared" si="37"/>
        <v/>
      </c>
      <c r="V236" s="16"/>
      <c r="W236" s="34"/>
      <c r="X236" s="35"/>
    </row>
    <row r="237" spans="11:24">
      <c r="K237" s="85"/>
      <c r="L237" s="54" t="str">
        <f t="shared" si="35"/>
        <v>F</v>
      </c>
      <c r="M237" s="38" t="str">
        <f t="shared" si="38"/>
        <v/>
      </c>
      <c r="N237" s="69" t="str">
        <f t="shared" si="36"/>
        <v/>
      </c>
      <c r="O237" s="97"/>
      <c r="P237" s="98"/>
      <c r="Q237" s="99"/>
      <c r="R237" s="100"/>
      <c r="S237" s="86"/>
      <c r="U237" s="48" t="str">
        <f t="shared" si="37"/>
        <v/>
      </c>
      <c r="V237" s="16"/>
      <c r="W237" s="34"/>
      <c r="X237" s="35"/>
    </row>
    <row r="238" spans="11:24">
      <c r="K238" s="85"/>
      <c r="L238" s="54" t="str">
        <f t="shared" si="35"/>
        <v>F</v>
      </c>
      <c r="M238" s="38" t="str">
        <f t="shared" si="38"/>
        <v/>
      </c>
      <c r="N238" s="69" t="str">
        <f t="shared" si="36"/>
        <v/>
      </c>
      <c r="O238" s="97"/>
      <c r="P238" s="98"/>
      <c r="Q238" s="99"/>
      <c r="R238" s="100"/>
      <c r="S238" s="86"/>
      <c r="U238" s="48" t="str">
        <f t="shared" si="37"/>
        <v/>
      </c>
      <c r="V238" s="16"/>
      <c r="W238" s="34"/>
      <c r="X238" s="35"/>
    </row>
    <row r="239" spans="11:24">
      <c r="K239" s="85"/>
      <c r="L239" s="54" t="str">
        <f t="shared" si="35"/>
        <v>F</v>
      </c>
      <c r="M239" s="38" t="str">
        <f t="shared" si="38"/>
        <v/>
      </c>
      <c r="N239" s="69" t="str">
        <f t="shared" si="36"/>
        <v/>
      </c>
      <c r="O239" s="97"/>
      <c r="P239" s="98"/>
      <c r="Q239" s="99"/>
      <c r="R239" s="100"/>
      <c r="S239" s="86"/>
      <c r="U239" s="48" t="str">
        <f t="shared" si="37"/>
        <v/>
      </c>
      <c r="V239" s="16"/>
      <c r="W239" s="34"/>
      <c r="X239" s="35"/>
    </row>
    <row r="240" spans="11:24">
      <c r="K240" s="85"/>
      <c r="L240" s="54" t="str">
        <f t="shared" si="35"/>
        <v>F</v>
      </c>
      <c r="M240" s="38" t="str">
        <f t="shared" si="38"/>
        <v/>
      </c>
      <c r="N240" s="69" t="str">
        <f t="shared" si="36"/>
        <v/>
      </c>
      <c r="O240" s="97"/>
      <c r="P240" s="98"/>
      <c r="Q240" s="99"/>
      <c r="R240" s="100"/>
      <c r="S240" s="86"/>
      <c r="U240" s="48" t="str">
        <f t="shared" si="37"/>
        <v/>
      </c>
      <c r="V240" s="16"/>
      <c r="W240" s="34"/>
      <c r="X240" s="35"/>
    </row>
    <row r="241" spans="11:24">
      <c r="K241" s="85"/>
      <c r="L241" s="54" t="str">
        <f t="shared" si="35"/>
        <v>F</v>
      </c>
      <c r="M241" s="38" t="str">
        <f t="shared" si="38"/>
        <v/>
      </c>
      <c r="N241" s="69" t="str">
        <f t="shared" si="36"/>
        <v/>
      </c>
      <c r="O241" s="97"/>
      <c r="P241" s="98"/>
      <c r="Q241" s="99"/>
      <c r="R241" s="100"/>
      <c r="S241" s="86"/>
      <c r="U241" s="48" t="str">
        <f t="shared" si="37"/>
        <v/>
      </c>
      <c r="V241" s="16"/>
      <c r="W241" s="34"/>
      <c r="X241" s="35"/>
    </row>
    <row r="242" spans="11:24">
      <c r="K242" s="85"/>
      <c r="L242" s="54" t="str">
        <f t="shared" si="35"/>
        <v>F</v>
      </c>
      <c r="M242" s="38" t="str">
        <f t="shared" si="38"/>
        <v/>
      </c>
      <c r="N242" s="69" t="str">
        <f t="shared" si="36"/>
        <v/>
      </c>
      <c r="O242" s="97"/>
      <c r="P242" s="98"/>
      <c r="Q242" s="99"/>
      <c r="R242" s="100"/>
      <c r="S242" s="86"/>
      <c r="U242" s="48" t="str">
        <f t="shared" si="37"/>
        <v/>
      </c>
      <c r="V242" s="16"/>
      <c r="W242" s="34"/>
      <c r="X242" s="35"/>
    </row>
    <row r="243" spans="11:24">
      <c r="K243" s="85"/>
      <c r="L243" s="54" t="str">
        <f t="shared" si="35"/>
        <v>F</v>
      </c>
      <c r="M243" s="38" t="str">
        <f t="shared" si="38"/>
        <v/>
      </c>
      <c r="N243" s="69" t="str">
        <f t="shared" si="36"/>
        <v/>
      </c>
      <c r="O243" s="97"/>
      <c r="P243" s="98"/>
      <c r="Q243" s="99"/>
      <c r="R243" s="100"/>
      <c r="S243" s="86"/>
      <c r="U243" s="48" t="str">
        <f t="shared" si="37"/>
        <v/>
      </c>
      <c r="V243" s="16"/>
      <c r="W243" s="34"/>
      <c r="X243" s="35"/>
    </row>
    <row r="244" spans="11:24">
      <c r="K244" s="85"/>
      <c r="L244" s="54" t="str">
        <f t="shared" si="35"/>
        <v>F</v>
      </c>
      <c r="M244" s="38" t="str">
        <f t="shared" si="38"/>
        <v/>
      </c>
      <c r="N244" s="69" t="str">
        <f t="shared" si="36"/>
        <v/>
      </c>
      <c r="O244" s="97"/>
      <c r="P244" s="98"/>
      <c r="Q244" s="99"/>
      <c r="R244" s="100"/>
      <c r="S244" s="86"/>
      <c r="U244" s="48" t="str">
        <f t="shared" si="37"/>
        <v/>
      </c>
      <c r="V244" s="16"/>
      <c r="W244" s="34"/>
      <c r="X244" s="35"/>
    </row>
    <row r="245" spans="11:24">
      <c r="K245" s="85"/>
      <c r="L245" s="54" t="str">
        <f t="shared" si="35"/>
        <v>F</v>
      </c>
      <c r="M245" s="38" t="str">
        <f t="shared" si="38"/>
        <v/>
      </c>
      <c r="N245" s="69" t="str">
        <f t="shared" si="36"/>
        <v/>
      </c>
      <c r="O245" s="97"/>
      <c r="P245" s="98"/>
      <c r="Q245" s="99"/>
      <c r="R245" s="100"/>
      <c r="S245" s="86"/>
      <c r="U245" s="48" t="str">
        <f t="shared" si="37"/>
        <v/>
      </c>
      <c r="V245" s="16"/>
      <c r="W245" s="34"/>
      <c r="X245" s="35"/>
    </row>
    <row r="246" spans="11:24">
      <c r="K246" s="85"/>
      <c r="L246" s="54" t="str">
        <f t="shared" si="35"/>
        <v>F</v>
      </c>
      <c r="M246" s="38" t="str">
        <f t="shared" si="38"/>
        <v/>
      </c>
      <c r="N246" s="69" t="str">
        <f t="shared" si="36"/>
        <v/>
      </c>
      <c r="O246" s="97"/>
      <c r="P246" s="98"/>
      <c r="Q246" s="99"/>
      <c r="R246" s="100"/>
      <c r="S246" s="86"/>
      <c r="U246" s="48" t="str">
        <f t="shared" si="37"/>
        <v/>
      </c>
      <c r="V246" s="16"/>
      <c r="W246" s="34"/>
      <c r="X246" s="35"/>
    </row>
    <row r="247" spans="11:24">
      <c r="K247" s="85"/>
      <c r="L247" s="54" t="str">
        <f t="shared" si="35"/>
        <v>F</v>
      </c>
      <c r="M247" s="38" t="str">
        <f t="shared" si="38"/>
        <v/>
      </c>
      <c r="N247" s="69" t="str">
        <f t="shared" si="36"/>
        <v/>
      </c>
      <c r="O247" s="97"/>
      <c r="P247" s="98"/>
      <c r="Q247" s="99"/>
      <c r="R247" s="100"/>
      <c r="S247" s="86"/>
      <c r="U247" s="48" t="str">
        <f t="shared" si="37"/>
        <v/>
      </c>
      <c r="V247" s="16"/>
      <c r="W247" s="34"/>
      <c r="X247" s="35"/>
    </row>
    <row r="248" spans="11:24">
      <c r="K248" s="85"/>
      <c r="L248" s="54" t="str">
        <f t="shared" si="35"/>
        <v>F</v>
      </c>
      <c r="M248" s="38" t="str">
        <f t="shared" si="38"/>
        <v/>
      </c>
      <c r="N248" s="69" t="str">
        <f t="shared" si="36"/>
        <v/>
      </c>
      <c r="O248" s="97"/>
      <c r="P248" s="98"/>
      <c r="Q248" s="99"/>
      <c r="R248" s="100"/>
      <c r="S248" s="86"/>
      <c r="U248" s="48" t="str">
        <f t="shared" si="37"/>
        <v/>
      </c>
      <c r="V248" s="16"/>
      <c r="W248" s="34"/>
      <c r="X248" s="35"/>
    </row>
    <row r="249" spans="11:24">
      <c r="K249" s="85"/>
      <c r="L249" s="54" t="str">
        <f t="shared" si="35"/>
        <v>F</v>
      </c>
      <c r="M249" s="38" t="str">
        <f t="shared" si="38"/>
        <v/>
      </c>
      <c r="N249" s="69" t="str">
        <f t="shared" si="36"/>
        <v/>
      </c>
      <c r="O249" s="97"/>
      <c r="P249" s="98"/>
      <c r="Q249" s="99"/>
      <c r="R249" s="100"/>
      <c r="S249" s="86"/>
      <c r="U249" s="48" t="str">
        <f t="shared" si="37"/>
        <v/>
      </c>
      <c r="V249" s="16"/>
      <c r="W249" s="34"/>
      <c r="X249" s="35"/>
    </row>
    <row r="250" spans="11:24">
      <c r="K250" s="85"/>
      <c r="L250" s="54" t="str">
        <f t="shared" si="35"/>
        <v>F</v>
      </c>
      <c r="M250" s="38" t="str">
        <f t="shared" si="38"/>
        <v/>
      </c>
      <c r="N250" s="69" t="str">
        <f t="shared" si="36"/>
        <v/>
      </c>
      <c r="O250" s="97"/>
      <c r="P250" s="98"/>
      <c r="Q250" s="99"/>
      <c r="R250" s="100"/>
      <c r="S250" s="86"/>
      <c r="U250" s="48" t="str">
        <f t="shared" si="37"/>
        <v/>
      </c>
      <c r="V250" s="16"/>
      <c r="W250" s="34"/>
      <c r="X250" s="35"/>
    </row>
    <row r="251" spans="11:24">
      <c r="K251" s="85"/>
      <c r="L251" s="54" t="str">
        <f t="shared" si="35"/>
        <v>F</v>
      </c>
      <c r="M251" s="38" t="str">
        <f t="shared" si="38"/>
        <v/>
      </c>
      <c r="N251" s="69" t="str">
        <f t="shared" si="36"/>
        <v/>
      </c>
      <c r="O251" s="97"/>
      <c r="P251" s="98"/>
      <c r="Q251" s="99"/>
      <c r="R251" s="100"/>
      <c r="S251" s="86"/>
      <c r="U251" s="48" t="str">
        <f t="shared" si="37"/>
        <v/>
      </c>
      <c r="V251" s="16"/>
      <c r="W251" s="34"/>
      <c r="X251" s="35"/>
    </row>
    <row r="252" spans="11:24">
      <c r="K252" s="85"/>
      <c r="L252" s="54" t="str">
        <f t="shared" si="35"/>
        <v>F</v>
      </c>
      <c r="M252" s="38" t="str">
        <f t="shared" si="38"/>
        <v/>
      </c>
      <c r="N252" s="69" t="str">
        <f t="shared" si="36"/>
        <v/>
      </c>
      <c r="O252" s="97"/>
      <c r="P252" s="98"/>
      <c r="Q252" s="99"/>
      <c r="R252" s="100"/>
      <c r="S252" s="86"/>
      <c r="U252" s="48" t="str">
        <f t="shared" si="37"/>
        <v/>
      </c>
      <c r="V252" s="16"/>
      <c r="W252" s="34"/>
      <c r="X252" s="35"/>
    </row>
    <row r="253" spans="11:24">
      <c r="K253" s="85"/>
      <c r="L253" s="54" t="str">
        <f t="shared" si="35"/>
        <v>F</v>
      </c>
      <c r="M253" s="38" t="str">
        <f t="shared" si="38"/>
        <v/>
      </c>
      <c r="N253" s="69" t="str">
        <f t="shared" si="36"/>
        <v/>
      </c>
      <c r="O253" s="97"/>
      <c r="P253" s="98"/>
      <c r="Q253" s="99"/>
      <c r="R253" s="100"/>
      <c r="S253" s="86"/>
      <c r="U253" s="48" t="str">
        <f t="shared" si="37"/>
        <v/>
      </c>
      <c r="V253" s="16"/>
      <c r="W253" s="34"/>
      <c r="X253" s="35"/>
    </row>
    <row r="254" spans="11:24">
      <c r="K254" s="85"/>
      <c r="L254" s="54" t="str">
        <f t="shared" si="35"/>
        <v>F</v>
      </c>
      <c r="M254" s="38" t="str">
        <f t="shared" si="38"/>
        <v/>
      </c>
      <c r="N254" s="69" t="str">
        <f t="shared" si="36"/>
        <v/>
      </c>
      <c r="O254" s="97"/>
      <c r="P254" s="98"/>
      <c r="Q254" s="99"/>
      <c r="R254" s="100"/>
      <c r="S254" s="86"/>
      <c r="U254" s="48" t="str">
        <f t="shared" si="37"/>
        <v/>
      </c>
      <c r="V254" s="16"/>
      <c r="W254" s="34"/>
      <c r="X254" s="35"/>
    </row>
    <row r="255" spans="11:24">
      <c r="K255" s="85"/>
      <c r="L255" s="54" t="str">
        <f t="shared" si="35"/>
        <v>F</v>
      </c>
      <c r="M255" s="38" t="str">
        <f t="shared" si="38"/>
        <v/>
      </c>
      <c r="N255" s="69" t="str">
        <f t="shared" si="36"/>
        <v/>
      </c>
      <c r="O255" s="97"/>
      <c r="P255" s="98"/>
      <c r="Q255" s="99"/>
      <c r="R255" s="100"/>
      <c r="S255" s="86"/>
      <c r="U255" s="48" t="str">
        <f t="shared" si="37"/>
        <v/>
      </c>
      <c r="V255" s="16"/>
      <c r="W255" s="34"/>
      <c r="X255" s="35"/>
    </row>
    <row r="256" spans="11:24">
      <c r="K256" s="85"/>
      <c r="L256" s="54" t="str">
        <f t="shared" si="35"/>
        <v>F</v>
      </c>
      <c r="M256" s="38" t="str">
        <f t="shared" si="38"/>
        <v/>
      </c>
      <c r="N256" s="69" t="str">
        <f t="shared" si="36"/>
        <v/>
      </c>
      <c r="O256" s="97"/>
      <c r="P256" s="98"/>
      <c r="Q256" s="99"/>
      <c r="R256" s="100"/>
      <c r="S256" s="86"/>
      <c r="U256" s="48" t="str">
        <f t="shared" si="37"/>
        <v/>
      </c>
      <c r="V256" s="16"/>
      <c r="W256" s="34"/>
      <c r="X256" s="35"/>
    </row>
    <row r="257" spans="11:24">
      <c r="K257" s="85"/>
      <c r="L257" s="54" t="str">
        <f t="shared" si="35"/>
        <v>F</v>
      </c>
      <c r="M257" s="38" t="str">
        <f t="shared" si="38"/>
        <v/>
      </c>
      <c r="N257" s="69" t="str">
        <f t="shared" si="36"/>
        <v/>
      </c>
      <c r="O257" s="97"/>
      <c r="P257" s="98"/>
      <c r="Q257" s="99"/>
      <c r="R257" s="100"/>
      <c r="S257" s="86"/>
      <c r="U257" s="48" t="str">
        <f t="shared" si="37"/>
        <v/>
      </c>
      <c r="V257" s="16"/>
      <c r="W257" s="34"/>
      <c r="X257" s="35"/>
    </row>
    <row r="258" spans="11:24">
      <c r="K258" s="85"/>
      <c r="L258" s="54" t="str">
        <f t="shared" si="35"/>
        <v>F</v>
      </c>
      <c r="M258" s="38" t="str">
        <f t="shared" si="38"/>
        <v/>
      </c>
      <c r="N258" s="69" t="str">
        <f t="shared" si="36"/>
        <v/>
      </c>
      <c r="O258" s="97"/>
      <c r="P258" s="98"/>
      <c r="Q258" s="99"/>
      <c r="R258" s="100"/>
      <c r="S258" s="86"/>
      <c r="U258" s="48" t="str">
        <f t="shared" si="37"/>
        <v/>
      </c>
      <c r="V258" s="16"/>
      <c r="W258" s="34"/>
      <c r="X258" s="35"/>
    </row>
    <row r="259" spans="11:24">
      <c r="K259" s="85"/>
      <c r="L259" s="54" t="str">
        <f t="shared" si="35"/>
        <v>F</v>
      </c>
      <c r="M259" s="38" t="str">
        <f t="shared" si="38"/>
        <v/>
      </c>
      <c r="N259" s="69" t="str">
        <f t="shared" si="36"/>
        <v/>
      </c>
      <c r="O259" s="97"/>
      <c r="P259" s="98"/>
      <c r="Q259" s="99"/>
      <c r="R259" s="100"/>
      <c r="S259" s="86"/>
      <c r="U259" s="48" t="str">
        <f t="shared" si="37"/>
        <v/>
      </c>
      <c r="V259" s="16"/>
      <c r="W259" s="34"/>
      <c r="X259" s="35"/>
    </row>
    <row r="260" spans="11:24">
      <c r="K260" s="85"/>
      <c r="L260" s="54" t="str">
        <f t="shared" si="35"/>
        <v>F</v>
      </c>
      <c r="M260" s="38" t="str">
        <f t="shared" si="38"/>
        <v/>
      </c>
      <c r="N260" s="69" t="str">
        <f t="shared" si="36"/>
        <v/>
      </c>
      <c r="O260" s="97"/>
      <c r="P260" s="98"/>
      <c r="Q260" s="99"/>
      <c r="R260" s="100"/>
      <c r="S260" s="86"/>
      <c r="U260" s="48" t="str">
        <f t="shared" si="37"/>
        <v/>
      </c>
      <c r="V260" s="16"/>
      <c r="W260" s="34"/>
      <c r="X260" s="35"/>
    </row>
    <row r="261" spans="11:24">
      <c r="K261" s="85"/>
      <c r="L261" s="54" t="str">
        <f t="shared" si="35"/>
        <v>F</v>
      </c>
      <c r="M261" s="38" t="str">
        <f t="shared" si="38"/>
        <v/>
      </c>
      <c r="N261" s="69" t="str">
        <f t="shared" si="36"/>
        <v/>
      </c>
      <c r="O261" s="97"/>
      <c r="P261" s="98"/>
      <c r="Q261" s="99"/>
      <c r="R261" s="100"/>
      <c r="S261" s="86"/>
      <c r="U261" s="48" t="str">
        <f t="shared" si="37"/>
        <v/>
      </c>
      <c r="V261" s="16"/>
      <c r="W261" s="34"/>
      <c r="X261" s="35"/>
    </row>
    <row r="262" spans="11:24">
      <c r="K262" s="85"/>
      <c r="L262" s="54" t="str">
        <f t="shared" si="35"/>
        <v>F</v>
      </c>
      <c r="M262" s="38" t="str">
        <f t="shared" si="38"/>
        <v/>
      </c>
      <c r="N262" s="69" t="str">
        <f t="shared" si="36"/>
        <v/>
      </c>
      <c r="O262" s="97"/>
      <c r="P262" s="98"/>
      <c r="Q262" s="99"/>
      <c r="R262" s="100"/>
      <c r="S262" s="86"/>
      <c r="U262" s="48" t="str">
        <f t="shared" si="37"/>
        <v/>
      </c>
      <c r="V262" s="16"/>
      <c r="W262" s="34"/>
      <c r="X262" s="35"/>
    </row>
    <row r="263" spans="11:24">
      <c r="K263" s="85"/>
      <c r="L263" s="54" t="str">
        <f t="shared" si="35"/>
        <v>F</v>
      </c>
      <c r="M263" s="38" t="str">
        <f t="shared" si="38"/>
        <v/>
      </c>
      <c r="N263" s="69" t="str">
        <f t="shared" si="36"/>
        <v/>
      </c>
      <c r="O263" s="97"/>
      <c r="P263" s="98"/>
      <c r="Q263" s="99"/>
      <c r="R263" s="100"/>
      <c r="S263" s="86"/>
      <c r="U263" s="48" t="str">
        <f t="shared" si="37"/>
        <v/>
      </c>
      <c r="V263" s="16"/>
      <c r="W263" s="34"/>
      <c r="X263" s="35"/>
    </row>
    <row r="264" spans="11:24">
      <c r="K264" s="85"/>
      <c r="L264" s="54" t="str">
        <f t="shared" si="35"/>
        <v>F</v>
      </c>
      <c r="M264" s="38" t="str">
        <f t="shared" si="38"/>
        <v/>
      </c>
      <c r="N264" s="69" t="str">
        <f t="shared" si="36"/>
        <v/>
      </c>
      <c r="O264" s="97"/>
      <c r="P264" s="98"/>
      <c r="Q264" s="99"/>
      <c r="R264" s="100"/>
      <c r="S264" s="86"/>
      <c r="U264" s="48" t="str">
        <f t="shared" si="37"/>
        <v/>
      </c>
      <c r="V264" s="16"/>
      <c r="W264" s="34"/>
      <c r="X264" s="35"/>
    </row>
    <row r="265" spans="11:24">
      <c r="K265" s="85"/>
      <c r="L265" s="54" t="str">
        <f t="shared" ref="L265:L328" si="39">IF(UPPER(P265)="EQU","E",IF(P265="DB","D",IF(O265&lt;&gt;"","L",IF(N265="","F",""))))</f>
        <v>F</v>
      </c>
      <c r="M265" s="38" t="str">
        <f t="shared" si="38"/>
        <v/>
      </c>
      <c r="N265" s="69" t="str">
        <f t="shared" ref="N265:N328" si="40">IFERROR(IF(N264+1&lt;=HEX2DEC(MemSize)+HEX2DEC(MemStart),N264+1,""),"")</f>
        <v/>
      </c>
      <c r="O265" s="97"/>
      <c r="P265" s="98"/>
      <c r="Q265" s="99"/>
      <c r="R265" s="100"/>
      <c r="S265" s="86"/>
      <c r="U265" s="48" t="str">
        <f t="shared" ref="U265:U328" si="41">IF(V265&gt;0,RIGHT("0000"&amp;DEC2HEX(V265),4),"")</f>
        <v/>
      </c>
      <c r="V265" s="16"/>
      <c r="W265" s="34"/>
      <c r="X265" s="35"/>
    </row>
    <row r="266" spans="11:24">
      <c r="K266" s="85"/>
      <c r="L266" s="54" t="str">
        <f t="shared" si="39"/>
        <v>F</v>
      </c>
      <c r="M266" s="38" t="str">
        <f t="shared" si="38"/>
        <v/>
      </c>
      <c r="N266" s="69" t="str">
        <f t="shared" si="40"/>
        <v/>
      </c>
      <c r="O266" s="97"/>
      <c r="P266" s="98"/>
      <c r="Q266" s="99"/>
      <c r="R266" s="100"/>
      <c r="S266" s="86"/>
      <c r="U266" s="48" t="str">
        <f t="shared" si="41"/>
        <v/>
      </c>
      <c r="V266" s="16"/>
      <c r="W266" s="34"/>
      <c r="X266" s="35"/>
    </row>
    <row r="267" spans="11:24">
      <c r="K267" s="85"/>
      <c r="L267" s="54" t="str">
        <f t="shared" si="39"/>
        <v>F</v>
      </c>
      <c r="M267" s="38" t="str">
        <f t="shared" si="38"/>
        <v/>
      </c>
      <c r="N267" s="69" t="str">
        <f t="shared" si="40"/>
        <v/>
      </c>
      <c r="O267" s="97"/>
      <c r="P267" s="98"/>
      <c r="Q267" s="99"/>
      <c r="R267" s="100"/>
      <c r="S267" s="86"/>
      <c r="U267" s="48" t="str">
        <f t="shared" si="41"/>
        <v/>
      </c>
      <c r="V267" s="16"/>
      <c r="W267" s="34"/>
      <c r="X267" s="35"/>
    </row>
    <row r="268" spans="11:24">
      <c r="K268" s="85"/>
      <c r="L268" s="54" t="str">
        <f t="shared" si="39"/>
        <v>F</v>
      </c>
      <c r="M268" s="38" t="str">
        <f t="shared" si="38"/>
        <v/>
      </c>
      <c r="N268" s="69" t="str">
        <f t="shared" si="40"/>
        <v/>
      </c>
      <c r="O268" s="97"/>
      <c r="P268" s="98"/>
      <c r="Q268" s="99"/>
      <c r="R268" s="100"/>
      <c r="S268" s="86"/>
      <c r="U268" s="48" t="str">
        <f t="shared" si="41"/>
        <v/>
      </c>
      <c r="V268" s="16"/>
      <c r="W268" s="34"/>
      <c r="X268" s="35"/>
    </row>
    <row r="269" spans="11:24">
      <c r="K269" s="85"/>
      <c r="L269" s="54" t="str">
        <f t="shared" si="39"/>
        <v>F</v>
      </c>
      <c r="M269" s="38" t="str">
        <f t="shared" si="38"/>
        <v/>
      </c>
      <c r="N269" s="69" t="str">
        <f t="shared" si="40"/>
        <v/>
      </c>
      <c r="O269" s="97"/>
      <c r="P269" s="98"/>
      <c r="Q269" s="99"/>
      <c r="R269" s="100"/>
      <c r="S269" s="86"/>
      <c r="U269" s="48" t="str">
        <f t="shared" si="41"/>
        <v/>
      </c>
      <c r="V269" s="16"/>
      <c r="W269" s="34"/>
      <c r="X269" s="35"/>
    </row>
    <row r="270" spans="11:24">
      <c r="K270" s="85"/>
      <c r="L270" s="54" t="str">
        <f t="shared" si="39"/>
        <v>F</v>
      </c>
      <c r="M270" s="38" t="str">
        <f t="shared" si="38"/>
        <v/>
      </c>
      <c r="N270" s="69" t="str">
        <f t="shared" si="40"/>
        <v/>
      </c>
      <c r="O270" s="97"/>
      <c r="P270" s="98"/>
      <c r="Q270" s="99"/>
      <c r="R270" s="100"/>
      <c r="S270" s="86"/>
      <c r="U270" s="48" t="str">
        <f t="shared" si="41"/>
        <v/>
      </c>
      <c r="V270" s="16"/>
      <c r="W270" s="34"/>
      <c r="X270" s="35"/>
    </row>
    <row r="271" spans="11:24">
      <c r="K271" s="85"/>
      <c r="L271" s="54" t="str">
        <f t="shared" si="39"/>
        <v>F</v>
      </c>
      <c r="M271" s="38" t="str">
        <f t="shared" si="38"/>
        <v/>
      </c>
      <c r="N271" s="69" t="str">
        <f t="shared" si="40"/>
        <v/>
      </c>
      <c r="O271" s="97"/>
      <c r="P271" s="98"/>
      <c r="Q271" s="99"/>
      <c r="R271" s="100"/>
      <c r="S271" s="86"/>
      <c r="U271" s="48" t="str">
        <f t="shared" si="41"/>
        <v/>
      </c>
      <c r="V271" s="16"/>
      <c r="W271" s="34"/>
      <c r="X271" s="35"/>
    </row>
    <row r="272" spans="11:24">
      <c r="K272" s="85"/>
      <c r="L272" s="54" t="str">
        <f t="shared" si="39"/>
        <v>F</v>
      </c>
      <c r="M272" s="38" t="str">
        <f t="shared" si="38"/>
        <v/>
      </c>
      <c r="N272" s="69" t="str">
        <f t="shared" si="40"/>
        <v/>
      </c>
      <c r="O272" s="97"/>
      <c r="P272" s="98"/>
      <c r="Q272" s="99"/>
      <c r="R272" s="100"/>
      <c r="S272" s="86"/>
      <c r="U272" s="48" t="str">
        <f t="shared" si="41"/>
        <v/>
      </c>
      <c r="V272" s="16"/>
      <c r="W272" s="34"/>
      <c r="X272" s="35"/>
    </row>
    <row r="273" spans="11:24">
      <c r="K273" s="85"/>
      <c r="L273" s="54" t="str">
        <f t="shared" si="39"/>
        <v>F</v>
      </c>
      <c r="M273" s="38" t="str">
        <f t="shared" si="38"/>
        <v/>
      </c>
      <c r="N273" s="69" t="str">
        <f t="shared" si="40"/>
        <v/>
      </c>
      <c r="O273" s="97"/>
      <c r="P273" s="98"/>
      <c r="Q273" s="99"/>
      <c r="R273" s="100"/>
      <c r="S273" s="86"/>
      <c r="U273" s="48" t="str">
        <f t="shared" si="41"/>
        <v/>
      </c>
      <c r="V273" s="16"/>
      <c r="W273" s="34"/>
      <c r="X273" s="35"/>
    </row>
    <row r="274" spans="11:24">
      <c r="K274" s="85"/>
      <c r="L274" s="54" t="str">
        <f t="shared" si="39"/>
        <v>F</v>
      </c>
      <c r="M274" s="38" t="str">
        <f t="shared" si="38"/>
        <v/>
      </c>
      <c r="N274" s="69" t="str">
        <f t="shared" si="40"/>
        <v/>
      </c>
      <c r="O274" s="97"/>
      <c r="P274" s="98"/>
      <c r="Q274" s="99"/>
      <c r="R274" s="100"/>
      <c r="S274" s="86"/>
      <c r="U274" s="48" t="str">
        <f t="shared" si="41"/>
        <v/>
      </c>
      <c r="V274" s="16"/>
      <c r="W274" s="34"/>
      <c r="X274" s="35"/>
    </row>
    <row r="275" spans="11:24">
      <c r="K275" s="85"/>
      <c r="L275" s="54" t="str">
        <f t="shared" si="39"/>
        <v>F</v>
      </c>
      <c r="M275" s="38" t="str">
        <f t="shared" si="38"/>
        <v/>
      </c>
      <c r="N275" s="69" t="str">
        <f t="shared" si="40"/>
        <v/>
      </c>
      <c r="O275" s="97"/>
      <c r="P275" s="98"/>
      <c r="Q275" s="99"/>
      <c r="R275" s="100"/>
      <c r="S275" s="86"/>
      <c r="U275" s="48" t="str">
        <f t="shared" si="41"/>
        <v/>
      </c>
      <c r="V275" s="16"/>
      <c r="W275" s="34"/>
      <c r="X275" s="35"/>
    </row>
    <row r="276" spans="11:24">
      <c r="K276" s="85"/>
      <c r="L276" s="54" t="str">
        <f t="shared" si="39"/>
        <v>F</v>
      </c>
      <c r="M276" s="38" t="str">
        <f t="shared" si="38"/>
        <v/>
      </c>
      <c r="N276" s="69" t="str">
        <f t="shared" si="40"/>
        <v/>
      </c>
      <c r="O276" s="97"/>
      <c r="P276" s="98"/>
      <c r="Q276" s="99"/>
      <c r="R276" s="100"/>
      <c r="S276" s="86"/>
      <c r="U276" s="48" t="str">
        <f t="shared" si="41"/>
        <v/>
      </c>
      <c r="V276" s="16"/>
      <c r="W276" s="34"/>
      <c r="X276" s="35"/>
    </row>
    <row r="277" spans="11:24">
      <c r="K277" s="85"/>
      <c r="L277" s="54" t="str">
        <f t="shared" si="39"/>
        <v>F</v>
      </c>
      <c r="M277" s="38" t="str">
        <f t="shared" si="38"/>
        <v/>
      </c>
      <c r="N277" s="69" t="str">
        <f t="shared" si="40"/>
        <v/>
      </c>
      <c r="O277" s="97"/>
      <c r="P277" s="98"/>
      <c r="Q277" s="99"/>
      <c r="R277" s="100"/>
      <c r="S277" s="86"/>
      <c r="U277" s="48" t="str">
        <f t="shared" si="41"/>
        <v/>
      </c>
      <c r="V277" s="16"/>
      <c r="W277" s="34"/>
      <c r="X277" s="35"/>
    </row>
    <row r="278" spans="11:24">
      <c r="K278" s="85"/>
      <c r="L278" s="54" t="str">
        <f t="shared" si="39"/>
        <v>F</v>
      </c>
      <c r="M278" s="38" t="str">
        <f t="shared" si="38"/>
        <v/>
      </c>
      <c r="N278" s="69" t="str">
        <f t="shared" si="40"/>
        <v/>
      </c>
      <c r="O278" s="97"/>
      <c r="P278" s="98"/>
      <c r="Q278" s="99"/>
      <c r="R278" s="100"/>
      <c r="S278" s="86"/>
      <c r="U278" s="48" t="str">
        <f t="shared" si="41"/>
        <v/>
      </c>
      <c r="V278" s="16"/>
      <c r="W278" s="34"/>
      <c r="X278" s="35"/>
    </row>
    <row r="279" spans="11:24">
      <c r="K279" s="85"/>
      <c r="L279" s="54" t="str">
        <f t="shared" si="39"/>
        <v>F</v>
      </c>
      <c r="M279" s="38" t="str">
        <f t="shared" si="38"/>
        <v/>
      </c>
      <c r="N279" s="69" t="str">
        <f t="shared" si="40"/>
        <v/>
      </c>
      <c r="O279" s="97"/>
      <c r="P279" s="98"/>
      <c r="Q279" s="99"/>
      <c r="R279" s="100"/>
      <c r="S279" s="86"/>
      <c r="U279" s="48" t="str">
        <f t="shared" si="41"/>
        <v/>
      </c>
      <c r="V279" s="16"/>
      <c r="W279" s="34"/>
      <c r="X279" s="35"/>
    </row>
    <row r="280" spans="11:24">
      <c r="K280" s="85"/>
      <c r="L280" s="54" t="str">
        <f t="shared" si="39"/>
        <v>F</v>
      </c>
      <c r="M280" s="38" t="str">
        <f t="shared" si="38"/>
        <v/>
      </c>
      <c r="N280" s="69" t="str">
        <f t="shared" si="40"/>
        <v/>
      </c>
      <c r="O280" s="97"/>
      <c r="P280" s="98"/>
      <c r="Q280" s="99"/>
      <c r="R280" s="100"/>
      <c r="S280" s="86"/>
      <c r="U280" s="48" t="str">
        <f t="shared" si="41"/>
        <v/>
      </c>
      <c r="V280" s="16"/>
      <c r="W280" s="34"/>
      <c r="X280" s="35"/>
    </row>
    <row r="281" spans="11:24">
      <c r="K281" s="85"/>
      <c r="L281" s="54" t="str">
        <f t="shared" si="39"/>
        <v>F</v>
      </c>
      <c r="M281" s="38" t="str">
        <f t="shared" si="38"/>
        <v/>
      </c>
      <c r="N281" s="69" t="str">
        <f t="shared" si="40"/>
        <v/>
      </c>
      <c r="O281" s="97"/>
      <c r="P281" s="98"/>
      <c r="Q281" s="99"/>
      <c r="R281" s="100"/>
      <c r="S281" s="86"/>
      <c r="U281" s="48" t="str">
        <f t="shared" si="41"/>
        <v/>
      </c>
      <c r="V281" s="16"/>
      <c r="W281" s="34"/>
      <c r="X281" s="35"/>
    </row>
    <row r="282" spans="11:24">
      <c r="K282" s="85"/>
      <c r="L282" s="54" t="str">
        <f t="shared" si="39"/>
        <v>F</v>
      </c>
      <c r="M282" s="38" t="str">
        <f t="shared" si="38"/>
        <v/>
      </c>
      <c r="N282" s="69" t="str">
        <f t="shared" si="40"/>
        <v/>
      </c>
      <c r="O282" s="97"/>
      <c r="P282" s="98"/>
      <c r="Q282" s="99"/>
      <c r="R282" s="100"/>
      <c r="S282" s="86"/>
      <c r="U282" s="48" t="str">
        <f t="shared" si="41"/>
        <v/>
      </c>
      <c r="V282" s="16"/>
      <c r="W282" s="34"/>
      <c r="X282" s="35"/>
    </row>
    <row r="283" spans="11:24">
      <c r="K283" s="85"/>
      <c r="L283" s="54" t="str">
        <f t="shared" si="39"/>
        <v>F</v>
      </c>
      <c r="M283" s="38" t="str">
        <f t="shared" si="38"/>
        <v/>
      </c>
      <c r="N283" s="69" t="str">
        <f t="shared" si="40"/>
        <v/>
      </c>
      <c r="O283" s="97"/>
      <c r="P283" s="98"/>
      <c r="Q283" s="99"/>
      <c r="R283" s="100"/>
      <c r="S283" s="86"/>
      <c r="U283" s="48" t="str">
        <f t="shared" si="41"/>
        <v/>
      </c>
      <c r="V283" s="16"/>
      <c r="W283" s="34"/>
      <c r="X283" s="35"/>
    </row>
    <row r="284" spans="11:24">
      <c r="K284" s="85"/>
      <c r="L284" s="54" t="str">
        <f t="shared" si="39"/>
        <v>F</v>
      </c>
      <c r="M284" s="38" t="str">
        <f t="shared" si="38"/>
        <v/>
      </c>
      <c r="N284" s="69" t="str">
        <f t="shared" si="40"/>
        <v/>
      </c>
      <c r="O284" s="97"/>
      <c r="P284" s="98"/>
      <c r="Q284" s="99"/>
      <c r="R284" s="100"/>
      <c r="S284" s="86"/>
      <c r="U284" s="48" t="str">
        <f t="shared" si="41"/>
        <v/>
      </c>
      <c r="V284" s="16"/>
      <c r="W284" s="34"/>
      <c r="X284" s="35"/>
    </row>
    <row r="285" spans="11:24">
      <c r="K285" s="85"/>
      <c r="L285" s="54" t="str">
        <f t="shared" si="39"/>
        <v>F</v>
      </c>
      <c r="M285" s="38" t="str">
        <f t="shared" ref="M285:M348" si="42">IFERROR(RIGHT("0000"&amp;DEC2HEX(N285),4),"")</f>
        <v/>
      </c>
      <c r="N285" s="69" t="str">
        <f t="shared" si="40"/>
        <v/>
      </c>
      <c r="O285" s="97"/>
      <c r="P285" s="98"/>
      <c r="Q285" s="99"/>
      <c r="R285" s="100"/>
      <c r="S285" s="86"/>
      <c r="U285" s="48" t="str">
        <f t="shared" si="41"/>
        <v/>
      </c>
      <c r="V285" s="16"/>
      <c r="W285" s="34"/>
      <c r="X285" s="35"/>
    </row>
    <row r="286" spans="11:24">
      <c r="K286" s="85"/>
      <c r="L286" s="54" t="str">
        <f t="shared" si="39"/>
        <v>F</v>
      </c>
      <c r="M286" s="38" t="str">
        <f t="shared" si="42"/>
        <v/>
      </c>
      <c r="N286" s="69" t="str">
        <f t="shared" si="40"/>
        <v/>
      </c>
      <c r="O286" s="97"/>
      <c r="P286" s="98"/>
      <c r="Q286" s="99"/>
      <c r="R286" s="100"/>
      <c r="S286" s="86"/>
      <c r="U286" s="48" t="str">
        <f t="shared" si="41"/>
        <v/>
      </c>
      <c r="V286" s="16"/>
      <c r="W286" s="34"/>
      <c r="X286" s="35"/>
    </row>
    <row r="287" spans="11:24">
      <c r="K287" s="85"/>
      <c r="L287" s="54" t="str">
        <f t="shared" si="39"/>
        <v>F</v>
      </c>
      <c r="M287" s="38" t="str">
        <f t="shared" si="42"/>
        <v/>
      </c>
      <c r="N287" s="69" t="str">
        <f t="shared" si="40"/>
        <v/>
      </c>
      <c r="O287" s="97"/>
      <c r="P287" s="98"/>
      <c r="Q287" s="99"/>
      <c r="R287" s="100"/>
      <c r="S287" s="86"/>
      <c r="U287" s="48" t="str">
        <f t="shared" si="41"/>
        <v/>
      </c>
      <c r="V287" s="16"/>
      <c r="W287" s="34"/>
      <c r="X287" s="35"/>
    </row>
    <row r="288" spans="11:24">
      <c r="K288" s="85"/>
      <c r="L288" s="54" t="str">
        <f t="shared" si="39"/>
        <v>F</v>
      </c>
      <c r="M288" s="38" t="str">
        <f t="shared" si="42"/>
        <v/>
      </c>
      <c r="N288" s="69" t="str">
        <f t="shared" si="40"/>
        <v/>
      </c>
      <c r="O288" s="97"/>
      <c r="P288" s="98"/>
      <c r="Q288" s="99"/>
      <c r="R288" s="100"/>
      <c r="S288" s="86"/>
      <c r="U288" s="48" t="str">
        <f t="shared" si="41"/>
        <v/>
      </c>
      <c r="V288" s="16"/>
      <c r="W288" s="34"/>
      <c r="X288" s="35"/>
    </row>
    <row r="289" spans="11:24">
      <c r="K289" s="85"/>
      <c r="L289" s="54" t="str">
        <f t="shared" si="39"/>
        <v>F</v>
      </c>
      <c r="M289" s="38" t="str">
        <f t="shared" si="42"/>
        <v/>
      </c>
      <c r="N289" s="69" t="str">
        <f t="shared" si="40"/>
        <v/>
      </c>
      <c r="O289" s="97"/>
      <c r="P289" s="98"/>
      <c r="Q289" s="99"/>
      <c r="R289" s="100"/>
      <c r="S289" s="86"/>
      <c r="U289" s="48" t="str">
        <f t="shared" si="41"/>
        <v/>
      </c>
      <c r="V289" s="16"/>
      <c r="W289" s="34"/>
      <c r="X289" s="35"/>
    </row>
    <row r="290" spans="11:24">
      <c r="K290" s="85"/>
      <c r="L290" s="54" t="str">
        <f t="shared" si="39"/>
        <v>F</v>
      </c>
      <c r="M290" s="38" t="str">
        <f t="shared" si="42"/>
        <v/>
      </c>
      <c r="N290" s="69" t="str">
        <f t="shared" si="40"/>
        <v/>
      </c>
      <c r="O290" s="97"/>
      <c r="P290" s="98"/>
      <c r="Q290" s="99"/>
      <c r="R290" s="100"/>
      <c r="S290" s="86"/>
      <c r="U290" s="48" t="str">
        <f t="shared" si="41"/>
        <v/>
      </c>
      <c r="V290" s="16"/>
      <c r="W290" s="34"/>
      <c r="X290" s="35"/>
    </row>
    <row r="291" spans="11:24">
      <c r="K291" s="85"/>
      <c r="L291" s="54" t="str">
        <f t="shared" si="39"/>
        <v>F</v>
      </c>
      <c r="M291" s="38" t="str">
        <f t="shared" si="42"/>
        <v/>
      </c>
      <c r="N291" s="69" t="str">
        <f t="shared" si="40"/>
        <v/>
      </c>
      <c r="O291" s="97"/>
      <c r="P291" s="98"/>
      <c r="Q291" s="99"/>
      <c r="R291" s="100"/>
      <c r="S291" s="86"/>
      <c r="U291" s="48" t="str">
        <f t="shared" si="41"/>
        <v/>
      </c>
      <c r="V291" s="16"/>
      <c r="W291" s="34"/>
      <c r="X291" s="35"/>
    </row>
    <row r="292" spans="11:24">
      <c r="K292" s="85"/>
      <c r="L292" s="54" t="str">
        <f t="shared" si="39"/>
        <v>F</v>
      </c>
      <c r="M292" s="38" t="str">
        <f t="shared" si="42"/>
        <v/>
      </c>
      <c r="N292" s="69" t="str">
        <f t="shared" si="40"/>
        <v/>
      </c>
      <c r="O292" s="97"/>
      <c r="P292" s="98"/>
      <c r="Q292" s="99"/>
      <c r="R292" s="100"/>
      <c r="S292" s="86"/>
      <c r="U292" s="48" t="str">
        <f t="shared" si="41"/>
        <v/>
      </c>
      <c r="V292" s="16"/>
      <c r="W292" s="34"/>
      <c r="X292" s="35"/>
    </row>
    <row r="293" spans="11:24">
      <c r="K293" s="85"/>
      <c r="L293" s="54" t="str">
        <f t="shared" si="39"/>
        <v>F</v>
      </c>
      <c r="M293" s="38" t="str">
        <f t="shared" si="42"/>
        <v/>
      </c>
      <c r="N293" s="69" t="str">
        <f t="shared" si="40"/>
        <v/>
      </c>
      <c r="O293" s="97"/>
      <c r="P293" s="98"/>
      <c r="Q293" s="99"/>
      <c r="R293" s="100"/>
      <c r="S293" s="86"/>
      <c r="U293" s="48" t="str">
        <f t="shared" si="41"/>
        <v/>
      </c>
      <c r="V293" s="16"/>
      <c r="W293" s="34"/>
      <c r="X293" s="35"/>
    </row>
    <row r="294" spans="11:24">
      <c r="K294" s="85"/>
      <c r="L294" s="54" t="str">
        <f t="shared" si="39"/>
        <v>F</v>
      </c>
      <c r="M294" s="38" t="str">
        <f t="shared" si="42"/>
        <v/>
      </c>
      <c r="N294" s="69" t="str">
        <f t="shared" si="40"/>
        <v/>
      </c>
      <c r="O294" s="97"/>
      <c r="P294" s="98"/>
      <c r="Q294" s="99"/>
      <c r="R294" s="100"/>
      <c r="S294" s="86"/>
      <c r="U294" s="48" t="str">
        <f t="shared" si="41"/>
        <v/>
      </c>
      <c r="V294" s="16"/>
      <c r="W294" s="34"/>
      <c r="X294" s="35"/>
    </row>
    <row r="295" spans="11:24">
      <c r="K295" s="85"/>
      <c r="L295" s="54" t="str">
        <f t="shared" si="39"/>
        <v>F</v>
      </c>
      <c r="M295" s="38" t="str">
        <f t="shared" si="42"/>
        <v/>
      </c>
      <c r="N295" s="69" t="str">
        <f t="shared" si="40"/>
        <v/>
      </c>
      <c r="O295" s="97"/>
      <c r="P295" s="98"/>
      <c r="Q295" s="99"/>
      <c r="R295" s="100"/>
      <c r="S295" s="86"/>
      <c r="U295" s="48" t="str">
        <f t="shared" si="41"/>
        <v/>
      </c>
      <c r="V295" s="16"/>
      <c r="W295" s="34"/>
      <c r="X295" s="35"/>
    </row>
    <row r="296" spans="11:24">
      <c r="K296" s="85"/>
      <c r="L296" s="54" t="str">
        <f t="shared" si="39"/>
        <v>F</v>
      </c>
      <c r="M296" s="38" t="str">
        <f t="shared" si="42"/>
        <v/>
      </c>
      <c r="N296" s="69" t="str">
        <f t="shared" si="40"/>
        <v/>
      </c>
      <c r="O296" s="97"/>
      <c r="P296" s="98"/>
      <c r="Q296" s="99"/>
      <c r="R296" s="100"/>
      <c r="S296" s="86"/>
      <c r="U296" s="48" t="str">
        <f t="shared" si="41"/>
        <v/>
      </c>
      <c r="V296" s="16"/>
      <c r="W296" s="34"/>
      <c r="X296" s="35"/>
    </row>
    <row r="297" spans="11:24">
      <c r="K297" s="85"/>
      <c r="L297" s="54" t="str">
        <f t="shared" si="39"/>
        <v>F</v>
      </c>
      <c r="M297" s="38" t="str">
        <f t="shared" si="42"/>
        <v/>
      </c>
      <c r="N297" s="69" t="str">
        <f t="shared" si="40"/>
        <v/>
      </c>
      <c r="O297" s="97"/>
      <c r="P297" s="98"/>
      <c r="Q297" s="99"/>
      <c r="R297" s="100"/>
      <c r="S297" s="86"/>
      <c r="U297" s="48" t="str">
        <f t="shared" si="41"/>
        <v/>
      </c>
      <c r="V297" s="16"/>
      <c r="W297" s="34"/>
      <c r="X297" s="35"/>
    </row>
    <row r="298" spans="11:24">
      <c r="K298" s="85"/>
      <c r="L298" s="54" t="str">
        <f t="shared" si="39"/>
        <v>F</v>
      </c>
      <c r="M298" s="38" t="str">
        <f t="shared" si="42"/>
        <v/>
      </c>
      <c r="N298" s="69" t="str">
        <f t="shared" si="40"/>
        <v/>
      </c>
      <c r="O298" s="97"/>
      <c r="P298" s="98"/>
      <c r="Q298" s="99"/>
      <c r="R298" s="100"/>
      <c r="S298" s="86"/>
      <c r="U298" s="48" t="str">
        <f t="shared" si="41"/>
        <v/>
      </c>
      <c r="V298" s="16"/>
      <c r="W298" s="34"/>
      <c r="X298" s="35"/>
    </row>
    <row r="299" spans="11:24">
      <c r="K299" s="85"/>
      <c r="L299" s="54" t="str">
        <f t="shared" si="39"/>
        <v>F</v>
      </c>
      <c r="M299" s="38" t="str">
        <f t="shared" si="42"/>
        <v/>
      </c>
      <c r="N299" s="69" t="str">
        <f t="shared" si="40"/>
        <v/>
      </c>
      <c r="O299" s="97"/>
      <c r="P299" s="98"/>
      <c r="Q299" s="99"/>
      <c r="R299" s="100"/>
      <c r="S299" s="86"/>
      <c r="U299" s="48" t="str">
        <f t="shared" si="41"/>
        <v/>
      </c>
      <c r="V299" s="16"/>
      <c r="W299" s="34"/>
      <c r="X299" s="35"/>
    </row>
    <row r="300" spans="11:24">
      <c r="K300" s="85"/>
      <c r="L300" s="54" t="str">
        <f t="shared" si="39"/>
        <v>F</v>
      </c>
      <c r="M300" s="38" t="str">
        <f t="shared" si="42"/>
        <v/>
      </c>
      <c r="N300" s="69" t="str">
        <f t="shared" si="40"/>
        <v/>
      </c>
      <c r="O300" s="97"/>
      <c r="P300" s="98"/>
      <c r="Q300" s="99"/>
      <c r="R300" s="100"/>
      <c r="S300" s="86"/>
      <c r="U300" s="48" t="str">
        <f t="shared" si="41"/>
        <v/>
      </c>
      <c r="V300" s="16"/>
      <c r="W300" s="34"/>
      <c r="X300" s="35"/>
    </row>
    <row r="301" spans="11:24">
      <c r="K301" s="85"/>
      <c r="L301" s="54" t="str">
        <f t="shared" si="39"/>
        <v>F</v>
      </c>
      <c r="M301" s="38" t="str">
        <f t="shared" si="42"/>
        <v/>
      </c>
      <c r="N301" s="69" t="str">
        <f t="shared" si="40"/>
        <v/>
      </c>
      <c r="O301" s="97"/>
      <c r="P301" s="98"/>
      <c r="Q301" s="99"/>
      <c r="R301" s="100"/>
      <c r="S301" s="86"/>
      <c r="U301" s="48" t="str">
        <f t="shared" si="41"/>
        <v/>
      </c>
      <c r="V301" s="16"/>
      <c r="W301" s="34"/>
      <c r="X301" s="35"/>
    </row>
    <row r="302" spans="11:24">
      <c r="K302" s="85"/>
      <c r="L302" s="54" t="str">
        <f t="shared" si="39"/>
        <v>F</v>
      </c>
      <c r="M302" s="38" t="str">
        <f t="shared" si="42"/>
        <v/>
      </c>
      <c r="N302" s="69" t="str">
        <f t="shared" si="40"/>
        <v/>
      </c>
      <c r="O302" s="97"/>
      <c r="P302" s="98"/>
      <c r="Q302" s="99"/>
      <c r="R302" s="100"/>
      <c r="S302" s="86"/>
      <c r="U302" s="48" t="str">
        <f t="shared" si="41"/>
        <v/>
      </c>
      <c r="V302" s="16"/>
      <c r="W302" s="34"/>
      <c r="X302" s="35"/>
    </row>
    <row r="303" spans="11:24">
      <c r="K303" s="85"/>
      <c r="L303" s="54" t="str">
        <f t="shared" si="39"/>
        <v>F</v>
      </c>
      <c r="M303" s="38" t="str">
        <f t="shared" si="42"/>
        <v/>
      </c>
      <c r="N303" s="69" t="str">
        <f t="shared" si="40"/>
        <v/>
      </c>
      <c r="O303" s="97"/>
      <c r="P303" s="98"/>
      <c r="Q303" s="99"/>
      <c r="R303" s="100"/>
      <c r="S303" s="86"/>
      <c r="U303" s="48" t="str">
        <f t="shared" si="41"/>
        <v/>
      </c>
      <c r="V303" s="16"/>
      <c r="W303" s="34"/>
      <c r="X303" s="35"/>
    </row>
    <row r="304" spans="11:24">
      <c r="K304" s="85"/>
      <c r="L304" s="54" t="str">
        <f t="shared" si="39"/>
        <v>F</v>
      </c>
      <c r="M304" s="38" t="str">
        <f t="shared" si="42"/>
        <v/>
      </c>
      <c r="N304" s="69" t="str">
        <f t="shared" si="40"/>
        <v/>
      </c>
      <c r="O304" s="97"/>
      <c r="P304" s="98"/>
      <c r="Q304" s="99"/>
      <c r="R304" s="100"/>
      <c r="S304" s="86"/>
      <c r="U304" s="48" t="str">
        <f t="shared" si="41"/>
        <v/>
      </c>
      <c r="V304" s="16"/>
      <c r="W304" s="34"/>
      <c r="X304" s="35"/>
    </row>
    <row r="305" spans="11:24">
      <c r="K305" s="85"/>
      <c r="L305" s="54" t="str">
        <f t="shared" si="39"/>
        <v>F</v>
      </c>
      <c r="M305" s="38" t="str">
        <f t="shared" si="42"/>
        <v/>
      </c>
      <c r="N305" s="69" t="str">
        <f t="shared" si="40"/>
        <v/>
      </c>
      <c r="O305" s="97"/>
      <c r="P305" s="98"/>
      <c r="Q305" s="99"/>
      <c r="R305" s="100"/>
      <c r="S305" s="86"/>
      <c r="U305" s="48" t="str">
        <f t="shared" si="41"/>
        <v/>
      </c>
      <c r="V305" s="16"/>
      <c r="W305" s="34"/>
      <c r="X305" s="35"/>
    </row>
    <row r="306" spans="11:24">
      <c r="K306" s="85"/>
      <c r="L306" s="54" t="str">
        <f t="shared" si="39"/>
        <v>F</v>
      </c>
      <c r="M306" s="38" t="str">
        <f t="shared" si="42"/>
        <v/>
      </c>
      <c r="N306" s="69" t="str">
        <f t="shared" si="40"/>
        <v/>
      </c>
      <c r="O306" s="97"/>
      <c r="P306" s="98"/>
      <c r="Q306" s="99"/>
      <c r="R306" s="100"/>
      <c r="S306" s="86"/>
      <c r="U306" s="48" t="str">
        <f t="shared" si="41"/>
        <v/>
      </c>
      <c r="V306" s="16"/>
      <c r="W306" s="34"/>
      <c r="X306" s="35"/>
    </row>
    <row r="307" spans="11:24">
      <c r="K307" s="85"/>
      <c r="L307" s="54" t="str">
        <f t="shared" si="39"/>
        <v>F</v>
      </c>
      <c r="M307" s="38" t="str">
        <f t="shared" si="42"/>
        <v/>
      </c>
      <c r="N307" s="69" t="str">
        <f t="shared" si="40"/>
        <v/>
      </c>
      <c r="O307" s="97"/>
      <c r="P307" s="98"/>
      <c r="Q307" s="99"/>
      <c r="R307" s="100"/>
      <c r="S307" s="86"/>
      <c r="U307" s="48" t="str">
        <f t="shared" si="41"/>
        <v/>
      </c>
      <c r="V307" s="16"/>
      <c r="W307" s="34"/>
      <c r="X307" s="35"/>
    </row>
    <row r="308" spans="11:24">
      <c r="K308" s="85"/>
      <c r="L308" s="54" t="str">
        <f t="shared" si="39"/>
        <v>F</v>
      </c>
      <c r="M308" s="38" t="str">
        <f t="shared" si="42"/>
        <v/>
      </c>
      <c r="N308" s="69" t="str">
        <f t="shared" si="40"/>
        <v/>
      </c>
      <c r="O308" s="97"/>
      <c r="P308" s="98"/>
      <c r="Q308" s="99"/>
      <c r="R308" s="100"/>
      <c r="S308" s="86"/>
      <c r="U308" s="48" t="str">
        <f t="shared" si="41"/>
        <v/>
      </c>
      <c r="V308" s="16"/>
      <c r="W308" s="34"/>
      <c r="X308" s="35"/>
    </row>
    <row r="309" spans="11:24">
      <c r="K309" s="85"/>
      <c r="L309" s="54" t="str">
        <f t="shared" si="39"/>
        <v>F</v>
      </c>
      <c r="M309" s="38" t="str">
        <f t="shared" si="42"/>
        <v/>
      </c>
      <c r="N309" s="69" t="str">
        <f t="shared" si="40"/>
        <v/>
      </c>
      <c r="O309" s="97"/>
      <c r="P309" s="98"/>
      <c r="Q309" s="99"/>
      <c r="R309" s="100"/>
      <c r="S309" s="86"/>
      <c r="U309" s="48" t="str">
        <f t="shared" si="41"/>
        <v/>
      </c>
      <c r="V309" s="16"/>
      <c r="W309" s="34"/>
      <c r="X309" s="35"/>
    </row>
    <row r="310" spans="11:24">
      <c r="K310" s="85"/>
      <c r="L310" s="54" t="str">
        <f t="shared" si="39"/>
        <v>F</v>
      </c>
      <c r="M310" s="38" t="str">
        <f t="shared" si="42"/>
        <v/>
      </c>
      <c r="N310" s="69" t="str">
        <f t="shared" si="40"/>
        <v/>
      </c>
      <c r="O310" s="97"/>
      <c r="P310" s="98"/>
      <c r="Q310" s="99"/>
      <c r="R310" s="100"/>
      <c r="S310" s="86"/>
      <c r="U310" s="48" t="str">
        <f t="shared" si="41"/>
        <v/>
      </c>
      <c r="V310" s="16"/>
      <c r="W310" s="34"/>
      <c r="X310" s="35"/>
    </row>
    <row r="311" spans="11:24">
      <c r="K311" s="85"/>
      <c r="L311" s="54" t="str">
        <f t="shared" si="39"/>
        <v>F</v>
      </c>
      <c r="M311" s="38" t="str">
        <f t="shared" si="42"/>
        <v/>
      </c>
      <c r="N311" s="69" t="str">
        <f t="shared" si="40"/>
        <v/>
      </c>
      <c r="O311" s="97"/>
      <c r="P311" s="98"/>
      <c r="Q311" s="99"/>
      <c r="R311" s="100"/>
      <c r="S311" s="86"/>
      <c r="U311" s="48" t="str">
        <f t="shared" si="41"/>
        <v/>
      </c>
      <c r="V311" s="16"/>
      <c r="W311" s="34"/>
      <c r="X311" s="35"/>
    </row>
    <row r="312" spans="11:24">
      <c r="K312" s="85"/>
      <c r="L312" s="54" t="str">
        <f t="shared" si="39"/>
        <v>F</v>
      </c>
      <c r="M312" s="38" t="str">
        <f t="shared" si="42"/>
        <v/>
      </c>
      <c r="N312" s="69" t="str">
        <f t="shared" si="40"/>
        <v/>
      </c>
      <c r="O312" s="97"/>
      <c r="P312" s="98"/>
      <c r="Q312" s="99"/>
      <c r="R312" s="100"/>
      <c r="S312" s="86"/>
      <c r="U312" s="48" t="str">
        <f t="shared" si="41"/>
        <v/>
      </c>
      <c r="V312" s="16"/>
      <c r="W312" s="34"/>
      <c r="X312" s="35"/>
    </row>
    <row r="313" spans="11:24">
      <c r="K313" s="85"/>
      <c r="L313" s="54" t="str">
        <f t="shared" si="39"/>
        <v>F</v>
      </c>
      <c r="M313" s="38" t="str">
        <f t="shared" si="42"/>
        <v/>
      </c>
      <c r="N313" s="69" t="str">
        <f t="shared" si="40"/>
        <v/>
      </c>
      <c r="O313" s="97"/>
      <c r="P313" s="98"/>
      <c r="Q313" s="99"/>
      <c r="R313" s="100"/>
      <c r="S313" s="86"/>
      <c r="U313" s="48" t="str">
        <f t="shared" si="41"/>
        <v/>
      </c>
      <c r="V313" s="16"/>
      <c r="W313" s="34"/>
      <c r="X313" s="35"/>
    </row>
    <row r="314" spans="11:24">
      <c r="K314" s="85"/>
      <c r="L314" s="54" t="str">
        <f t="shared" si="39"/>
        <v>F</v>
      </c>
      <c r="M314" s="38" t="str">
        <f t="shared" si="42"/>
        <v/>
      </c>
      <c r="N314" s="69" t="str">
        <f t="shared" si="40"/>
        <v/>
      </c>
      <c r="O314" s="97"/>
      <c r="P314" s="98"/>
      <c r="Q314" s="99"/>
      <c r="R314" s="100"/>
      <c r="S314" s="86"/>
      <c r="U314" s="48" t="str">
        <f t="shared" si="41"/>
        <v/>
      </c>
      <c r="V314" s="16"/>
      <c r="W314" s="34"/>
      <c r="X314" s="35"/>
    </row>
    <row r="315" spans="11:24">
      <c r="K315" s="85"/>
      <c r="L315" s="54" t="str">
        <f t="shared" si="39"/>
        <v>F</v>
      </c>
      <c r="M315" s="38" t="str">
        <f t="shared" si="42"/>
        <v/>
      </c>
      <c r="N315" s="69" t="str">
        <f t="shared" si="40"/>
        <v/>
      </c>
      <c r="O315" s="97"/>
      <c r="P315" s="98"/>
      <c r="Q315" s="99"/>
      <c r="R315" s="100"/>
      <c r="S315" s="86"/>
      <c r="U315" s="48" t="str">
        <f t="shared" si="41"/>
        <v/>
      </c>
      <c r="V315" s="16"/>
      <c r="W315" s="34"/>
      <c r="X315" s="35"/>
    </row>
    <row r="316" spans="11:24">
      <c r="K316" s="85"/>
      <c r="L316" s="54" t="str">
        <f t="shared" si="39"/>
        <v>F</v>
      </c>
      <c r="M316" s="38" t="str">
        <f t="shared" si="42"/>
        <v/>
      </c>
      <c r="N316" s="69" t="str">
        <f t="shared" si="40"/>
        <v/>
      </c>
      <c r="O316" s="97"/>
      <c r="P316" s="98"/>
      <c r="Q316" s="99"/>
      <c r="R316" s="100"/>
      <c r="S316" s="86"/>
      <c r="U316" s="48" t="str">
        <f t="shared" si="41"/>
        <v/>
      </c>
      <c r="V316" s="16"/>
      <c r="W316" s="34"/>
      <c r="X316" s="35"/>
    </row>
    <row r="317" spans="11:24">
      <c r="K317" s="85"/>
      <c r="L317" s="54" t="str">
        <f t="shared" si="39"/>
        <v>F</v>
      </c>
      <c r="M317" s="38" t="str">
        <f t="shared" si="42"/>
        <v/>
      </c>
      <c r="N317" s="69" t="str">
        <f t="shared" si="40"/>
        <v/>
      </c>
      <c r="O317" s="97"/>
      <c r="P317" s="98"/>
      <c r="Q317" s="99"/>
      <c r="R317" s="100"/>
      <c r="S317" s="86"/>
      <c r="U317" s="48" t="str">
        <f t="shared" si="41"/>
        <v/>
      </c>
      <c r="V317" s="16"/>
      <c r="W317" s="34"/>
      <c r="X317" s="35"/>
    </row>
    <row r="318" spans="11:24">
      <c r="K318" s="85"/>
      <c r="L318" s="54" t="str">
        <f t="shared" si="39"/>
        <v>F</v>
      </c>
      <c r="M318" s="38" t="str">
        <f t="shared" si="42"/>
        <v/>
      </c>
      <c r="N318" s="69" t="str">
        <f t="shared" si="40"/>
        <v/>
      </c>
      <c r="O318" s="97"/>
      <c r="P318" s="98"/>
      <c r="Q318" s="99"/>
      <c r="R318" s="100"/>
      <c r="S318" s="86"/>
      <c r="U318" s="48" t="str">
        <f t="shared" si="41"/>
        <v/>
      </c>
      <c r="V318" s="16"/>
      <c r="W318" s="34"/>
      <c r="X318" s="35"/>
    </row>
    <row r="319" spans="11:24">
      <c r="K319" s="85"/>
      <c r="L319" s="54" t="str">
        <f t="shared" si="39"/>
        <v>F</v>
      </c>
      <c r="M319" s="38" t="str">
        <f t="shared" si="42"/>
        <v/>
      </c>
      <c r="N319" s="69" t="str">
        <f t="shared" si="40"/>
        <v/>
      </c>
      <c r="O319" s="97"/>
      <c r="P319" s="98"/>
      <c r="Q319" s="99"/>
      <c r="R319" s="100"/>
      <c r="S319" s="86"/>
      <c r="U319" s="48" t="str">
        <f t="shared" si="41"/>
        <v/>
      </c>
      <c r="V319" s="16"/>
      <c r="W319" s="34"/>
      <c r="X319" s="35"/>
    </row>
    <row r="320" spans="11:24">
      <c r="K320" s="85"/>
      <c r="L320" s="54" t="str">
        <f t="shared" si="39"/>
        <v>F</v>
      </c>
      <c r="M320" s="38" t="str">
        <f t="shared" si="42"/>
        <v/>
      </c>
      <c r="N320" s="69" t="str">
        <f t="shared" si="40"/>
        <v/>
      </c>
      <c r="O320" s="97"/>
      <c r="P320" s="98"/>
      <c r="Q320" s="99"/>
      <c r="R320" s="100"/>
      <c r="S320" s="86"/>
      <c r="U320" s="48" t="str">
        <f t="shared" si="41"/>
        <v/>
      </c>
      <c r="V320" s="16"/>
      <c r="W320" s="34"/>
      <c r="X320" s="35"/>
    </row>
    <row r="321" spans="11:24">
      <c r="K321" s="85"/>
      <c r="L321" s="54" t="str">
        <f t="shared" si="39"/>
        <v>F</v>
      </c>
      <c r="M321" s="38" t="str">
        <f t="shared" si="42"/>
        <v/>
      </c>
      <c r="N321" s="69" t="str">
        <f t="shared" si="40"/>
        <v/>
      </c>
      <c r="O321" s="97"/>
      <c r="P321" s="98"/>
      <c r="Q321" s="99"/>
      <c r="R321" s="100"/>
      <c r="S321" s="86"/>
      <c r="U321" s="48" t="str">
        <f t="shared" si="41"/>
        <v/>
      </c>
      <c r="V321" s="16"/>
      <c r="W321" s="34"/>
      <c r="X321" s="35"/>
    </row>
    <row r="322" spans="11:24">
      <c r="K322" s="85"/>
      <c r="L322" s="54" t="str">
        <f t="shared" si="39"/>
        <v>F</v>
      </c>
      <c r="M322" s="38" t="str">
        <f t="shared" si="42"/>
        <v/>
      </c>
      <c r="N322" s="69" t="str">
        <f t="shared" si="40"/>
        <v/>
      </c>
      <c r="O322" s="97"/>
      <c r="P322" s="98"/>
      <c r="Q322" s="99"/>
      <c r="R322" s="100"/>
      <c r="S322" s="86"/>
      <c r="U322" s="48" t="str">
        <f t="shared" si="41"/>
        <v/>
      </c>
      <c r="V322" s="16"/>
      <c r="W322" s="34"/>
      <c r="X322" s="35"/>
    </row>
    <row r="323" spans="11:24">
      <c r="K323" s="85"/>
      <c r="L323" s="54" t="str">
        <f t="shared" si="39"/>
        <v>F</v>
      </c>
      <c r="M323" s="38" t="str">
        <f t="shared" si="42"/>
        <v/>
      </c>
      <c r="N323" s="69" t="str">
        <f t="shared" si="40"/>
        <v/>
      </c>
      <c r="O323" s="97"/>
      <c r="P323" s="98"/>
      <c r="Q323" s="99"/>
      <c r="R323" s="100"/>
      <c r="S323" s="86"/>
      <c r="U323" s="48" t="str">
        <f t="shared" si="41"/>
        <v/>
      </c>
      <c r="V323" s="16"/>
      <c r="W323" s="34"/>
      <c r="X323" s="35"/>
    </row>
    <row r="324" spans="11:24">
      <c r="K324" s="85"/>
      <c r="L324" s="54" t="str">
        <f t="shared" si="39"/>
        <v>F</v>
      </c>
      <c r="M324" s="38" t="str">
        <f t="shared" si="42"/>
        <v/>
      </c>
      <c r="N324" s="69" t="str">
        <f t="shared" si="40"/>
        <v/>
      </c>
      <c r="O324" s="97"/>
      <c r="P324" s="98"/>
      <c r="Q324" s="99"/>
      <c r="R324" s="100"/>
      <c r="S324" s="86"/>
      <c r="U324" s="48" t="str">
        <f t="shared" si="41"/>
        <v/>
      </c>
      <c r="V324" s="16"/>
      <c r="W324" s="34"/>
      <c r="X324" s="35"/>
    </row>
    <row r="325" spans="11:24">
      <c r="K325" s="85"/>
      <c r="L325" s="54" t="str">
        <f t="shared" si="39"/>
        <v>F</v>
      </c>
      <c r="M325" s="38" t="str">
        <f t="shared" si="42"/>
        <v/>
      </c>
      <c r="N325" s="69" t="str">
        <f t="shared" si="40"/>
        <v/>
      </c>
      <c r="O325" s="97"/>
      <c r="P325" s="98"/>
      <c r="Q325" s="99"/>
      <c r="R325" s="100"/>
      <c r="S325" s="86"/>
      <c r="U325" s="48" t="str">
        <f t="shared" si="41"/>
        <v/>
      </c>
      <c r="V325" s="16"/>
      <c r="W325" s="34"/>
      <c r="X325" s="35"/>
    </row>
    <row r="326" spans="11:24">
      <c r="K326" s="85"/>
      <c r="L326" s="54" t="str">
        <f t="shared" si="39"/>
        <v>F</v>
      </c>
      <c r="M326" s="38" t="str">
        <f t="shared" si="42"/>
        <v/>
      </c>
      <c r="N326" s="69" t="str">
        <f t="shared" si="40"/>
        <v/>
      </c>
      <c r="O326" s="97"/>
      <c r="P326" s="98"/>
      <c r="Q326" s="99"/>
      <c r="R326" s="100"/>
      <c r="S326" s="86"/>
      <c r="U326" s="48" t="str">
        <f t="shared" si="41"/>
        <v/>
      </c>
      <c r="V326" s="16"/>
      <c r="W326" s="34"/>
      <c r="X326" s="35"/>
    </row>
    <row r="327" spans="11:24">
      <c r="K327" s="85"/>
      <c r="L327" s="54" t="str">
        <f t="shared" si="39"/>
        <v>F</v>
      </c>
      <c r="M327" s="38" t="str">
        <f t="shared" si="42"/>
        <v/>
      </c>
      <c r="N327" s="69" t="str">
        <f t="shared" si="40"/>
        <v/>
      </c>
      <c r="O327" s="97"/>
      <c r="P327" s="98"/>
      <c r="Q327" s="99"/>
      <c r="R327" s="100"/>
      <c r="S327" s="86"/>
      <c r="U327" s="48" t="str">
        <f t="shared" si="41"/>
        <v/>
      </c>
      <c r="V327" s="16"/>
      <c r="W327" s="34"/>
      <c r="X327" s="35"/>
    </row>
    <row r="328" spans="11:24">
      <c r="K328" s="85"/>
      <c r="L328" s="54" t="str">
        <f t="shared" si="39"/>
        <v>F</v>
      </c>
      <c r="M328" s="38" t="str">
        <f t="shared" si="42"/>
        <v/>
      </c>
      <c r="N328" s="69" t="str">
        <f t="shared" si="40"/>
        <v/>
      </c>
      <c r="O328" s="97"/>
      <c r="P328" s="98"/>
      <c r="Q328" s="99"/>
      <c r="R328" s="100"/>
      <c r="S328" s="86"/>
      <c r="U328" s="48" t="str">
        <f t="shared" si="41"/>
        <v/>
      </c>
      <c r="V328" s="16"/>
      <c r="W328" s="34"/>
      <c r="X328" s="35"/>
    </row>
    <row r="329" spans="11:24">
      <c r="K329" s="85"/>
      <c r="L329" s="54" t="str">
        <f t="shared" ref="L329:L392" si="43">IF(UPPER(P329)="EQU","E",IF(P329="DB","D",IF(O329&lt;&gt;"","L",IF(N329="","F",""))))</f>
        <v>F</v>
      </c>
      <c r="M329" s="38" t="str">
        <f t="shared" si="42"/>
        <v/>
      </c>
      <c r="N329" s="69" t="str">
        <f t="shared" ref="N329:N392" si="44">IFERROR(IF(N328+1&lt;=HEX2DEC(MemSize)+HEX2DEC(MemStart),N328+1,""),"")</f>
        <v/>
      </c>
      <c r="O329" s="97"/>
      <c r="P329" s="98"/>
      <c r="Q329" s="99"/>
      <c r="R329" s="100"/>
      <c r="S329" s="86"/>
      <c r="U329" s="48" t="str">
        <f t="shared" ref="U329:U392" si="45">IF(V329&gt;0,RIGHT("0000"&amp;DEC2HEX(V329),4),"")</f>
        <v/>
      </c>
      <c r="V329" s="16"/>
      <c r="W329" s="34"/>
      <c r="X329" s="35"/>
    </row>
    <row r="330" spans="11:24">
      <c r="K330" s="85"/>
      <c r="L330" s="54" t="str">
        <f t="shared" si="43"/>
        <v>F</v>
      </c>
      <c r="M330" s="38" t="str">
        <f t="shared" si="42"/>
        <v/>
      </c>
      <c r="N330" s="69" t="str">
        <f t="shared" si="44"/>
        <v/>
      </c>
      <c r="O330" s="97"/>
      <c r="P330" s="98"/>
      <c r="Q330" s="99"/>
      <c r="R330" s="100"/>
      <c r="S330" s="86"/>
      <c r="U330" s="48" t="str">
        <f t="shared" si="45"/>
        <v/>
      </c>
      <c r="V330" s="16"/>
      <c r="W330" s="34"/>
      <c r="X330" s="35"/>
    </row>
    <row r="331" spans="11:24">
      <c r="K331" s="85"/>
      <c r="L331" s="54" t="str">
        <f t="shared" si="43"/>
        <v>F</v>
      </c>
      <c r="M331" s="38" t="str">
        <f t="shared" si="42"/>
        <v/>
      </c>
      <c r="N331" s="69" t="str">
        <f t="shared" si="44"/>
        <v/>
      </c>
      <c r="O331" s="97"/>
      <c r="P331" s="98"/>
      <c r="Q331" s="99"/>
      <c r="R331" s="100"/>
      <c r="S331" s="86"/>
      <c r="U331" s="48" t="str">
        <f t="shared" si="45"/>
        <v/>
      </c>
      <c r="V331" s="16"/>
      <c r="W331" s="34"/>
      <c r="X331" s="35"/>
    </row>
    <row r="332" spans="11:24">
      <c r="K332" s="85"/>
      <c r="L332" s="54" t="str">
        <f t="shared" si="43"/>
        <v>F</v>
      </c>
      <c r="M332" s="38" t="str">
        <f t="shared" si="42"/>
        <v/>
      </c>
      <c r="N332" s="69" t="str">
        <f t="shared" si="44"/>
        <v/>
      </c>
      <c r="O332" s="97"/>
      <c r="P332" s="98"/>
      <c r="Q332" s="99"/>
      <c r="R332" s="100"/>
      <c r="S332" s="86"/>
      <c r="U332" s="48" t="str">
        <f t="shared" si="45"/>
        <v/>
      </c>
      <c r="V332" s="16"/>
      <c r="W332" s="34"/>
      <c r="X332" s="35"/>
    </row>
    <row r="333" spans="11:24">
      <c r="K333" s="85"/>
      <c r="L333" s="54" t="str">
        <f t="shared" si="43"/>
        <v>F</v>
      </c>
      <c r="M333" s="38" t="str">
        <f t="shared" si="42"/>
        <v/>
      </c>
      <c r="N333" s="69" t="str">
        <f t="shared" si="44"/>
        <v/>
      </c>
      <c r="O333" s="97"/>
      <c r="P333" s="98"/>
      <c r="Q333" s="99"/>
      <c r="R333" s="100"/>
      <c r="S333" s="86"/>
      <c r="U333" s="48" t="str">
        <f t="shared" si="45"/>
        <v/>
      </c>
      <c r="V333" s="16"/>
      <c r="W333" s="34"/>
      <c r="X333" s="35"/>
    </row>
    <row r="334" spans="11:24">
      <c r="K334" s="85"/>
      <c r="L334" s="54" t="str">
        <f t="shared" si="43"/>
        <v>F</v>
      </c>
      <c r="M334" s="38" t="str">
        <f t="shared" si="42"/>
        <v/>
      </c>
      <c r="N334" s="69" t="str">
        <f t="shared" si="44"/>
        <v/>
      </c>
      <c r="O334" s="97"/>
      <c r="P334" s="98"/>
      <c r="Q334" s="99"/>
      <c r="R334" s="100"/>
      <c r="S334" s="86"/>
      <c r="U334" s="48" t="str">
        <f t="shared" si="45"/>
        <v/>
      </c>
      <c r="V334" s="16"/>
      <c r="W334" s="34"/>
      <c r="X334" s="35"/>
    </row>
    <row r="335" spans="11:24">
      <c r="K335" s="85"/>
      <c r="L335" s="54" t="str">
        <f t="shared" si="43"/>
        <v>F</v>
      </c>
      <c r="M335" s="38" t="str">
        <f t="shared" si="42"/>
        <v/>
      </c>
      <c r="N335" s="69" t="str">
        <f t="shared" si="44"/>
        <v/>
      </c>
      <c r="O335" s="97"/>
      <c r="P335" s="98"/>
      <c r="Q335" s="99"/>
      <c r="R335" s="100"/>
      <c r="S335" s="86"/>
      <c r="U335" s="48" t="str">
        <f t="shared" si="45"/>
        <v/>
      </c>
      <c r="V335" s="16"/>
      <c r="W335" s="34"/>
      <c r="X335" s="35"/>
    </row>
    <row r="336" spans="11:24">
      <c r="K336" s="85"/>
      <c r="L336" s="54" t="str">
        <f t="shared" si="43"/>
        <v>F</v>
      </c>
      <c r="M336" s="38" t="str">
        <f t="shared" si="42"/>
        <v/>
      </c>
      <c r="N336" s="69" t="str">
        <f t="shared" si="44"/>
        <v/>
      </c>
      <c r="O336" s="97"/>
      <c r="P336" s="98"/>
      <c r="Q336" s="99"/>
      <c r="R336" s="100"/>
      <c r="S336" s="86"/>
      <c r="U336" s="48" t="str">
        <f t="shared" si="45"/>
        <v/>
      </c>
      <c r="V336" s="16"/>
      <c r="W336" s="34"/>
      <c r="X336" s="35"/>
    </row>
    <row r="337" spans="11:24">
      <c r="K337" s="85"/>
      <c r="L337" s="54" t="str">
        <f t="shared" si="43"/>
        <v>F</v>
      </c>
      <c r="M337" s="38" t="str">
        <f t="shared" si="42"/>
        <v/>
      </c>
      <c r="N337" s="69" t="str">
        <f t="shared" si="44"/>
        <v/>
      </c>
      <c r="O337" s="97"/>
      <c r="P337" s="98"/>
      <c r="Q337" s="99"/>
      <c r="R337" s="100"/>
      <c r="S337" s="86"/>
      <c r="U337" s="48" t="str">
        <f t="shared" si="45"/>
        <v/>
      </c>
      <c r="V337" s="16"/>
      <c r="W337" s="34"/>
      <c r="X337" s="35"/>
    </row>
    <row r="338" spans="11:24">
      <c r="K338" s="85"/>
      <c r="L338" s="54" t="str">
        <f t="shared" si="43"/>
        <v>F</v>
      </c>
      <c r="M338" s="38" t="str">
        <f t="shared" si="42"/>
        <v/>
      </c>
      <c r="N338" s="69" t="str">
        <f t="shared" si="44"/>
        <v/>
      </c>
      <c r="O338" s="97"/>
      <c r="P338" s="98"/>
      <c r="Q338" s="99"/>
      <c r="R338" s="100"/>
      <c r="S338" s="86"/>
      <c r="U338" s="48" t="str">
        <f t="shared" si="45"/>
        <v/>
      </c>
      <c r="V338" s="16"/>
      <c r="W338" s="34"/>
      <c r="X338" s="35"/>
    </row>
    <row r="339" spans="11:24">
      <c r="K339" s="85"/>
      <c r="L339" s="54" t="str">
        <f t="shared" si="43"/>
        <v>F</v>
      </c>
      <c r="M339" s="38" t="str">
        <f t="shared" si="42"/>
        <v/>
      </c>
      <c r="N339" s="69" t="str">
        <f t="shared" si="44"/>
        <v/>
      </c>
      <c r="O339" s="97"/>
      <c r="P339" s="98"/>
      <c r="Q339" s="99"/>
      <c r="R339" s="100"/>
      <c r="S339" s="86"/>
      <c r="U339" s="48" t="str">
        <f t="shared" si="45"/>
        <v/>
      </c>
      <c r="V339" s="16"/>
      <c r="W339" s="34"/>
      <c r="X339" s="35"/>
    </row>
    <row r="340" spans="11:24">
      <c r="K340" s="85"/>
      <c r="L340" s="54" t="str">
        <f t="shared" si="43"/>
        <v>F</v>
      </c>
      <c r="M340" s="38" t="str">
        <f t="shared" si="42"/>
        <v/>
      </c>
      <c r="N340" s="69" t="str">
        <f t="shared" si="44"/>
        <v/>
      </c>
      <c r="O340" s="97"/>
      <c r="P340" s="98"/>
      <c r="Q340" s="99"/>
      <c r="R340" s="100"/>
      <c r="S340" s="86"/>
      <c r="U340" s="48" t="str">
        <f t="shared" si="45"/>
        <v/>
      </c>
      <c r="V340" s="16"/>
      <c r="W340" s="34"/>
      <c r="X340" s="35"/>
    </row>
    <row r="341" spans="11:24">
      <c r="K341" s="85"/>
      <c r="L341" s="54" t="str">
        <f t="shared" si="43"/>
        <v>F</v>
      </c>
      <c r="M341" s="38" t="str">
        <f t="shared" si="42"/>
        <v/>
      </c>
      <c r="N341" s="69" t="str">
        <f t="shared" si="44"/>
        <v/>
      </c>
      <c r="O341" s="97"/>
      <c r="P341" s="98"/>
      <c r="Q341" s="99"/>
      <c r="R341" s="100"/>
      <c r="S341" s="86"/>
      <c r="U341" s="48" t="str">
        <f t="shared" si="45"/>
        <v/>
      </c>
      <c r="V341" s="16"/>
      <c r="W341" s="34"/>
      <c r="X341" s="35"/>
    </row>
    <row r="342" spans="11:24">
      <c r="K342" s="85"/>
      <c r="L342" s="54" t="str">
        <f t="shared" si="43"/>
        <v>F</v>
      </c>
      <c r="M342" s="38" t="str">
        <f t="shared" si="42"/>
        <v/>
      </c>
      <c r="N342" s="69" t="str">
        <f t="shared" si="44"/>
        <v/>
      </c>
      <c r="O342" s="97"/>
      <c r="P342" s="98"/>
      <c r="Q342" s="99"/>
      <c r="R342" s="100"/>
      <c r="S342" s="86"/>
      <c r="U342" s="48" t="str">
        <f t="shared" si="45"/>
        <v/>
      </c>
      <c r="V342" s="16"/>
      <c r="W342" s="34"/>
      <c r="X342" s="35"/>
    </row>
    <row r="343" spans="11:24">
      <c r="K343" s="85"/>
      <c r="L343" s="54" t="str">
        <f t="shared" si="43"/>
        <v>F</v>
      </c>
      <c r="M343" s="38" t="str">
        <f t="shared" si="42"/>
        <v/>
      </c>
      <c r="N343" s="69" t="str">
        <f t="shared" si="44"/>
        <v/>
      </c>
      <c r="O343" s="97"/>
      <c r="P343" s="98"/>
      <c r="Q343" s="99"/>
      <c r="R343" s="100"/>
      <c r="S343" s="86"/>
      <c r="U343" s="48" t="str">
        <f t="shared" si="45"/>
        <v/>
      </c>
      <c r="V343" s="16"/>
      <c r="W343" s="34"/>
      <c r="X343" s="35"/>
    </row>
    <row r="344" spans="11:24">
      <c r="K344" s="85"/>
      <c r="L344" s="54" t="str">
        <f t="shared" si="43"/>
        <v>F</v>
      </c>
      <c r="M344" s="38" t="str">
        <f t="shared" si="42"/>
        <v/>
      </c>
      <c r="N344" s="69" t="str">
        <f t="shared" si="44"/>
        <v/>
      </c>
      <c r="O344" s="97"/>
      <c r="P344" s="98"/>
      <c r="Q344" s="99"/>
      <c r="R344" s="100"/>
      <c r="S344" s="86"/>
      <c r="U344" s="48" t="str">
        <f t="shared" si="45"/>
        <v/>
      </c>
      <c r="V344" s="16"/>
      <c r="W344" s="34"/>
      <c r="X344" s="35"/>
    </row>
    <row r="345" spans="11:24">
      <c r="K345" s="85"/>
      <c r="L345" s="54" t="str">
        <f t="shared" si="43"/>
        <v>F</v>
      </c>
      <c r="M345" s="38" t="str">
        <f t="shared" si="42"/>
        <v/>
      </c>
      <c r="N345" s="69" t="str">
        <f t="shared" si="44"/>
        <v/>
      </c>
      <c r="O345" s="97"/>
      <c r="P345" s="98"/>
      <c r="Q345" s="99"/>
      <c r="R345" s="100"/>
      <c r="S345" s="86"/>
      <c r="U345" s="48" t="str">
        <f t="shared" si="45"/>
        <v/>
      </c>
      <c r="V345" s="16"/>
      <c r="W345" s="34"/>
      <c r="X345" s="35"/>
    </row>
    <row r="346" spans="11:24">
      <c r="K346" s="85"/>
      <c r="L346" s="54" t="str">
        <f t="shared" si="43"/>
        <v>F</v>
      </c>
      <c r="M346" s="38" t="str">
        <f t="shared" si="42"/>
        <v/>
      </c>
      <c r="N346" s="69" t="str">
        <f t="shared" si="44"/>
        <v/>
      </c>
      <c r="O346" s="97"/>
      <c r="P346" s="98"/>
      <c r="Q346" s="99"/>
      <c r="R346" s="100"/>
      <c r="S346" s="86"/>
      <c r="U346" s="48" t="str">
        <f t="shared" si="45"/>
        <v/>
      </c>
      <c r="V346" s="16"/>
      <c r="W346" s="34"/>
      <c r="X346" s="35"/>
    </row>
    <row r="347" spans="11:24">
      <c r="K347" s="85"/>
      <c r="L347" s="54" t="str">
        <f t="shared" si="43"/>
        <v>F</v>
      </c>
      <c r="M347" s="38" t="str">
        <f t="shared" si="42"/>
        <v/>
      </c>
      <c r="N347" s="69" t="str">
        <f t="shared" si="44"/>
        <v/>
      </c>
      <c r="O347" s="97"/>
      <c r="P347" s="98"/>
      <c r="Q347" s="99"/>
      <c r="R347" s="100"/>
      <c r="S347" s="86"/>
      <c r="U347" s="48" t="str">
        <f t="shared" si="45"/>
        <v/>
      </c>
      <c r="V347" s="16"/>
      <c r="W347" s="34"/>
      <c r="X347" s="35"/>
    </row>
    <row r="348" spans="11:24">
      <c r="K348" s="85"/>
      <c r="L348" s="54" t="str">
        <f t="shared" si="43"/>
        <v>F</v>
      </c>
      <c r="M348" s="38" t="str">
        <f t="shared" si="42"/>
        <v/>
      </c>
      <c r="N348" s="69" t="str">
        <f t="shared" si="44"/>
        <v/>
      </c>
      <c r="O348" s="97"/>
      <c r="P348" s="98"/>
      <c r="Q348" s="99"/>
      <c r="R348" s="100"/>
      <c r="S348" s="86"/>
      <c r="U348" s="48" t="str">
        <f t="shared" si="45"/>
        <v/>
      </c>
      <c r="V348" s="16"/>
      <c r="W348" s="34"/>
      <c r="X348" s="35"/>
    </row>
    <row r="349" spans="11:24">
      <c r="K349" s="85"/>
      <c r="L349" s="54" t="str">
        <f t="shared" si="43"/>
        <v>F</v>
      </c>
      <c r="M349" s="38" t="str">
        <f t="shared" ref="M349:M412" si="46">IFERROR(RIGHT("0000"&amp;DEC2HEX(N349),4),"")</f>
        <v/>
      </c>
      <c r="N349" s="69" t="str">
        <f t="shared" si="44"/>
        <v/>
      </c>
      <c r="O349" s="97"/>
      <c r="P349" s="98"/>
      <c r="Q349" s="99"/>
      <c r="R349" s="100"/>
      <c r="S349" s="86"/>
      <c r="U349" s="48" t="str">
        <f t="shared" si="45"/>
        <v/>
      </c>
      <c r="V349" s="16"/>
      <c r="W349" s="34"/>
      <c r="X349" s="35"/>
    </row>
    <row r="350" spans="11:24">
      <c r="K350" s="85"/>
      <c r="L350" s="54" t="str">
        <f t="shared" si="43"/>
        <v>F</v>
      </c>
      <c r="M350" s="38" t="str">
        <f t="shared" si="46"/>
        <v/>
      </c>
      <c r="N350" s="69" t="str">
        <f t="shared" si="44"/>
        <v/>
      </c>
      <c r="O350" s="97"/>
      <c r="P350" s="98"/>
      <c r="Q350" s="99"/>
      <c r="R350" s="100"/>
      <c r="S350" s="86"/>
      <c r="U350" s="48" t="str">
        <f t="shared" si="45"/>
        <v/>
      </c>
      <c r="V350" s="16"/>
      <c r="W350" s="34"/>
      <c r="X350" s="35"/>
    </row>
    <row r="351" spans="11:24">
      <c r="K351" s="85"/>
      <c r="L351" s="54" t="str">
        <f t="shared" si="43"/>
        <v>F</v>
      </c>
      <c r="M351" s="38" t="str">
        <f t="shared" si="46"/>
        <v/>
      </c>
      <c r="N351" s="69" t="str">
        <f t="shared" si="44"/>
        <v/>
      </c>
      <c r="O351" s="97"/>
      <c r="P351" s="98"/>
      <c r="Q351" s="99"/>
      <c r="R351" s="100"/>
      <c r="S351" s="86"/>
      <c r="U351" s="48" t="str">
        <f t="shared" si="45"/>
        <v/>
      </c>
      <c r="V351" s="16"/>
      <c r="W351" s="34"/>
      <c r="X351" s="35"/>
    </row>
    <row r="352" spans="11:24">
      <c r="K352" s="85"/>
      <c r="L352" s="54" t="str">
        <f t="shared" si="43"/>
        <v>F</v>
      </c>
      <c r="M352" s="38" t="str">
        <f t="shared" si="46"/>
        <v/>
      </c>
      <c r="N352" s="69" t="str">
        <f t="shared" si="44"/>
        <v/>
      </c>
      <c r="O352" s="97"/>
      <c r="P352" s="98"/>
      <c r="Q352" s="99"/>
      <c r="R352" s="100"/>
      <c r="S352" s="86"/>
      <c r="U352" s="48" t="str">
        <f t="shared" si="45"/>
        <v/>
      </c>
      <c r="V352" s="16"/>
      <c r="W352" s="34"/>
      <c r="X352" s="35"/>
    </row>
    <row r="353" spans="11:24">
      <c r="K353" s="85"/>
      <c r="L353" s="54" t="str">
        <f t="shared" si="43"/>
        <v>F</v>
      </c>
      <c r="M353" s="38" t="str">
        <f t="shared" si="46"/>
        <v/>
      </c>
      <c r="N353" s="69" t="str">
        <f t="shared" si="44"/>
        <v/>
      </c>
      <c r="O353" s="97"/>
      <c r="P353" s="98"/>
      <c r="Q353" s="99"/>
      <c r="R353" s="100"/>
      <c r="S353" s="86"/>
      <c r="U353" s="48" t="str">
        <f t="shared" si="45"/>
        <v/>
      </c>
      <c r="V353" s="16"/>
      <c r="W353" s="34"/>
      <c r="X353" s="35"/>
    </row>
    <row r="354" spans="11:24">
      <c r="K354" s="85"/>
      <c r="L354" s="54" t="str">
        <f t="shared" si="43"/>
        <v>F</v>
      </c>
      <c r="M354" s="38" t="str">
        <f t="shared" si="46"/>
        <v/>
      </c>
      <c r="N354" s="69" t="str">
        <f t="shared" si="44"/>
        <v/>
      </c>
      <c r="O354" s="97"/>
      <c r="P354" s="98"/>
      <c r="Q354" s="99"/>
      <c r="R354" s="100"/>
      <c r="S354" s="86"/>
      <c r="U354" s="48" t="str">
        <f t="shared" si="45"/>
        <v/>
      </c>
      <c r="V354" s="16"/>
      <c r="W354" s="34"/>
      <c r="X354" s="35"/>
    </row>
    <row r="355" spans="11:24">
      <c r="K355" s="85"/>
      <c r="L355" s="54" t="str">
        <f t="shared" si="43"/>
        <v>F</v>
      </c>
      <c r="M355" s="38" t="str">
        <f t="shared" si="46"/>
        <v/>
      </c>
      <c r="N355" s="69" t="str">
        <f t="shared" si="44"/>
        <v/>
      </c>
      <c r="O355" s="97"/>
      <c r="P355" s="98"/>
      <c r="Q355" s="99"/>
      <c r="R355" s="100"/>
      <c r="S355" s="86"/>
      <c r="U355" s="48" t="str">
        <f t="shared" si="45"/>
        <v/>
      </c>
      <c r="V355" s="16"/>
      <c r="W355" s="34"/>
      <c r="X355" s="35"/>
    </row>
    <row r="356" spans="11:24">
      <c r="K356" s="85"/>
      <c r="L356" s="54" t="str">
        <f t="shared" si="43"/>
        <v>F</v>
      </c>
      <c r="M356" s="38" t="str">
        <f t="shared" si="46"/>
        <v/>
      </c>
      <c r="N356" s="69" t="str">
        <f t="shared" si="44"/>
        <v/>
      </c>
      <c r="O356" s="97"/>
      <c r="P356" s="98"/>
      <c r="Q356" s="99"/>
      <c r="R356" s="100"/>
      <c r="S356" s="86"/>
      <c r="U356" s="48" t="str">
        <f t="shared" si="45"/>
        <v/>
      </c>
      <c r="V356" s="16"/>
      <c r="W356" s="34"/>
      <c r="X356" s="35"/>
    </row>
    <row r="357" spans="11:24">
      <c r="K357" s="85"/>
      <c r="L357" s="54" t="str">
        <f t="shared" si="43"/>
        <v>F</v>
      </c>
      <c r="M357" s="38" t="str">
        <f t="shared" si="46"/>
        <v/>
      </c>
      <c r="N357" s="69" t="str">
        <f t="shared" si="44"/>
        <v/>
      </c>
      <c r="O357" s="97"/>
      <c r="P357" s="98"/>
      <c r="Q357" s="99"/>
      <c r="R357" s="100"/>
      <c r="S357" s="86"/>
      <c r="U357" s="48" t="str">
        <f t="shared" si="45"/>
        <v/>
      </c>
      <c r="V357" s="16"/>
      <c r="W357" s="34"/>
      <c r="X357" s="35"/>
    </row>
    <row r="358" spans="11:24">
      <c r="K358" s="85"/>
      <c r="L358" s="54" t="str">
        <f t="shared" si="43"/>
        <v>F</v>
      </c>
      <c r="M358" s="38" t="str">
        <f t="shared" si="46"/>
        <v/>
      </c>
      <c r="N358" s="69" t="str">
        <f t="shared" si="44"/>
        <v/>
      </c>
      <c r="O358" s="97"/>
      <c r="P358" s="98"/>
      <c r="Q358" s="99"/>
      <c r="R358" s="100"/>
      <c r="S358" s="86"/>
      <c r="U358" s="48" t="str">
        <f t="shared" si="45"/>
        <v/>
      </c>
      <c r="V358" s="16"/>
      <c r="W358" s="34"/>
      <c r="X358" s="35"/>
    </row>
    <row r="359" spans="11:24">
      <c r="K359" s="85"/>
      <c r="L359" s="54" t="str">
        <f t="shared" si="43"/>
        <v>F</v>
      </c>
      <c r="M359" s="38" t="str">
        <f t="shared" si="46"/>
        <v/>
      </c>
      <c r="N359" s="69" t="str">
        <f t="shared" si="44"/>
        <v/>
      </c>
      <c r="O359" s="97"/>
      <c r="P359" s="98"/>
      <c r="Q359" s="99"/>
      <c r="R359" s="100"/>
      <c r="S359" s="86"/>
      <c r="U359" s="48" t="str">
        <f t="shared" si="45"/>
        <v/>
      </c>
      <c r="V359" s="16"/>
      <c r="W359" s="34"/>
      <c r="X359" s="35"/>
    </row>
    <row r="360" spans="11:24">
      <c r="K360" s="85"/>
      <c r="L360" s="54" t="str">
        <f t="shared" si="43"/>
        <v>F</v>
      </c>
      <c r="M360" s="38" t="str">
        <f t="shared" si="46"/>
        <v/>
      </c>
      <c r="N360" s="69" t="str">
        <f t="shared" si="44"/>
        <v/>
      </c>
      <c r="O360" s="97"/>
      <c r="P360" s="98"/>
      <c r="Q360" s="99"/>
      <c r="R360" s="100"/>
      <c r="S360" s="86"/>
      <c r="U360" s="48" t="str">
        <f t="shared" si="45"/>
        <v/>
      </c>
      <c r="V360" s="16"/>
      <c r="W360" s="34"/>
      <c r="X360" s="35"/>
    </row>
    <row r="361" spans="11:24">
      <c r="K361" s="85"/>
      <c r="L361" s="54" t="str">
        <f t="shared" si="43"/>
        <v>F</v>
      </c>
      <c r="M361" s="38" t="str">
        <f t="shared" si="46"/>
        <v/>
      </c>
      <c r="N361" s="69" t="str">
        <f t="shared" si="44"/>
        <v/>
      </c>
      <c r="O361" s="97"/>
      <c r="P361" s="98"/>
      <c r="Q361" s="99"/>
      <c r="R361" s="100"/>
      <c r="S361" s="86"/>
      <c r="U361" s="48" t="str">
        <f t="shared" si="45"/>
        <v/>
      </c>
      <c r="V361" s="16"/>
      <c r="W361" s="34"/>
      <c r="X361" s="35"/>
    </row>
    <row r="362" spans="11:24">
      <c r="K362" s="85"/>
      <c r="L362" s="54" t="str">
        <f t="shared" si="43"/>
        <v>F</v>
      </c>
      <c r="M362" s="38" t="str">
        <f t="shared" si="46"/>
        <v/>
      </c>
      <c r="N362" s="69" t="str">
        <f t="shared" si="44"/>
        <v/>
      </c>
      <c r="O362" s="97"/>
      <c r="P362" s="98"/>
      <c r="Q362" s="99"/>
      <c r="R362" s="100"/>
      <c r="S362" s="86"/>
      <c r="U362" s="48" t="str">
        <f t="shared" si="45"/>
        <v/>
      </c>
      <c r="V362" s="16"/>
      <c r="W362" s="34"/>
      <c r="X362" s="35"/>
    </row>
    <row r="363" spans="11:24">
      <c r="K363" s="85"/>
      <c r="L363" s="54" t="str">
        <f t="shared" si="43"/>
        <v>F</v>
      </c>
      <c r="M363" s="38" t="str">
        <f t="shared" si="46"/>
        <v/>
      </c>
      <c r="N363" s="69" t="str">
        <f t="shared" si="44"/>
        <v/>
      </c>
      <c r="O363" s="97"/>
      <c r="P363" s="98"/>
      <c r="Q363" s="99"/>
      <c r="R363" s="100"/>
      <c r="S363" s="86"/>
      <c r="U363" s="48" t="str">
        <f t="shared" si="45"/>
        <v/>
      </c>
      <c r="V363" s="16"/>
      <c r="W363" s="34"/>
      <c r="X363" s="35"/>
    </row>
    <row r="364" spans="11:24">
      <c r="K364" s="85"/>
      <c r="L364" s="54" t="str">
        <f t="shared" si="43"/>
        <v>F</v>
      </c>
      <c r="M364" s="38" t="str">
        <f t="shared" si="46"/>
        <v/>
      </c>
      <c r="N364" s="69" t="str">
        <f t="shared" si="44"/>
        <v/>
      </c>
      <c r="O364" s="97"/>
      <c r="P364" s="98"/>
      <c r="Q364" s="99"/>
      <c r="R364" s="100"/>
      <c r="S364" s="86"/>
      <c r="U364" s="48" t="str">
        <f t="shared" si="45"/>
        <v/>
      </c>
      <c r="V364" s="16"/>
      <c r="W364" s="34"/>
      <c r="X364" s="35"/>
    </row>
    <row r="365" spans="11:24">
      <c r="K365" s="85"/>
      <c r="L365" s="54" t="str">
        <f t="shared" si="43"/>
        <v>F</v>
      </c>
      <c r="M365" s="38" t="str">
        <f t="shared" si="46"/>
        <v/>
      </c>
      <c r="N365" s="69" t="str">
        <f t="shared" si="44"/>
        <v/>
      </c>
      <c r="O365" s="97"/>
      <c r="P365" s="98"/>
      <c r="Q365" s="99"/>
      <c r="R365" s="100"/>
      <c r="S365" s="86"/>
      <c r="U365" s="48" t="str">
        <f t="shared" si="45"/>
        <v/>
      </c>
      <c r="V365" s="16"/>
      <c r="W365" s="34"/>
      <c r="X365" s="35"/>
    </row>
    <row r="366" spans="11:24">
      <c r="K366" s="85"/>
      <c r="L366" s="54" t="str">
        <f t="shared" si="43"/>
        <v>F</v>
      </c>
      <c r="M366" s="38" t="str">
        <f t="shared" si="46"/>
        <v/>
      </c>
      <c r="N366" s="69" t="str">
        <f t="shared" si="44"/>
        <v/>
      </c>
      <c r="O366" s="97"/>
      <c r="P366" s="98"/>
      <c r="Q366" s="99"/>
      <c r="R366" s="100"/>
      <c r="S366" s="86"/>
      <c r="U366" s="48" t="str">
        <f t="shared" si="45"/>
        <v/>
      </c>
      <c r="V366" s="16"/>
      <c r="W366" s="34"/>
      <c r="X366" s="35"/>
    </row>
    <row r="367" spans="11:24">
      <c r="K367" s="85"/>
      <c r="L367" s="54" t="str">
        <f t="shared" si="43"/>
        <v>F</v>
      </c>
      <c r="M367" s="38" t="str">
        <f t="shared" si="46"/>
        <v/>
      </c>
      <c r="N367" s="69" t="str">
        <f t="shared" si="44"/>
        <v/>
      </c>
      <c r="O367" s="97"/>
      <c r="P367" s="98"/>
      <c r="Q367" s="99"/>
      <c r="R367" s="100"/>
      <c r="S367" s="86"/>
      <c r="U367" s="48" t="str">
        <f t="shared" si="45"/>
        <v/>
      </c>
      <c r="V367" s="16"/>
      <c r="W367" s="34"/>
      <c r="X367" s="35"/>
    </row>
    <row r="368" spans="11:24">
      <c r="K368" s="85"/>
      <c r="L368" s="54" t="str">
        <f t="shared" si="43"/>
        <v>F</v>
      </c>
      <c r="M368" s="38" t="str">
        <f t="shared" si="46"/>
        <v/>
      </c>
      <c r="N368" s="69" t="str">
        <f t="shared" si="44"/>
        <v/>
      </c>
      <c r="O368" s="97"/>
      <c r="P368" s="98"/>
      <c r="Q368" s="99"/>
      <c r="R368" s="100"/>
      <c r="S368" s="86"/>
      <c r="U368" s="48" t="str">
        <f t="shared" si="45"/>
        <v/>
      </c>
      <c r="V368" s="16"/>
      <c r="W368" s="34"/>
      <c r="X368" s="35"/>
    </row>
    <row r="369" spans="11:24">
      <c r="K369" s="85"/>
      <c r="L369" s="54" t="str">
        <f t="shared" si="43"/>
        <v>F</v>
      </c>
      <c r="M369" s="38" t="str">
        <f t="shared" si="46"/>
        <v/>
      </c>
      <c r="N369" s="69" t="str">
        <f t="shared" si="44"/>
        <v/>
      </c>
      <c r="O369" s="97"/>
      <c r="P369" s="98"/>
      <c r="Q369" s="99"/>
      <c r="R369" s="100"/>
      <c r="S369" s="86"/>
      <c r="U369" s="48" t="str">
        <f t="shared" si="45"/>
        <v/>
      </c>
      <c r="V369" s="16"/>
      <c r="W369" s="34"/>
      <c r="X369" s="35"/>
    </row>
    <row r="370" spans="11:24">
      <c r="K370" s="85"/>
      <c r="L370" s="54" t="str">
        <f t="shared" si="43"/>
        <v>F</v>
      </c>
      <c r="M370" s="38" t="str">
        <f t="shared" si="46"/>
        <v/>
      </c>
      <c r="N370" s="69" t="str">
        <f t="shared" si="44"/>
        <v/>
      </c>
      <c r="O370" s="97"/>
      <c r="P370" s="98"/>
      <c r="Q370" s="99"/>
      <c r="R370" s="100"/>
      <c r="S370" s="86"/>
      <c r="U370" s="48" t="str">
        <f t="shared" si="45"/>
        <v/>
      </c>
      <c r="V370" s="16"/>
      <c r="W370" s="34"/>
      <c r="X370" s="35"/>
    </row>
    <row r="371" spans="11:24">
      <c r="K371" s="85"/>
      <c r="L371" s="54" t="str">
        <f t="shared" si="43"/>
        <v>F</v>
      </c>
      <c r="M371" s="38" t="str">
        <f t="shared" si="46"/>
        <v/>
      </c>
      <c r="N371" s="69" t="str">
        <f t="shared" si="44"/>
        <v/>
      </c>
      <c r="O371" s="97"/>
      <c r="P371" s="98"/>
      <c r="Q371" s="99"/>
      <c r="R371" s="100"/>
      <c r="S371" s="86"/>
      <c r="U371" s="48" t="str">
        <f t="shared" si="45"/>
        <v/>
      </c>
      <c r="V371" s="16"/>
      <c r="W371" s="34"/>
      <c r="X371" s="35"/>
    </row>
    <row r="372" spans="11:24">
      <c r="K372" s="85"/>
      <c r="L372" s="54" t="str">
        <f t="shared" si="43"/>
        <v>F</v>
      </c>
      <c r="M372" s="38" t="str">
        <f t="shared" si="46"/>
        <v/>
      </c>
      <c r="N372" s="69" t="str">
        <f t="shared" si="44"/>
        <v/>
      </c>
      <c r="O372" s="97"/>
      <c r="P372" s="98"/>
      <c r="Q372" s="99"/>
      <c r="R372" s="100"/>
      <c r="S372" s="86"/>
      <c r="U372" s="48" t="str">
        <f t="shared" si="45"/>
        <v/>
      </c>
      <c r="V372" s="16"/>
      <c r="W372" s="34"/>
      <c r="X372" s="35"/>
    </row>
    <row r="373" spans="11:24">
      <c r="K373" s="85"/>
      <c r="L373" s="54" t="str">
        <f t="shared" si="43"/>
        <v>F</v>
      </c>
      <c r="M373" s="38" t="str">
        <f t="shared" si="46"/>
        <v/>
      </c>
      <c r="N373" s="69" t="str">
        <f t="shared" si="44"/>
        <v/>
      </c>
      <c r="O373" s="97"/>
      <c r="P373" s="98"/>
      <c r="Q373" s="99"/>
      <c r="R373" s="100"/>
      <c r="S373" s="86"/>
      <c r="U373" s="48" t="str">
        <f t="shared" si="45"/>
        <v/>
      </c>
      <c r="V373" s="16"/>
      <c r="W373" s="34"/>
      <c r="X373" s="35"/>
    </row>
    <row r="374" spans="11:24">
      <c r="K374" s="85"/>
      <c r="L374" s="54" t="str">
        <f t="shared" si="43"/>
        <v>F</v>
      </c>
      <c r="M374" s="38" t="str">
        <f t="shared" si="46"/>
        <v/>
      </c>
      <c r="N374" s="69" t="str">
        <f t="shared" si="44"/>
        <v/>
      </c>
      <c r="O374" s="97"/>
      <c r="P374" s="98"/>
      <c r="Q374" s="99"/>
      <c r="R374" s="100"/>
      <c r="S374" s="86"/>
      <c r="U374" s="48" t="str">
        <f t="shared" si="45"/>
        <v/>
      </c>
      <c r="V374" s="16"/>
      <c r="W374" s="34"/>
      <c r="X374" s="35"/>
    </row>
    <row r="375" spans="11:24">
      <c r="K375" s="85"/>
      <c r="L375" s="54" t="str">
        <f t="shared" si="43"/>
        <v>F</v>
      </c>
      <c r="M375" s="38" t="str">
        <f t="shared" si="46"/>
        <v/>
      </c>
      <c r="N375" s="69" t="str">
        <f t="shared" si="44"/>
        <v/>
      </c>
      <c r="O375" s="97"/>
      <c r="P375" s="98"/>
      <c r="Q375" s="99"/>
      <c r="R375" s="100"/>
      <c r="S375" s="86"/>
      <c r="U375" s="48" t="str">
        <f t="shared" si="45"/>
        <v/>
      </c>
      <c r="V375" s="16"/>
      <c r="W375" s="34"/>
      <c r="X375" s="35"/>
    </row>
    <row r="376" spans="11:24">
      <c r="K376" s="85"/>
      <c r="L376" s="54" t="str">
        <f t="shared" si="43"/>
        <v>F</v>
      </c>
      <c r="M376" s="38" t="str">
        <f t="shared" si="46"/>
        <v/>
      </c>
      <c r="N376" s="69" t="str">
        <f t="shared" si="44"/>
        <v/>
      </c>
      <c r="O376" s="97"/>
      <c r="P376" s="98"/>
      <c r="Q376" s="99"/>
      <c r="R376" s="100"/>
      <c r="S376" s="86"/>
      <c r="U376" s="48" t="str">
        <f t="shared" si="45"/>
        <v/>
      </c>
      <c r="V376" s="16"/>
      <c r="W376" s="34"/>
      <c r="X376" s="35"/>
    </row>
    <row r="377" spans="11:24">
      <c r="K377" s="85"/>
      <c r="L377" s="54" t="str">
        <f t="shared" si="43"/>
        <v>F</v>
      </c>
      <c r="M377" s="38" t="str">
        <f t="shared" si="46"/>
        <v/>
      </c>
      <c r="N377" s="69" t="str">
        <f t="shared" si="44"/>
        <v/>
      </c>
      <c r="O377" s="97"/>
      <c r="P377" s="98"/>
      <c r="Q377" s="99"/>
      <c r="R377" s="100"/>
      <c r="S377" s="86"/>
      <c r="U377" s="48" t="str">
        <f t="shared" si="45"/>
        <v/>
      </c>
      <c r="V377" s="16"/>
      <c r="W377" s="34"/>
      <c r="X377" s="35"/>
    </row>
    <row r="378" spans="11:24">
      <c r="K378" s="85"/>
      <c r="L378" s="54" t="str">
        <f t="shared" si="43"/>
        <v>F</v>
      </c>
      <c r="M378" s="38" t="str">
        <f t="shared" si="46"/>
        <v/>
      </c>
      <c r="N378" s="69" t="str">
        <f t="shared" si="44"/>
        <v/>
      </c>
      <c r="O378" s="97"/>
      <c r="P378" s="98"/>
      <c r="Q378" s="99"/>
      <c r="R378" s="100"/>
      <c r="S378" s="86"/>
      <c r="U378" s="48" t="str">
        <f t="shared" si="45"/>
        <v/>
      </c>
      <c r="V378" s="16"/>
      <c r="W378" s="34"/>
      <c r="X378" s="35"/>
    </row>
    <row r="379" spans="11:24">
      <c r="K379" s="85"/>
      <c r="L379" s="54" t="str">
        <f t="shared" si="43"/>
        <v>F</v>
      </c>
      <c r="M379" s="38" t="str">
        <f t="shared" si="46"/>
        <v/>
      </c>
      <c r="N379" s="69" t="str">
        <f t="shared" si="44"/>
        <v/>
      </c>
      <c r="O379" s="97"/>
      <c r="P379" s="98"/>
      <c r="Q379" s="99"/>
      <c r="R379" s="100"/>
      <c r="S379" s="86"/>
      <c r="U379" s="48" t="str">
        <f t="shared" si="45"/>
        <v/>
      </c>
      <c r="V379" s="16"/>
      <c r="W379" s="34"/>
      <c r="X379" s="35"/>
    </row>
    <row r="380" spans="11:24">
      <c r="K380" s="85"/>
      <c r="L380" s="54" t="str">
        <f t="shared" si="43"/>
        <v>F</v>
      </c>
      <c r="M380" s="38" t="str">
        <f t="shared" si="46"/>
        <v/>
      </c>
      <c r="N380" s="69" t="str">
        <f t="shared" si="44"/>
        <v/>
      </c>
      <c r="O380" s="97"/>
      <c r="P380" s="98"/>
      <c r="Q380" s="99"/>
      <c r="R380" s="100"/>
      <c r="S380" s="86"/>
      <c r="U380" s="48" t="str">
        <f t="shared" si="45"/>
        <v/>
      </c>
      <c r="V380" s="16"/>
      <c r="W380" s="34"/>
      <c r="X380" s="35"/>
    </row>
    <row r="381" spans="11:24">
      <c r="K381" s="85"/>
      <c r="L381" s="54" t="str">
        <f t="shared" si="43"/>
        <v>F</v>
      </c>
      <c r="M381" s="38" t="str">
        <f t="shared" si="46"/>
        <v/>
      </c>
      <c r="N381" s="69" t="str">
        <f t="shared" si="44"/>
        <v/>
      </c>
      <c r="O381" s="97"/>
      <c r="P381" s="98"/>
      <c r="Q381" s="99"/>
      <c r="R381" s="100"/>
      <c r="S381" s="86"/>
      <c r="U381" s="48" t="str">
        <f t="shared" si="45"/>
        <v/>
      </c>
      <c r="V381" s="16"/>
      <c r="W381" s="34"/>
      <c r="X381" s="35"/>
    </row>
    <row r="382" spans="11:24">
      <c r="K382" s="85"/>
      <c r="L382" s="54" t="str">
        <f t="shared" si="43"/>
        <v>F</v>
      </c>
      <c r="M382" s="38" t="str">
        <f t="shared" si="46"/>
        <v/>
      </c>
      <c r="N382" s="69" t="str">
        <f t="shared" si="44"/>
        <v/>
      </c>
      <c r="O382" s="97"/>
      <c r="P382" s="98"/>
      <c r="Q382" s="99"/>
      <c r="R382" s="100"/>
      <c r="S382" s="86"/>
      <c r="U382" s="48" t="str">
        <f t="shared" si="45"/>
        <v/>
      </c>
      <c r="V382" s="16"/>
      <c r="W382" s="34"/>
      <c r="X382" s="35"/>
    </row>
    <row r="383" spans="11:24">
      <c r="K383" s="85"/>
      <c r="L383" s="54" t="str">
        <f t="shared" si="43"/>
        <v>F</v>
      </c>
      <c r="M383" s="38" t="str">
        <f t="shared" si="46"/>
        <v/>
      </c>
      <c r="N383" s="69" t="str">
        <f t="shared" si="44"/>
        <v/>
      </c>
      <c r="O383" s="97"/>
      <c r="P383" s="98"/>
      <c r="Q383" s="99"/>
      <c r="R383" s="100"/>
      <c r="S383" s="86"/>
      <c r="U383" s="48" t="str">
        <f t="shared" si="45"/>
        <v/>
      </c>
      <c r="V383" s="16"/>
      <c r="W383" s="34"/>
      <c r="X383" s="35"/>
    </row>
    <row r="384" spans="11:24">
      <c r="K384" s="85"/>
      <c r="L384" s="54" t="str">
        <f t="shared" si="43"/>
        <v>F</v>
      </c>
      <c r="M384" s="38" t="str">
        <f t="shared" si="46"/>
        <v/>
      </c>
      <c r="N384" s="69" t="str">
        <f t="shared" si="44"/>
        <v/>
      </c>
      <c r="O384" s="97"/>
      <c r="P384" s="98"/>
      <c r="Q384" s="99"/>
      <c r="R384" s="100"/>
      <c r="S384" s="86"/>
      <c r="U384" s="48" t="str">
        <f t="shared" si="45"/>
        <v/>
      </c>
      <c r="V384" s="16"/>
      <c r="W384" s="34"/>
      <c r="X384" s="35"/>
    </row>
    <row r="385" spans="11:24">
      <c r="K385" s="85"/>
      <c r="L385" s="54" t="str">
        <f t="shared" si="43"/>
        <v>F</v>
      </c>
      <c r="M385" s="38" t="str">
        <f t="shared" si="46"/>
        <v/>
      </c>
      <c r="N385" s="69" t="str">
        <f t="shared" si="44"/>
        <v/>
      </c>
      <c r="O385" s="97"/>
      <c r="P385" s="98"/>
      <c r="Q385" s="99"/>
      <c r="R385" s="100"/>
      <c r="S385" s="86"/>
      <c r="U385" s="48" t="str">
        <f t="shared" si="45"/>
        <v/>
      </c>
      <c r="V385" s="16"/>
      <c r="W385" s="34"/>
      <c r="X385" s="35"/>
    </row>
    <row r="386" spans="11:24">
      <c r="K386" s="85"/>
      <c r="L386" s="54" t="str">
        <f t="shared" si="43"/>
        <v>F</v>
      </c>
      <c r="M386" s="38" t="str">
        <f t="shared" si="46"/>
        <v/>
      </c>
      <c r="N386" s="69" t="str">
        <f t="shared" si="44"/>
        <v/>
      </c>
      <c r="O386" s="97"/>
      <c r="P386" s="98"/>
      <c r="Q386" s="99"/>
      <c r="R386" s="100"/>
      <c r="S386" s="86"/>
      <c r="U386" s="48" t="str">
        <f t="shared" si="45"/>
        <v/>
      </c>
      <c r="V386" s="16"/>
      <c r="W386" s="34"/>
      <c r="X386" s="35"/>
    </row>
    <row r="387" spans="11:24">
      <c r="K387" s="85"/>
      <c r="L387" s="54" t="str">
        <f t="shared" si="43"/>
        <v>F</v>
      </c>
      <c r="M387" s="38" t="str">
        <f t="shared" si="46"/>
        <v/>
      </c>
      <c r="N387" s="69" t="str">
        <f t="shared" si="44"/>
        <v/>
      </c>
      <c r="O387" s="97"/>
      <c r="P387" s="98"/>
      <c r="Q387" s="99"/>
      <c r="R387" s="100"/>
      <c r="S387" s="86"/>
      <c r="U387" s="48" t="str">
        <f t="shared" si="45"/>
        <v/>
      </c>
      <c r="V387" s="16"/>
      <c r="W387" s="34"/>
      <c r="X387" s="35"/>
    </row>
    <row r="388" spans="11:24">
      <c r="K388" s="85"/>
      <c r="L388" s="54" t="str">
        <f t="shared" si="43"/>
        <v>F</v>
      </c>
      <c r="M388" s="38" t="str">
        <f t="shared" si="46"/>
        <v/>
      </c>
      <c r="N388" s="69" t="str">
        <f t="shared" si="44"/>
        <v/>
      </c>
      <c r="O388" s="97"/>
      <c r="P388" s="98"/>
      <c r="Q388" s="99"/>
      <c r="R388" s="100"/>
      <c r="S388" s="86"/>
      <c r="U388" s="48" t="str">
        <f t="shared" si="45"/>
        <v/>
      </c>
      <c r="V388" s="16"/>
      <c r="W388" s="34"/>
      <c r="X388" s="35"/>
    </row>
    <row r="389" spans="11:24">
      <c r="K389" s="85"/>
      <c r="L389" s="54" t="str">
        <f t="shared" si="43"/>
        <v>F</v>
      </c>
      <c r="M389" s="38" t="str">
        <f t="shared" si="46"/>
        <v/>
      </c>
      <c r="N389" s="69" t="str">
        <f t="shared" si="44"/>
        <v/>
      </c>
      <c r="O389" s="97"/>
      <c r="P389" s="98"/>
      <c r="Q389" s="99"/>
      <c r="R389" s="100"/>
      <c r="S389" s="86"/>
      <c r="U389" s="48" t="str">
        <f t="shared" si="45"/>
        <v/>
      </c>
      <c r="V389" s="16"/>
      <c r="W389" s="34"/>
      <c r="X389" s="35"/>
    </row>
    <row r="390" spans="11:24">
      <c r="K390" s="85"/>
      <c r="L390" s="54" t="str">
        <f t="shared" si="43"/>
        <v>F</v>
      </c>
      <c r="M390" s="38" t="str">
        <f t="shared" si="46"/>
        <v/>
      </c>
      <c r="N390" s="69" t="str">
        <f t="shared" si="44"/>
        <v/>
      </c>
      <c r="O390" s="97"/>
      <c r="P390" s="98"/>
      <c r="Q390" s="99"/>
      <c r="R390" s="100"/>
      <c r="S390" s="86"/>
      <c r="U390" s="48" t="str">
        <f t="shared" si="45"/>
        <v/>
      </c>
      <c r="V390" s="16"/>
      <c r="W390" s="34"/>
      <c r="X390" s="35"/>
    </row>
    <row r="391" spans="11:24">
      <c r="K391" s="85"/>
      <c r="L391" s="54" t="str">
        <f t="shared" si="43"/>
        <v>F</v>
      </c>
      <c r="M391" s="38" t="str">
        <f t="shared" si="46"/>
        <v/>
      </c>
      <c r="N391" s="69" t="str">
        <f t="shared" si="44"/>
        <v/>
      </c>
      <c r="O391" s="97"/>
      <c r="P391" s="98"/>
      <c r="Q391" s="99"/>
      <c r="R391" s="100"/>
      <c r="S391" s="86"/>
      <c r="U391" s="48" t="str">
        <f t="shared" si="45"/>
        <v/>
      </c>
      <c r="V391" s="16"/>
      <c r="W391" s="34"/>
      <c r="X391" s="35"/>
    </row>
    <row r="392" spans="11:24">
      <c r="K392" s="85"/>
      <c r="L392" s="54" t="str">
        <f t="shared" si="43"/>
        <v>F</v>
      </c>
      <c r="M392" s="38" t="str">
        <f t="shared" si="46"/>
        <v/>
      </c>
      <c r="N392" s="69" t="str">
        <f t="shared" si="44"/>
        <v/>
      </c>
      <c r="O392" s="97"/>
      <c r="P392" s="98"/>
      <c r="Q392" s="99"/>
      <c r="R392" s="100"/>
      <c r="S392" s="86"/>
      <c r="U392" s="48" t="str">
        <f t="shared" si="45"/>
        <v/>
      </c>
      <c r="V392" s="16"/>
      <c r="W392" s="34"/>
      <c r="X392" s="35"/>
    </row>
    <row r="393" spans="11:24">
      <c r="K393" s="85"/>
      <c r="L393" s="54" t="str">
        <f t="shared" ref="L393:L456" si="47">IF(UPPER(P393)="EQU","E",IF(P393="DB","D",IF(O393&lt;&gt;"","L",IF(N393="","F",""))))</f>
        <v>F</v>
      </c>
      <c r="M393" s="38" t="str">
        <f t="shared" si="46"/>
        <v/>
      </c>
      <c r="N393" s="69" t="str">
        <f t="shared" ref="N393:N456" si="48">IFERROR(IF(N392+1&lt;=HEX2DEC(MemSize)+HEX2DEC(MemStart),N392+1,""),"")</f>
        <v/>
      </c>
      <c r="O393" s="97"/>
      <c r="P393" s="98"/>
      <c r="Q393" s="99"/>
      <c r="R393" s="100"/>
      <c r="S393" s="86"/>
      <c r="U393" s="48" t="str">
        <f t="shared" ref="U393:U456" si="49">IF(V393&gt;0,RIGHT("0000"&amp;DEC2HEX(V393),4),"")</f>
        <v/>
      </c>
      <c r="V393" s="16"/>
      <c r="W393" s="34"/>
      <c r="X393" s="35"/>
    </row>
    <row r="394" spans="11:24">
      <c r="K394" s="85"/>
      <c r="L394" s="54" t="str">
        <f t="shared" si="47"/>
        <v>F</v>
      </c>
      <c r="M394" s="38" t="str">
        <f t="shared" si="46"/>
        <v/>
      </c>
      <c r="N394" s="69" t="str">
        <f t="shared" si="48"/>
        <v/>
      </c>
      <c r="O394" s="97"/>
      <c r="P394" s="98"/>
      <c r="Q394" s="99"/>
      <c r="R394" s="100"/>
      <c r="S394" s="86"/>
      <c r="U394" s="48" t="str">
        <f t="shared" si="49"/>
        <v/>
      </c>
      <c r="V394" s="16"/>
      <c r="W394" s="34"/>
      <c r="X394" s="35"/>
    </row>
    <row r="395" spans="11:24">
      <c r="K395" s="85"/>
      <c r="L395" s="54" t="str">
        <f t="shared" si="47"/>
        <v>F</v>
      </c>
      <c r="M395" s="38" t="str">
        <f t="shared" si="46"/>
        <v/>
      </c>
      <c r="N395" s="69" t="str">
        <f t="shared" si="48"/>
        <v/>
      </c>
      <c r="O395" s="97"/>
      <c r="P395" s="98"/>
      <c r="Q395" s="99"/>
      <c r="R395" s="100"/>
      <c r="S395" s="86"/>
      <c r="U395" s="48" t="str">
        <f t="shared" si="49"/>
        <v/>
      </c>
      <c r="V395" s="16"/>
      <c r="W395" s="34"/>
      <c r="X395" s="35"/>
    </row>
    <row r="396" spans="11:24">
      <c r="K396" s="85"/>
      <c r="L396" s="54" t="str">
        <f t="shared" si="47"/>
        <v>F</v>
      </c>
      <c r="M396" s="38" t="str">
        <f t="shared" si="46"/>
        <v/>
      </c>
      <c r="N396" s="69" t="str">
        <f t="shared" si="48"/>
        <v/>
      </c>
      <c r="O396" s="97"/>
      <c r="P396" s="98"/>
      <c r="Q396" s="99"/>
      <c r="R396" s="100"/>
      <c r="S396" s="86"/>
      <c r="U396" s="48" t="str">
        <f t="shared" si="49"/>
        <v/>
      </c>
      <c r="V396" s="16"/>
      <c r="W396" s="34"/>
      <c r="X396" s="35"/>
    </row>
    <row r="397" spans="11:24">
      <c r="K397" s="85"/>
      <c r="L397" s="54" t="str">
        <f t="shared" si="47"/>
        <v>F</v>
      </c>
      <c r="M397" s="38" t="str">
        <f t="shared" si="46"/>
        <v/>
      </c>
      <c r="N397" s="69" t="str">
        <f t="shared" si="48"/>
        <v/>
      </c>
      <c r="O397" s="97"/>
      <c r="P397" s="98"/>
      <c r="Q397" s="99"/>
      <c r="R397" s="100"/>
      <c r="S397" s="86"/>
      <c r="U397" s="48" t="str">
        <f t="shared" si="49"/>
        <v/>
      </c>
      <c r="V397" s="16"/>
      <c r="W397" s="34"/>
      <c r="X397" s="35"/>
    </row>
    <row r="398" spans="11:24">
      <c r="K398" s="85"/>
      <c r="L398" s="54" t="str">
        <f t="shared" si="47"/>
        <v>F</v>
      </c>
      <c r="M398" s="38" t="str">
        <f t="shared" si="46"/>
        <v/>
      </c>
      <c r="N398" s="69" t="str">
        <f t="shared" si="48"/>
        <v/>
      </c>
      <c r="O398" s="97"/>
      <c r="P398" s="98"/>
      <c r="Q398" s="99"/>
      <c r="R398" s="100"/>
      <c r="S398" s="86"/>
      <c r="U398" s="48" t="str">
        <f t="shared" si="49"/>
        <v/>
      </c>
      <c r="V398" s="16"/>
      <c r="W398" s="34"/>
      <c r="X398" s="35"/>
    </row>
    <row r="399" spans="11:24">
      <c r="K399" s="85"/>
      <c r="L399" s="54" t="str">
        <f t="shared" si="47"/>
        <v>F</v>
      </c>
      <c r="M399" s="38" t="str">
        <f t="shared" si="46"/>
        <v/>
      </c>
      <c r="N399" s="69" t="str">
        <f t="shared" si="48"/>
        <v/>
      </c>
      <c r="O399" s="97"/>
      <c r="P399" s="98"/>
      <c r="Q399" s="99"/>
      <c r="R399" s="100"/>
      <c r="S399" s="86"/>
      <c r="U399" s="48" t="str">
        <f t="shared" si="49"/>
        <v/>
      </c>
      <c r="V399" s="16"/>
      <c r="W399" s="34"/>
      <c r="X399" s="35"/>
    </row>
    <row r="400" spans="11:24">
      <c r="K400" s="85"/>
      <c r="L400" s="54" t="str">
        <f t="shared" si="47"/>
        <v>F</v>
      </c>
      <c r="M400" s="38" t="str">
        <f t="shared" si="46"/>
        <v/>
      </c>
      <c r="N400" s="69" t="str">
        <f t="shared" si="48"/>
        <v/>
      </c>
      <c r="O400" s="97"/>
      <c r="P400" s="98"/>
      <c r="Q400" s="99"/>
      <c r="R400" s="100"/>
      <c r="S400" s="86"/>
      <c r="U400" s="48" t="str">
        <f t="shared" si="49"/>
        <v/>
      </c>
      <c r="V400" s="16"/>
      <c r="W400" s="34"/>
      <c r="X400" s="35"/>
    </row>
    <row r="401" spans="11:24">
      <c r="K401" s="85"/>
      <c r="L401" s="54" t="str">
        <f t="shared" si="47"/>
        <v>F</v>
      </c>
      <c r="M401" s="38" t="str">
        <f t="shared" si="46"/>
        <v/>
      </c>
      <c r="N401" s="69" t="str">
        <f t="shared" si="48"/>
        <v/>
      </c>
      <c r="O401" s="97"/>
      <c r="P401" s="98"/>
      <c r="Q401" s="99"/>
      <c r="R401" s="100"/>
      <c r="S401" s="86"/>
      <c r="U401" s="48" t="str">
        <f t="shared" si="49"/>
        <v/>
      </c>
      <c r="V401" s="16"/>
      <c r="W401" s="34"/>
      <c r="X401" s="35"/>
    </row>
    <row r="402" spans="11:24">
      <c r="K402" s="85"/>
      <c r="L402" s="54" t="str">
        <f t="shared" si="47"/>
        <v>F</v>
      </c>
      <c r="M402" s="38" t="str">
        <f t="shared" si="46"/>
        <v/>
      </c>
      <c r="N402" s="69" t="str">
        <f t="shared" si="48"/>
        <v/>
      </c>
      <c r="O402" s="97"/>
      <c r="P402" s="98"/>
      <c r="Q402" s="99"/>
      <c r="R402" s="100"/>
      <c r="S402" s="86"/>
      <c r="U402" s="48" t="str">
        <f t="shared" si="49"/>
        <v/>
      </c>
      <c r="V402" s="16"/>
      <c r="W402" s="34"/>
      <c r="X402" s="35"/>
    </row>
    <row r="403" spans="11:24">
      <c r="K403" s="85"/>
      <c r="L403" s="54" t="str">
        <f t="shared" si="47"/>
        <v>F</v>
      </c>
      <c r="M403" s="38" t="str">
        <f t="shared" si="46"/>
        <v/>
      </c>
      <c r="N403" s="69" t="str">
        <f t="shared" si="48"/>
        <v/>
      </c>
      <c r="O403" s="97"/>
      <c r="P403" s="98"/>
      <c r="Q403" s="99"/>
      <c r="R403" s="100"/>
      <c r="S403" s="86"/>
      <c r="U403" s="48" t="str">
        <f t="shared" si="49"/>
        <v/>
      </c>
      <c r="V403" s="16"/>
      <c r="W403" s="34"/>
      <c r="X403" s="35"/>
    </row>
    <row r="404" spans="11:24">
      <c r="K404" s="85"/>
      <c r="L404" s="54" t="str">
        <f t="shared" si="47"/>
        <v>F</v>
      </c>
      <c r="M404" s="38" t="str">
        <f t="shared" si="46"/>
        <v/>
      </c>
      <c r="N404" s="69" t="str">
        <f t="shared" si="48"/>
        <v/>
      </c>
      <c r="O404" s="97"/>
      <c r="P404" s="98"/>
      <c r="Q404" s="99"/>
      <c r="R404" s="100"/>
      <c r="S404" s="86"/>
      <c r="U404" s="48" t="str">
        <f t="shared" si="49"/>
        <v/>
      </c>
      <c r="V404" s="16"/>
      <c r="W404" s="34"/>
      <c r="X404" s="35"/>
    </row>
    <row r="405" spans="11:24">
      <c r="K405" s="85"/>
      <c r="L405" s="54" t="str">
        <f t="shared" si="47"/>
        <v>F</v>
      </c>
      <c r="M405" s="38" t="str">
        <f t="shared" si="46"/>
        <v/>
      </c>
      <c r="N405" s="69" t="str">
        <f t="shared" si="48"/>
        <v/>
      </c>
      <c r="O405" s="97"/>
      <c r="P405" s="98"/>
      <c r="Q405" s="99"/>
      <c r="R405" s="100"/>
      <c r="S405" s="86"/>
      <c r="U405" s="48" t="str">
        <f t="shared" si="49"/>
        <v/>
      </c>
      <c r="V405" s="16"/>
      <c r="W405" s="34"/>
      <c r="X405" s="35"/>
    </row>
    <row r="406" spans="11:24">
      <c r="K406" s="85"/>
      <c r="L406" s="54" t="str">
        <f t="shared" si="47"/>
        <v>F</v>
      </c>
      <c r="M406" s="38" t="str">
        <f t="shared" si="46"/>
        <v/>
      </c>
      <c r="N406" s="69" t="str">
        <f t="shared" si="48"/>
        <v/>
      </c>
      <c r="O406" s="97"/>
      <c r="P406" s="98"/>
      <c r="Q406" s="99"/>
      <c r="R406" s="100"/>
      <c r="S406" s="86"/>
      <c r="U406" s="48" t="str">
        <f t="shared" si="49"/>
        <v/>
      </c>
      <c r="V406" s="16"/>
      <c r="W406" s="34"/>
      <c r="X406" s="35"/>
    </row>
    <row r="407" spans="11:24">
      <c r="K407" s="85"/>
      <c r="L407" s="54" t="str">
        <f t="shared" si="47"/>
        <v>F</v>
      </c>
      <c r="M407" s="38" t="str">
        <f t="shared" si="46"/>
        <v/>
      </c>
      <c r="N407" s="69" t="str">
        <f t="shared" si="48"/>
        <v/>
      </c>
      <c r="O407" s="97"/>
      <c r="P407" s="98"/>
      <c r="Q407" s="99"/>
      <c r="R407" s="100"/>
      <c r="S407" s="86"/>
      <c r="U407" s="48" t="str">
        <f t="shared" si="49"/>
        <v/>
      </c>
      <c r="V407" s="16"/>
      <c r="W407" s="34"/>
      <c r="X407" s="35"/>
    </row>
    <row r="408" spans="11:24">
      <c r="K408" s="85"/>
      <c r="L408" s="54" t="str">
        <f t="shared" si="47"/>
        <v>F</v>
      </c>
      <c r="M408" s="38" t="str">
        <f t="shared" si="46"/>
        <v/>
      </c>
      <c r="N408" s="69" t="str">
        <f t="shared" si="48"/>
        <v/>
      </c>
      <c r="O408" s="97"/>
      <c r="P408" s="98"/>
      <c r="Q408" s="99"/>
      <c r="R408" s="100"/>
      <c r="S408" s="86"/>
      <c r="U408" s="48" t="str">
        <f t="shared" si="49"/>
        <v/>
      </c>
      <c r="V408" s="16"/>
      <c r="W408" s="34"/>
      <c r="X408" s="35"/>
    </row>
    <row r="409" spans="11:24">
      <c r="K409" s="85"/>
      <c r="L409" s="54" t="str">
        <f t="shared" si="47"/>
        <v>F</v>
      </c>
      <c r="M409" s="38" t="str">
        <f t="shared" si="46"/>
        <v/>
      </c>
      <c r="N409" s="69" t="str">
        <f t="shared" si="48"/>
        <v/>
      </c>
      <c r="O409" s="97"/>
      <c r="P409" s="98"/>
      <c r="Q409" s="99"/>
      <c r="R409" s="100"/>
      <c r="S409" s="86"/>
      <c r="U409" s="48" t="str">
        <f t="shared" si="49"/>
        <v/>
      </c>
      <c r="V409" s="16"/>
      <c r="W409" s="34"/>
      <c r="X409" s="35"/>
    </row>
    <row r="410" spans="11:24">
      <c r="K410" s="85"/>
      <c r="L410" s="54" t="str">
        <f t="shared" si="47"/>
        <v>F</v>
      </c>
      <c r="M410" s="38" t="str">
        <f t="shared" si="46"/>
        <v/>
      </c>
      <c r="N410" s="69" t="str">
        <f t="shared" si="48"/>
        <v/>
      </c>
      <c r="O410" s="97"/>
      <c r="P410" s="98"/>
      <c r="Q410" s="99"/>
      <c r="R410" s="100"/>
      <c r="S410" s="86"/>
      <c r="U410" s="48" t="str">
        <f t="shared" si="49"/>
        <v/>
      </c>
      <c r="V410" s="16"/>
      <c r="W410" s="34"/>
      <c r="X410" s="35"/>
    </row>
    <row r="411" spans="11:24">
      <c r="K411" s="85"/>
      <c r="L411" s="54" t="str">
        <f t="shared" si="47"/>
        <v>F</v>
      </c>
      <c r="M411" s="38" t="str">
        <f t="shared" si="46"/>
        <v/>
      </c>
      <c r="N411" s="69" t="str">
        <f t="shared" si="48"/>
        <v/>
      </c>
      <c r="O411" s="97"/>
      <c r="P411" s="98"/>
      <c r="Q411" s="99"/>
      <c r="R411" s="100"/>
      <c r="S411" s="86"/>
      <c r="U411" s="48" t="str">
        <f t="shared" si="49"/>
        <v/>
      </c>
      <c r="V411" s="16"/>
      <c r="W411" s="34"/>
      <c r="X411" s="35"/>
    </row>
    <row r="412" spans="11:24">
      <c r="K412" s="85"/>
      <c r="L412" s="54" t="str">
        <f t="shared" si="47"/>
        <v>F</v>
      </c>
      <c r="M412" s="38" t="str">
        <f t="shared" si="46"/>
        <v/>
      </c>
      <c r="N412" s="69" t="str">
        <f t="shared" si="48"/>
        <v/>
      </c>
      <c r="O412" s="97"/>
      <c r="P412" s="98"/>
      <c r="Q412" s="99"/>
      <c r="R412" s="100"/>
      <c r="S412" s="86"/>
      <c r="U412" s="48" t="str">
        <f t="shared" si="49"/>
        <v/>
      </c>
      <c r="V412" s="16"/>
      <c r="W412" s="34"/>
      <c r="X412" s="35"/>
    </row>
    <row r="413" spans="11:24">
      <c r="K413" s="85"/>
      <c r="L413" s="54" t="str">
        <f t="shared" si="47"/>
        <v>F</v>
      </c>
      <c r="M413" s="38" t="str">
        <f t="shared" ref="M413:M476" si="50">IFERROR(RIGHT("0000"&amp;DEC2HEX(N413),4),"")</f>
        <v/>
      </c>
      <c r="N413" s="69" t="str">
        <f t="shared" si="48"/>
        <v/>
      </c>
      <c r="O413" s="97"/>
      <c r="P413" s="98"/>
      <c r="Q413" s="99"/>
      <c r="R413" s="100"/>
      <c r="S413" s="86"/>
      <c r="U413" s="48" t="str">
        <f t="shared" si="49"/>
        <v/>
      </c>
      <c r="V413" s="16"/>
      <c r="W413" s="34"/>
      <c r="X413" s="35"/>
    </row>
    <row r="414" spans="11:24">
      <c r="K414" s="85"/>
      <c r="L414" s="54" t="str">
        <f t="shared" si="47"/>
        <v>F</v>
      </c>
      <c r="M414" s="38" t="str">
        <f t="shared" si="50"/>
        <v/>
      </c>
      <c r="N414" s="69" t="str">
        <f t="shared" si="48"/>
        <v/>
      </c>
      <c r="O414" s="97"/>
      <c r="P414" s="98"/>
      <c r="Q414" s="99"/>
      <c r="R414" s="100"/>
      <c r="S414" s="86"/>
      <c r="U414" s="48" t="str">
        <f t="shared" si="49"/>
        <v/>
      </c>
      <c r="V414" s="16"/>
      <c r="W414" s="34"/>
      <c r="X414" s="35"/>
    </row>
    <row r="415" spans="11:24">
      <c r="K415" s="85"/>
      <c r="L415" s="54" t="str">
        <f t="shared" si="47"/>
        <v>F</v>
      </c>
      <c r="M415" s="38" t="str">
        <f t="shared" si="50"/>
        <v/>
      </c>
      <c r="N415" s="69" t="str">
        <f t="shared" si="48"/>
        <v/>
      </c>
      <c r="O415" s="97"/>
      <c r="P415" s="98"/>
      <c r="Q415" s="99"/>
      <c r="R415" s="100"/>
      <c r="S415" s="86"/>
      <c r="U415" s="48" t="str">
        <f t="shared" si="49"/>
        <v/>
      </c>
      <c r="V415" s="16"/>
      <c r="W415" s="34"/>
      <c r="X415" s="35"/>
    </row>
    <row r="416" spans="11:24">
      <c r="K416" s="85"/>
      <c r="L416" s="54" t="str">
        <f t="shared" si="47"/>
        <v>F</v>
      </c>
      <c r="M416" s="38" t="str">
        <f t="shared" si="50"/>
        <v/>
      </c>
      <c r="N416" s="69" t="str">
        <f t="shared" si="48"/>
        <v/>
      </c>
      <c r="O416" s="97"/>
      <c r="P416" s="98"/>
      <c r="Q416" s="99"/>
      <c r="R416" s="100"/>
      <c r="S416" s="86"/>
      <c r="U416" s="48" t="str">
        <f t="shared" si="49"/>
        <v/>
      </c>
      <c r="V416" s="16"/>
      <c r="W416" s="34"/>
      <c r="X416" s="35"/>
    </row>
    <row r="417" spans="11:24">
      <c r="K417" s="85"/>
      <c r="L417" s="54" t="str">
        <f t="shared" si="47"/>
        <v>F</v>
      </c>
      <c r="M417" s="38" t="str">
        <f t="shared" si="50"/>
        <v/>
      </c>
      <c r="N417" s="69" t="str">
        <f t="shared" si="48"/>
        <v/>
      </c>
      <c r="O417" s="97"/>
      <c r="P417" s="98"/>
      <c r="Q417" s="99"/>
      <c r="R417" s="100"/>
      <c r="S417" s="86"/>
      <c r="U417" s="48" t="str">
        <f t="shared" si="49"/>
        <v/>
      </c>
      <c r="V417" s="16"/>
      <c r="W417" s="34"/>
      <c r="X417" s="35"/>
    </row>
    <row r="418" spans="11:24">
      <c r="K418" s="85"/>
      <c r="L418" s="54" t="str">
        <f t="shared" si="47"/>
        <v>F</v>
      </c>
      <c r="M418" s="38" t="str">
        <f t="shared" si="50"/>
        <v/>
      </c>
      <c r="N418" s="69" t="str">
        <f t="shared" si="48"/>
        <v/>
      </c>
      <c r="O418" s="97"/>
      <c r="P418" s="98"/>
      <c r="Q418" s="99"/>
      <c r="R418" s="100"/>
      <c r="S418" s="86"/>
      <c r="U418" s="48" t="str">
        <f t="shared" si="49"/>
        <v/>
      </c>
      <c r="V418" s="16"/>
      <c r="W418" s="34"/>
      <c r="X418" s="35"/>
    </row>
    <row r="419" spans="11:24">
      <c r="K419" s="85"/>
      <c r="L419" s="54" t="str">
        <f t="shared" si="47"/>
        <v>F</v>
      </c>
      <c r="M419" s="38" t="str">
        <f t="shared" si="50"/>
        <v/>
      </c>
      <c r="N419" s="69" t="str">
        <f t="shared" si="48"/>
        <v/>
      </c>
      <c r="O419" s="97"/>
      <c r="P419" s="98"/>
      <c r="Q419" s="99"/>
      <c r="R419" s="100"/>
      <c r="S419" s="86"/>
      <c r="U419" s="48" t="str">
        <f t="shared" si="49"/>
        <v/>
      </c>
      <c r="V419" s="16"/>
      <c r="W419" s="34"/>
      <c r="X419" s="35"/>
    </row>
    <row r="420" spans="11:24">
      <c r="K420" s="85"/>
      <c r="L420" s="54" t="str">
        <f t="shared" si="47"/>
        <v>F</v>
      </c>
      <c r="M420" s="38" t="str">
        <f t="shared" si="50"/>
        <v/>
      </c>
      <c r="N420" s="69" t="str">
        <f t="shared" si="48"/>
        <v/>
      </c>
      <c r="O420" s="97"/>
      <c r="P420" s="98"/>
      <c r="Q420" s="99"/>
      <c r="R420" s="100"/>
      <c r="S420" s="86"/>
      <c r="U420" s="48" t="str">
        <f t="shared" si="49"/>
        <v/>
      </c>
      <c r="V420" s="16"/>
      <c r="W420" s="34"/>
      <c r="X420" s="35"/>
    </row>
    <row r="421" spans="11:24">
      <c r="K421" s="85"/>
      <c r="L421" s="54" t="str">
        <f t="shared" si="47"/>
        <v>F</v>
      </c>
      <c r="M421" s="38" t="str">
        <f t="shared" si="50"/>
        <v/>
      </c>
      <c r="N421" s="69" t="str">
        <f t="shared" si="48"/>
        <v/>
      </c>
      <c r="O421" s="97"/>
      <c r="P421" s="98"/>
      <c r="Q421" s="99"/>
      <c r="R421" s="100"/>
      <c r="S421" s="86"/>
      <c r="U421" s="48" t="str">
        <f t="shared" si="49"/>
        <v/>
      </c>
      <c r="V421" s="16"/>
      <c r="W421" s="34"/>
      <c r="X421" s="35"/>
    </row>
    <row r="422" spans="11:24">
      <c r="K422" s="85"/>
      <c r="L422" s="54" t="str">
        <f t="shared" si="47"/>
        <v>F</v>
      </c>
      <c r="M422" s="38" t="str">
        <f t="shared" si="50"/>
        <v/>
      </c>
      <c r="N422" s="69" t="str">
        <f t="shared" si="48"/>
        <v/>
      </c>
      <c r="O422" s="97"/>
      <c r="P422" s="98"/>
      <c r="Q422" s="99"/>
      <c r="R422" s="100"/>
      <c r="S422" s="86"/>
      <c r="U422" s="48" t="str">
        <f t="shared" si="49"/>
        <v/>
      </c>
      <c r="V422" s="16"/>
      <c r="W422" s="34"/>
      <c r="X422" s="35"/>
    </row>
    <row r="423" spans="11:24">
      <c r="K423" s="85"/>
      <c r="L423" s="54" t="str">
        <f t="shared" si="47"/>
        <v>F</v>
      </c>
      <c r="M423" s="38" t="str">
        <f t="shared" si="50"/>
        <v/>
      </c>
      <c r="N423" s="69" t="str">
        <f t="shared" si="48"/>
        <v/>
      </c>
      <c r="O423" s="97"/>
      <c r="P423" s="98"/>
      <c r="Q423" s="99"/>
      <c r="R423" s="100"/>
      <c r="S423" s="86"/>
      <c r="U423" s="48" t="str">
        <f t="shared" si="49"/>
        <v/>
      </c>
      <c r="V423" s="16"/>
      <c r="W423" s="34"/>
      <c r="X423" s="35"/>
    </row>
    <row r="424" spans="11:24">
      <c r="K424" s="85"/>
      <c r="L424" s="54" t="str">
        <f t="shared" si="47"/>
        <v>F</v>
      </c>
      <c r="M424" s="38" t="str">
        <f t="shared" si="50"/>
        <v/>
      </c>
      <c r="N424" s="69" t="str">
        <f t="shared" si="48"/>
        <v/>
      </c>
      <c r="O424" s="97"/>
      <c r="P424" s="98"/>
      <c r="Q424" s="99"/>
      <c r="R424" s="100"/>
      <c r="S424" s="86"/>
      <c r="U424" s="48" t="str">
        <f t="shared" si="49"/>
        <v/>
      </c>
      <c r="V424" s="16"/>
      <c r="W424" s="34"/>
      <c r="X424" s="35"/>
    </row>
    <row r="425" spans="11:24">
      <c r="K425" s="85"/>
      <c r="L425" s="54" t="str">
        <f t="shared" si="47"/>
        <v>F</v>
      </c>
      <c r="M425" s="38" t="str">
        <f t="shared" si="50"/>
        <v/>
      </c>
      <c r="N425" s="69" t="str">
        <f t="shared" si="48"/>
        <v/>
      </c>
      <c r="O425" s="97"/>
      <c r="P425" s="98"/>
      <c r="Q425" s="99"/>
      <c r="R425" s="100"/>
      <c r="S425" s="86"/>
      <c r="U425" s="48" t="str">
        <f t="shared" si="49"/>
        <v/>
      </c>
      <c r="V425" s="16"/>
      <c r="W425" s="34"/>
      <c r="X425" s="35"/>
    </row>
    <row r="426" spans="11:24">
      <c r="K426" s="85"/>
      <c r="L426" s="54" t="str">
        <f t="shared" si="47"/>
        <v>F</v>
      </c>
      <c r="M426" s="38" t="str">
        <f t="shared" si="50"/>
        <v/>
      </c>
      <c r="N426" s="69" t="str">
        <f t="shared" si="48"/>
        <v/>
      </c>
      <c r="O426" s="97"/>
      <c r="P426" s="98"/>
      <c r="Q426" s="99"/>
      <c r="R426" s="100"/>
      <c r="S426" s="86"/>
      <c r="U426" s="48" t="str">
        <f t="shared" si="49"/>
        <v/>
      </c>
      <c r="V426" s="16"/>
      <c r="W426" s="34"/>
      <c r="X426" s="35"/>
    </row>
    <row r="427" spans="11:24">
      <c r="K427" s="85"/>
      <c r="L427" s="54" t="str">
        <f t="shared" si="47"/>
        <v>F</v>
      </c>
      <c r="M427" s="38" t="str">
        <f t="shared" si="50"/>
        <v/>
      </c>
      <c r="N427" s="69" t="str">
        <f t="shared" si="48"/>
        <v/>
      </c>
      <c r="O427" s="97"/>
      <c r="P427" s="98"/>
      <c r="Q427" s="99"/>
      <c r="R427" s="100"/>
      <c r="S427" s="86"/>
      <c r="U427" s="48" t="str">
        <f t="shared" si="49"/>
        <v/>
      </c>
      <c r="V427" s="16"/>
      <c r="W427" s="34"/>
      <c r="X427" s="35"/>
    </row>
    <row r="428" spans="11:24">
      <c r="K428" s="85"/>
      <c r="L428" s="54" t="str">
        <f t="shared" si="47"/>
        <v>F</v>
      </c>
      <c r="M428" s="38" t="str">
        <f t="shared" si="50"/>
        <v/>
      </c>
      <c r="N428" s="69" t="str">
        <f t="shared" si="48"/>
        <v/>
      </c>
      <c r="O428" s="97"/>
      <c r="P428" s="98"/>
      <c r="Q428" s="99"/>
      <c r="R428" s="100"/>
      <c r="S428" s="86"/>
      <c r="U428" s="48" t="str">
        <f t="shared" si="49"/>
        <v/>
      </c>
      <c r="V428" s="16"/>
      <c r="W428" s="34"/>
      <c r="X428" s="35"/>
    </row>
    <row r="429" spans="11:24">
      <c r="K429" s="85"/>
      <c r="L429" s="54" t="str">
        <f t="shared" si="47"/>
        <v>F</v>
      </c>
      <c r="M429" s="38" t="str">
        <f t="shared" si="50"/>
        <v/>
      </c>
      <c r="N429" s="69" t="str">
        <f t="shared" si="48"/>
        <v/>
      </c>
      <c r="O429" s="97"/>
      <c r="P429" s="98"/>
      <c r="Q429" s="99"/>
      <c r="R429" s="100"/>
      <c r="S429" s="86"/>
      <c r="U429" s="48" t="str">
        <f t="shared" si="49"/>
        <v/>
      </c>
      <c r="V429" s="16"/>
      <c r="W429" s="34"/>
      <c r="X429" s="35"/>
    </row>
    <row r="430" spans="11:24">
      <c r="K430" s="85"/>
      <c r="L430" s="54" t="str">
        <f t="shared" si="47"/>
        <v>F</v>
      </c>
      <c r="M430" s="38" t="str">
        <f t="shared" si="50"/>
        <v/>
      </c>
      <c r="N430" s="69" t="str">
        <f t="shared" si="48"/>
        <v/>
      </c>
      <c r="O430" s="97"/>
      <c r="P430" s="98"/>
      <c r="Q430" s="99"/>
      <c r="R430" s="100"/>
      <c r="S430" s="86"/>
      <c r="U430" s="48" t="str">
        <f t="shared" si="49"/>
        <v/>
      </c>
      <c r="V430" s="16"/>
      <c r="W430" s="34"/>
      <c r="X430" s="35"/>
    </row>
    <row r="431" spans="11:24">
      <c r="K431" s="85"/>
      <c r="L431" s="54" t="str">
        <f t="shared" si="47"/>
        <v>F</v>
      </c>
      <c r="M431" s="38" t="str">
        <f t="shared" si="50"/>
        <v/>
      </c>
      <c r="N431" s="69" t="str">
        <f t="shared" si="48"/>
        <v/>
      </c>
      <c r="O431" s="97"/>
      <c r="P431" s="98"/>
      <c r="Q431" s="99"/>
      <c r="R431" s="100"/>
      <c r="S431" s="86"/>
      <c r="U431" s="48" t="str">
        <f t="shared" si="49"/>
        <v/>
      </c>
      <c r="V431" s="16"/>
      <c r="W431" s="34"/>
      <c r="X431" s="35"/>
    </row>
    <row r="432" spans="11:24">
      <c r="K432" s="85"/>
      <c r="L432" s="54" t="str">
        <f t="shared" si="47"/>
        <v>F</v>
      </c>
      <c r="M432" s="38" t="str">
        <f t="shared" si="50"/>
        <v/>
      </c>
      <c r="N432" s="69" t="str">
        <f t="shared" si="48"/>
        <v/>
      </c>
      <c r="O432" s="97"/>
      <c r="P432" s="98"/>
      <c r="Q432" s="99"/>
      <c r="R432" s="100"/>
      <c r="S432" s="86"/>
      <c r="U432" s="48" t="str">
        <f t="shared" si="49"/>
        <v/>
      </c>
      <c r="V432" s="16"/>
      <c r="W432" s="34"/>
      <c r="X432" s="35"/>
    </row>
    <row r="433" spans="11:24">
      <c r="K433" s="85"/>
      <c r="L433" s="54" t="str">
        <f t="shared" si="47"/>
        <v>F</v>
      </c>
      <c r="M433" s="38" t="str">
        <f t="shared" si="50"/>
        <v/>
      </c>
      <c r="N433" s="69" t="str">
        <f t="shared" si="48"/>
        <v/>
      </c>
      <c r="O433" s="97"/>
      <c r="P433" s="98"/>
      <c r="Q433" s="99"/>
      <c r="R433" s="100"/>
      <c r="S433" s="86"/>
      <c r="U433" s="48" t="str">
        <f t="shared" si="49"/>
        <v/>
      </c>
      <c r="V433" s="16"/>
      <c r="W433" s="34"/>
      <c r="X433" s="35"/>
    </row>
    <row r="434" spans="11:24">
      <c r="K434" s="85"/>
      <c r="L434" s="54" t="str">
        <f t="shared" si="47"/>
        <v>F</v>
      </c>
      <c r="M434" s="38" t="str">
        <f t="shared" si="50"/>
        <v/>
      </c>
      <c r="N434" s="69" t="str">
        <f t="shared" si="48"/>
        <v/>
      </c>
      <c r="O434" s="97"/>
      <c r="P434" s="98"/>
      <c r="Q434" s="99"/>
      <c r="R434" s="100"/>
      <c r="S434" s="86"/>
      <c r="U434" s="48" t="str">
        <f t="shared" si="49"/>
        <v/>
      </c>
      <c r="V434" s="16"/>
      <c r="W434" s="34"/>
      <c r="X434" s="35"/>
    </row>
    <row r="435" spans="11:24">
      <c r="K435" s="85"/>
      <c r="L435" s="54" t="str">
        <f t="shared" si="47"/>
        <v>F</v>
      </c>
      <c r="M435" s="38" t="str">
        <f t="shared" si="50"/>
        <v/>
      </c>
      <c r="N435" s="69" t="str">
        <f t="shared" si="48"/>
        <v/>
      </c>
      <c r="O435" s="97"/>
      <c r="P435" s="98"/>
      <c r="Q435" s="99"/>
      <c r="R435" s="100"/>
      <c r="S435" s="86"/>
      <c r="U435" s="48" t="str">
        <f t="shared" si="49"/>
        <v/>
      </c>
      <c r="V435" s="16"/>
      <c r="W435" s="34"/>
      <c r="X435" s="35"/>
    </row>
    <row r="436" spans="11:24">
      <c r="K436" s="85"/>
      <c r="L436" s="54" t="str">
        <f t="shared" si="47"/>
        <v>F</v>
      </c>
      <c r="M436" s="38" t="str">
        <f t="shared" si="50"/>
        <v/>
      </c>
      <c r="N436" s="69" t="str">
        <f t="shared" si="48"/>
        <v/>
      </c>
      <c r="O436" s="97"/>
      <c r="P436" s="98"/>
      <c r="Q436" s="99"/>
      <c r="R436" s="100"/>
      <c r="S436" s="86"/>
      <c r="U436" s="48" t="str">
        <f t="shared" si="49"/>
        <v/>
      </c>
      <c r="V436" s="16"/>
      <c r="W436" s="34"/>
      <c r="X436" s="35"/>
    </row>
    <row r="437" spans="11:24">
      <c r="K437" s="85"/>
      <c r="L437" s="54" t="str">
        <f t="shared" si="47"/>
        <v>F</v>
      </c>
      <c r="M437" s="38" t="str">
        <f t="shared" si="50"/>
        <v/>
      </c>
      <c r="N437" s="69" t="str">
        <f t="shared" si="48"/>
        <v/>
      </c>
      <c r="O437" s="97"/>
      <c r="P437" s="98"/>
      <c r="Q437" s="99"/>
      <c r="R437" s="100"/>
      <c r="S437" s="86"/>
      <c r="U437" s="48" t="str">
        <f t="shared" si="49"/>
        <v/>
      </c>
      <c r="V437" s="16"/>
      <c r="W437" s="34"/>
      <c r="X437" s="35"/>
    </row>
    <row r="438" spans="11:24">
      <c r="K438" s="85"/>
      <c r="L438" s="54" t="str">
        <f t="shared" si="47"/>
        <v>F</v>
      </c>
      <c r="M438" s="38" t="str">
        <f t="shared" si="50"/>
        <v/>
      </c>
      <c r="N438" s="69" t="str">
        <f t="shared" si="48"/>
        <v/>
      </c>
      <c r="O438" s="97"/>
      <c r="P438" s="98"/>
      <c r="Q438" s="99"/>
      <c r="R438" s="100"/>
      <c r="S438" s="86"/>
      <c r="U438" s="48" t="str">
        <f t="shared" si="49"/>
        <v/>
      </c>
      <c r="V438" s="16"/>
      <c r="W438" s="34"/>
      <c r="X438" s="35"/>
    </row>
    <row r="439" spans="11:24">
      <c r="K439" s="85"/>
      <c r="L439" s="54" t="str">
        <f t="shared" si="47"/>
        <v>F</v>
      </c>
      <c r="M439" s="38" t="str">
        <f t="shared" si="50"/>
        <v/>
      </c>
      <c r="N439" s="69" t="str">
        <f t="shared" si="48"/>
        <v/>
      </c>
      <c r="O439" s="97"/>
      <c r="P439" s="98"/>
      <c r="Q439" s="99"/>
      <c r="R439" s="100"/>
      <c r="S439" s="86"/>
      <c r="U439" s="48" t="str">
        <f t="shared" si="49"/>
        <v/>
      </c>
      <c r="V439" s="16"/>
      <c r="W439" s="34"/>
      <c r="X439" s="35"/>
    </row>
    <row r="440" spans="11:24">
      <c r="K440" s="85"/>
      <c r="L440" s="54" t="str">
        <f t="shared" si="47"/>
        <v>F</v>
      </c>
      <c r="M440" s="38" t="str">
        <f t="shared" si="50"/>
        <v/>
      </c>
      <c r="N440" s="69" t="str">
        <f t="shared" si="48"/>
        <v/>
      </c>
      <c r="O440" s="97"/>
      <c r="P440" s="98"/>
      <c r="Q440" s="99"/>
      <c r="R440" s="100"/>
      <c r="S440" s="86"/>
      <c r="U440" s="48" t="str">
        <f t="shared" si="49"/>
        <v/>
      </c>
      <c r="V440" s="16"/>
      <c r="W440" s="34"/>
      <c r="X440" s="35"/>
    </row>
    <row r="441" spans="11:24">
      <c r="K441" s="85"/>
      <c r="L441" s="54" t="str">
        <f t="shared" si="47"/>
        <v>F</v>
      </c>
      <c r="M441" s="38" t="str">
        <f t="shared" si="50"/>
        <v/>
      </c>
      <c r="N441" s="69" t="str">
        <f t="shared" si="48"/>
        <v/>
      </c>
      <c r="O441" s="97"/>
      <c r="P441" s="98"/>
      <c r="Q441" s="99"/>
      <c r="R441" s="100"/>
      <c r="S441" s="86"/>
      <c r="U441" s="48" t="str">
        <f t="shared" si="49"/>
        <v/>
      </c>
      <c r="V441" s="16"/>
      <c r="W441" s="34"/>
      <c r="X441" s="35"/>
    </row>
    <row r="442" spans="11:24">
      <c r="K442" s="85"/>
      <c r="L442" s="54" t="str">
        <f t="shared" si="47"/>
        <v>F</v>
      </c>
      <c r="M442" s="38" t="str">
        <f t="shared" si="50"/>
        <v/>
      </c>
      <c r="N442" s="69" t="str">
        <f t="shared" si="48"/>
        <v/>
      </c>
      <c r="O442" s="97"/>
      <c r="P442" s="98"/>
      <c r="Q442" s="99"/>
      <c r="R442" s="100"/>
      <c r="S442" s="86"/>
      <c r="U442" s="48" t="str">
        <f t="shared" si="49"/>
        <v/>
      </c>
      <c r="V442" s="16"/>
      <c r="W442" s="34"/>
      <c r="X442" s="35"/>
    </row>
    <row r="443" spans="11:24">
      <c r="K443" s="85"/>
      <c r="L443" s="54" t="str">
        <f t="shared" si="47"/>
        <v>F</v>
      </c>
      <c r="M443" s="38" t="str">
        <f t="shared" si="50"/>
        <v/>
      </c>
      <c r="N443" s="69" t="str">
        <f t="shared" si="48"/>
        <v/>
      </c>
      <c r="O443" s="97"/>
      <c r="P443" s="98"/>
      <c r="Q443" s="99"/>
      <c r="R443" s="100"/>
      <c r="S443" s="86"/>
      <c r="U443" s="48" t="str">
        <f t="shared" si="49"/>
        <v/>
      </c>
      <c r="V443" s="16"/>
      <c r="W443" s="34"/>
      <c r="X443" s="35"/>
    </row>
    <row r="444" spans="11:24">
      <c r="K444" s="85"/>
      <c r="L444" s="54" t="str">
        <f t="shared" si="47"/>
        <v>F</v>
      </c>
      <c r="M444" s="38" t="str">
        <f t="shared" si="50"/>
        <v/>
      </c>
      <c r="N444" s="69" t="str">
        <f t="shared" si="48"/>
        <v/>
      </c>
      <c r="O444" s="97"/>
      <c r="P444" s="98"/>
      <c r="Q444" s="99"/>
      <c r="R444" s="100"/>
      <c r="S444" s="86"/>
      <c r="U444" s="48" t="str">
        <f t="shared" si="49"/>
        <v/>
      </c>
      <c r="V444" s="16"/>
      <c r="W444" s="34"/>
      <c r="X444" s="35"/>
    </row>
    <row r="445" spans="11:24">
      <c r="K445" s="85"/>
      <c r="L445" s="54" t="str">
        <f t="shared" si="47"/>
        <v>F</v>
      </c>
      <c r="M445" s="38" t="str">
        <f t="shared" si="50"/>
        <v/>
      </c>
      <c r="N445" s="69" t="str">
        <f t="shared" si="48"/>
        <v/>
      </c>
      <c r="O445" s="97"/>
      <c r="P445" s="98"/>
      <c r="Q445" s="99"/>
      <c r="R445" s="100"/>
      <c r="S445" s="86"/>
      <c r="U445" s="48" t="str">
        <f t="shared" si="49"/>
        <v/>
      </c>
      <c r="V445" s="16"/>
      <c r="W445" s="34"/>
      <c r="X445" s="35"/>
    </row>
    <row r="446" spans="11:24">
      <c r="K446" s="85"/>
      <c r="L446" s="54" t="str">
        <f t="shared" si="47"/>
        <v>F</v>
      </c>
      <c r="M446" s="38" t="str">
        <f t="shared" si="50"/>
        <v/>
      </c>
      <c r="N446" s="69" t="str">
        <f t="shared" si="48"/>
        <v/>
      </c>
      <c r="O446" s="97"/>
      <c r="P446" s="98"/>
      <c r="Q446" s="99"/>
      <c r="R446" s="100"/>
      <c r="S446" s="86"/>
      <c r="U446" s="48" t="str">
        <f t="shared" si="49"/>
        <v/>
      </c>
      <c r="V446" s="16"/>
      <c r="W446" s="34"/>
      <c r="X446" s="35"/>
    </row>
    <row r="447" spans="11:24">
      <c r="K447" s="85"/>
      <c r="L447" s="54" t="str">
        <f t="shared" si="47"/>
        <v>F</v>
      </c>
      <c r="M447" s="38" t="str">
        <f t="shared" si="50"/>
        <v/>
      </c>
      <c r="N447" s="69" t="str">
        <f t="shared" si="48"/>
        <v/>
      </c>
      <c r="O447" s="97"/>
      <c r="P447" s="98"/>
      <c r="Q447" s="99"/>
      <c r="R447" s="100"/>
      <c r="S447" s="86"/>
      <c r="U447" s="48" t="str">
        <f t="shared" si="49"/>
        <v/>
      </c>
      <c r="V447" s="16"/>
      <c r="W447" s="34"/>
      <c r="X447" s="35"/>
    </row>
    <row r="448" spans="11:24">
      <c r="K448" s="85"/>
      <c r="L448" s="54" t="str">
        <f t="shared" si="47"/>
        <v>F</v>
      </c>
      <c r="M448" s="38" t="str">
        <f t="shared" si="50"/>
        <v/>
      </c>
      <c r="N448" s="69" t="str">
        <f t="shared" si="48"/>
        <v/>
      </c>
      <c r="O448" s="97"/>
      <c r="P448" s="98"/>
      <c r="Q448" s="99"/>
      <c r="R448" s="100"/>
      <c r="S448" s="86"/>
      <c r="U448" s="48" t="str">
        <f t="shared" si="49"/>
        <v/>
      </c>
      <c r="V448" s="16"/>
      <c r="W448" s="34"/>
      <c r="X448" s="35"/>
    </row>
    <row r="449" spans="11:24">
      <c r="K449" s="85"/>
      <c r="L449" s="54" t="str">
        <f t="shared" si="47"/>
        <v>F</v>
      </c>
      <c r="M449" s="38" t="str">
        <f t="shared" si="50"/>
        <v/>
      </c>
      <c r="N449" s="69" t="str">
        <f t="shared" si="48"/>
        <v/>
      </c>
      <c r="O449" s="97"/>
      <c r="P449" s="98"/>
      <c r="Q449" s="99"/>
      <c r="R449" s="100"/>
      <c r="S449" s="86"/>
      <c r="U449" s="48" t="str">
        <f t="shared" si="49"/>
        <v/>
      </c>
      <c r="V449" s="16"/>
      <c r="W449" s="34"/>
      <c r="X449" s="35"/>
    </row>
    <row r="450" spans="11:24">
      <c r="K450" s="85"/>
      <c r="L450" s="54" t="str">
        <f t="shared" si="47"/>
        <v>F</v>
      </c>
      <c r="M450" s="38" t="str">
        <f t="shared" si="50"/>
        <v/>
      </c>
      <c r="N450" s="69" t="str">
        <f t="shared" si="48"/>
        <v/>
      </c>
      <c r="O450" s="97"/>
      <c r="P450" s="98"/>
      <c r="Q450" s="99"/>
      <c r="R450" s="100"/>
      <c r="S450" s="86"/>
      <c r="U450" s="48" t="str">
        <f t="shared" si="49"/>
        <v/>
      </c>
      <c r="V450" s="16"/>
      <c r="W450" s="34"/>
      <c r="X450" s="35"/>
    </row>
    <row r="451" spans="11:24">
      <c r="K451" s="85"/>
      <c r="L451" s="54" t="str">
        <f t="shared" si="47"/>
        <v>F</v>
      </c>
      <c r="M451" s="38" t="str">
        <f t="shared" si="50"/>
        <v/>
      </c>
      <c r="N451" s="69" t="str">
        <f t="shared" si="48"/>
        <v/>
      </c>
      <c r="O451" s="97"/>
      <c r="P451" s="98"/>
      <c r="Q451" s="99"/>
      <c r="R451" s="100"/>
      <c r="S451" s="86"/>
      <c r="U451" s="48" t="str">
        <f t="shared" si="49"/>
        <v/>
      </c>
      <c r="V451" s="16"/>
      <c r="W451" s="34"/>
      <c r="X451" s="35"/>
    </row>
    <row r="452" spans="11:24">
      <c r="K452" s="85"/>
      <c r="L452" s="54" t="str">
        <f t="shared" si="47"/>
        <v>F</v>
      </c>
      <c r="M452" s="38" t="str">
        <f t="shared" si="50"/>
        <v/>
      </c>
      <c r="N452" s="69" t="str">
        <f t="shared" si="48"/>
        <v/>
      </c>
      <c r="O452" s="97"/>
      <c r="P452" s="98"/>
      <c r="Q452" s="99"/>
      <c r="R452" s="100"/>
      <c r="S452" s="86"/>
      <c r="U452" s="48" t="str">
        <f t="shared" si="49"/>
        <v/>
      </c>
      <c r="V452" s="16"/>
      <c r="W452" s="34"/>
      <c r="X452" s="35"/>
    </row>
    <row r="453" spans="11:24">
      <c r="K453" s="85"/>
      <c r="L453" s="54" t="str">
        <f t="shared" si="47"/>
        <v>F</v>
      </c>
      <c r="M453" s="38" t="str">
        <f t="shared" si="50"/>
        <v/>
      </c>
      <c r="N453" s="69" t="str">
        <f t="shared" si="48"/>
        <v/>
      </c>
      <c r="O453" s="97"/>
      <c r="P453" s="98"/>
      <c r="Q453" s="99"/>
      <c r="R453" s="100"/>
      <c r="S453" s="86"/>
      <c r="U453" s="48" t="str">
        <f t="shared" si="49"/>
        <v/>
      </c>
      <c r="V453" s="16"/>
      <c r="W453" s="34"/>
      <c r="X453" s="35"/>
    </row>
    <row r="454" spans="11:24">
      <c r="K454" s="85"/>
      <c r="L454" s="54" t="str">
        <f t="shared" si="47"/>
        <v>F</v>
      </c>
      <c r="M454" s="38" t="str">
        <f t="shared" si="50"/>
        <v/>
      </c>
      <c r="N454" s="69" t="str">
        <f t="shared" si="48"/>
        <v/>
      </c>
      <c r="O454" s="97"/>
      <c r="P454" s="98"/>
      <c r="Q454" s="99"/>
      <c r="R454" s="100"/>
      <c r="S454" s="86"/>
      <c r="U454" s="48" t="str">
        <f t="shared" si="49"/>
        <v/>
      </c>
      <c r="V454" s="16"/>
      <c r="W454" s="34"/>
      <c r="X454" s="35"/>
    </row>
    <row r="455" spans="11:24">
      <c r="K455" s="85"/>
      <c r="L455" s="54" t="str">
        <f t="shared" si="47"/>
        <v>F</v>
      </c>
      <c r="M455" s="38" t="str">
        <f t="shared" si="50"/>
        <v/>
      </c>
      <c r="N455" s="69" t="str">
        <f t="shared" si="48"/>
        <v/>
      </c>
      <c r="O455" s="97"/>
      <c r="P455" s="98"/>
      <c r="Q455" s="99"/>
      <c r="R455" s="100"/>
      <c r="S455" s="86"/>
      <c r="U455" s="48" t="str">
        <f t="shared" si="49"/>
        <v/>
      </c>
      <c r="V455" s="16"/>
      <c r="W455" s="34"/>
      <c r="X455" s="35"/>
    </row>
    <row r="456" spans="11:24">
      <c r="K456" s="85"/>
      <c r="L456" s="54" t="str">
        <f t="shared" si="47"/>
        <v>F</v>
      </c>
      <c r="M456" s="38" t="str">
        <f t="shared" si="50"/>
        <v/>
      </c>
      <c r="N456" s="69" t="str">
        <f t="shared" si="48"/>
        <v/>
      </c>
      <c r="O456" s="97"/>
      <c r="P456" s="98"/>
      <c r="Q456" s="99"/>
      <c r="R456" s="100"/>
      <c r="S456" s="86"/>
      <c r="U456" s="48" t="str">
        <f t="shared" si="49"/>
        <v/>
      </c>
      <c r="V456" s="16"/>
      <c r="W456" s="34"/>
      <c r="X456" s="35"/>
    </row>
    <row r="457" spans="11:24">
      <c r="K457" s="85"/>
      <c r="L457" s="54" t="str">
        <f t="shared" ref="L457:L520" si="51">IF(UPPER(P457)="EQU","E",IF(P457="DB","D",IF(O457&lt;&gt;"","L",IF(N457="","F",""))))</f>
        <v>F</v>
      </c>
      <c r="M457" s="38" t="str">
        <f t="shared" si="50"/>
        <v/>
      </c>
      <c r="N457" s="69" t="str">
        <f t="shared" ref="N457:N520" si="52">IFERROR(IF(N456+1&lt;=HEX2DEC(MemSize)+HEX2DEC(MemStart),N456+1,""),"")</f>
        <v/>
      </c>
      <c r="O457" s="97"/>
      <c r="P457" s="98"/>
      <c r="Q457" s="99"/>
      <c r="R457" s="100"/>
      <c r="S457" s="86"/>
      <c r="U457" s="48" t="str">
        <f t="shared" ref="U457:U520" si="53">IF(V457&gt;0,RIGHT("0000"&amp;DEC2HEX(V457),4),"")</f>
        <v/>
      </c>
      <c r="V457" s="16"/>
      <c r="W457" s="34"/>
      <c r="X457" s="35"/>
    </row>
    <row r="458" spans="11:24">
      <c r="K458" s="85"/>
      <c r="L458" s="54" t="str">
        <f t="shared" si="51"/>
        <v>F</v>
      </c>
      <c r="M458" s="38" t="str">
        <f t="shared" si="50"/>
        <v/>
      </c>
      <c r="N458" s="69" t="str">
        <f t="shared" si="52"/>
        <v/>
      </c>
      <c r="O458" s="97"/>
      <c r="P458" s="98"/>
      <c r="Q458" s="99"/>
      <c r="R458" s="100"/>
      <c r="S458" s="86"/>
      <c r="U458" s="48" t="str">
        <f t="shared" si="53"/>
        <v/>
      </c>
      <c r="V458" s="16"/>
      <c r="W458" s="34"/>
      <c r="X458" s="35"/>
    </row>
    <row r="459" spans="11:24">
      <c r="K459" s="85"/>
      <c r="L459" s="54" t="str">
        <f t="shared" si="51"/>
        <v>F</v>
      </c>
      <c r="M459" s="38" t="str">
        <f t="shared" si="50"/>
        <v/>
      </c>
      <c r="N459" s="69" t="str">
        <f t="shared" si="52"/>
        <v/>
      </c>
      <c r="O459" s="97"/>
      <c r="P459" s="98"/>
      <c r="Q459" s="99"/>
      <c r="R459" s="100"/>
      <c r="S459" s="86"/>
      <c r="U459" s="48" t="str">
        <f t="shared" si="53"/>
        <v/>
      </c>
      <c r="V459" s="16"/>
      <c r="W459" s="34"/>
      <c r="X459" s="35"/>
    </row>
    <row r="460" spans="11:24">
      <c r="K460" s="85"/>
      <c r="L460" s="54" t="str">
        <f t="shared" si="51"/>
        <v>F</v>
      </c>
      <c r="M460" s="38" t="str">
        <f t="shared" si="50"/>
        <v/>
      </c>
      <c r="N460" s="69" t="str">
        <f t="shared" si="52"/>
        <v/>
      </c>
      <c r="O460" s="97"/>
      <c r="P460" s="98"/>
      <c r="Q460" s="99"/>
      <c r="R460" s="100"/>
      <c r="S460" s="86"/>
      <c r="U460" s="48" t="str">
        <f t="shared" si="53"/>
        <v/>
      </c>
      <c r="V460" s="16"/>
      <c r="W460" s="34"/>
      <c r="X460" s="35"/>
    </row>
    <row r="461" spans="11:24">
      <c r="K461" s="85"/>
      <c r="L461" s="54" t="str">
        <f t="shared" si="51"/>
        <v>F</v>
      </c>
      <c r="M461" s="38" t="str">
        <f t="shared" si="50"/>
        <v/>
      </c>
      <c r="N461" s="69" t="str">
        <f t="shared" si="52"/>
        <v/>
      </c>
      <c r="O461" s="97"/>
      <c r="P461" s="98"/>
      <c r="Q461" s="99"/>
      <c r="R461" s="100"/>
      <c r="S461" s="86"/>
      <c r="U461" s="48" t="str">
        <f t="shared" si="53"/>
        <v/>
      </c>
      <c r="V461" s="16"/>
      <c r="W461" s="34"/>
      <c r="X461" s="35"/>
    </row>
    <row r="462" spans="11:24">
      <c r="K462" s="85"/>
      <c r="L462" s="54" t="str">
        <f t="shared" si="51"/>
        <v>F</v>
      </c>
      <c r="M462" s="38" t="str">
        <f t="shared" si="50"/>
        <v/>
      </c>
      <c r="N462" s="69" t="str">
        <f t="shared" si="52"/>
        <v/>
      </c>
      <c r="O462" s="97"/>
      <c r="P462" s="98"/>
      <c r="Q462" s="99"/>
      <c r="R462" s="100"/>
      <c r="S462" s="86"/>
      <c r="U462" s="48" t="str">
        <f t="shared" si="53"/>
        <v/>
      </c>
      <c r="V462" s="16"/>
      <c r="W462" s="34"/>
      <c r="X462" s="35"/>
    </row>
    <row r="463" spans="11:24">
      <c r="K463" s="85"/>
      <c r="L463" s="54" t="str">
        <f t="shared" si="51"/>
        <v>F</v>
      </c>
      <c r="M463" s="38" t="str">
        <f t="shared" si="50"/>
        <v/>
      </c>
      <c r="N463" s="69" t="str">
        <f t="shared" si="52"/>
        <v/>
      </c>
      <c r="O463" s="97"/>
      <c r="P463" s="98"/>
      <c r="Q463" s="99"/>
      <c r="R463" s="100"/>
      <c r="S463" s="86"/>
      <c r="U463" s="48" t="str">
        <f t="shared" si="53"/>
        <v/>
      </c>
      <c r="V463" s="16"/>
      <c r="W463" s="34"/>
      <c r="X463" s="35"/>
    </row>
    <row r="464" spans="11:24">
      <c r="K464" s="85"/>
      <c r="L464" s="54" t="str">
        <f t="shared" si="51"/>
        <v>F</v>
      </c>
      <c r="M464" s="38" t="str">
        <f t="shared" si="50"/>
        <v/>
      </c>
      <c r="N464" s="69" t="str">
        <f t="shared" si="52"/>
        <v/>
      </c>
      <c r="O464" s="97"/>
      <c r="P464" s="98"/>
      <c r="Q464" s="99"/>
      <c r="R464" s="100"/>
      <c r="S464" s="86"/>
      <c r="U464" s="48" t="str">
        <f t="shared" si="53"/>
        <v/>
      </c>
      <c r="V464" s="16"/>
      <c r="W464" s="34"/>
      <c r="X464" s="35"/>
    </row>
    <row r="465" spans="11:24">
      <c r="K465" s="85"/>
      <c r="L465" s="54" t="str">
        <f t="shared" si="51"/>
        <v>F</v>
      </c>
      <c r="M465" s="38" t="str">
        <f t="shared" si="50"/>
        <v/>
      </c>
      <c r="N465" s="69" t="str">
        <f t="shared" si="52"/>
        <v/>
      </c>
      <c r="O465" s="97"/>
      <c r="P465" s="98"/>
      <c r="Q465" s="99"/>
      <c r="R465" s="100"/>
      <c r="S465" s="86"/>
      <c r="U465" s="48" t="str">
        <f t="shared" si="53"/>
        <v/>
      </c>
      <c r="V465" s="16"/>
      <c r="W465" s="34"/>
      <c r="X465" s="35"/>
    </row>
    <row r="466" spans="11:24">
      <c r="K466" s="85"/>
      <c r="L466" s="54" t="str">
        <f t="shared" si="51"/>
        <v>F</v>
      </c>
      <c r="M466" s="38" t="str">
        <f t="shared" si="50"/>
        <v/>
      </c>
      <c r="N466" s="69" t="str">
        <f t="shared" si="52"/>
        <v/>
      </c>
      <c r="O466" s="97"/>
      <c r="P466" s="98"/>
      <c r="Q466" s="99"/>
      <c r="R466" s="100"/>
      <c r="S466" s="86"/>
      <c r="U466" s="48" t="str">
        <f t="shared" si="53"/>
        <v/>
      </c>
      <c r="V466" s="16"/>
      <c r="W466" s="34"/>
      <c r="X466" s="35"/>
    </row>
    <row r="467" spans="11:24">
      <c r="K467" s="85"/>
      <c r="L467" s="54" t="str">
        <f t="shared" si="51"/>
        <v>F</v>
      </c>
      <c r="M467" s="38" t="str">
        <f t="shared" si="50"/>
        <v/>
      </c>
      <c r="N467" s="69" t="str">
        <f t="shared" si="52"/>
        <v/>
      </c>
      <c r="O467" s="97"/>
      <c r="P467" s="98"/>
      <c r="Q467" s="99"/>
      <c r="R467" s="100"/>
      <c r="S467" s="86"/>
      <c r="U467" s="48" t="str">
        <f t="shared" si="53"/>
        <v/>
      </c>
      <c r="V467" s="16"/>
      <c r="W467" s="34"/>
      <c r="X467" s="35"/>
    </row>
    <row r="468" spans="11:24">
      <c r="K468" s="85"/>
      <c r="L468" s="54" t="str">
        <f t="shared" si="51"/>
        <v>F</v>
      </c>
      <c r="M468" s="38" t="str">
        <f t="shared" si="50"/>
        <v/>
      </c>
      <c r="N468" s="69" t="str">
        <f t="shared" si="52"/>
        <v/>
      </c>
      <c r="O468" s="97"/>
      <c r="P468" s="98"/>
      <c r="Q468" s="99"/>
      <c r="R468" s="100"/>
      <c r="S468" s="86"/>
      <c r="U468" s="48" t="str">
        <f t="shared" si="53"/>
        <v/>
      </c>
      <c r="V468" s="16"/>
      <c r="W468" s="34"/>
      <c r="X468" s="35"/>
    </row>
    <row r="469" spans="11:24">
      <c r="K469" s="85"/>
      <c r="L469" s="54" t="str">
        <f t="shared" si="51"/>
        <v>F</v>
      </c>
      <c r="M469" s="38" t="str">
        <f t="shared" si="50"/>
        <v/>
      </c>
      <c r="N469" s="69" t="str">
        <f t="shared" si="52"/>
        <v/>
      </c>
      <c r="O469" s="97"/>
      <c r="P469" s="98"/>
      <c r="Q469" s="99"/>
      <c r="R469" s="100"/>
      <c r="S469" s="86"/>
      <c r="U469" s="48" t="str">
        <f t="shared" si="53"/>
        <v/>
      </c>
      <c r="V469" s="16"/>
      <c r="W469" s="34"/>
      <c r="X469" s="35"/>
    </row>
    <row r="470" spans="11:24">
      <c r="K470" s="85"/>
      <c r="L470" s="54" t="str">
        <f t="shared" si="51"/>
        <v>F</v>
      </c>
      <c r="M470" s="38" t="str">
        <f t="shared" si="50"/>
        <v/>
      </c>
      <c r="N470" s="69" t="str">
        <f t="shared" si="52"/>
        <v/>
      </c>
      <c r="O470" s="97"/>
      <c r="P470" s="98"/>
      <c r="Q470" s="99"/>
      <c r="R470" s="100"/>
      <c r="S470" s="86"/>
      <c r="U470" s="48" t="str">
        <f t="shared" si="53"/>
        <v/>
      </c>
      <c r="V470" s="16"/>
      <c r="W470" s="34"/>
      <c r="X470" s="35"/>
    </row>
    <row r="471" spans="11:24">
      <c r="K471" s="85"/>
      <c r="L471" s="54" t="str">
        <f t="shared" si="51"/>
        <v>F</v>
      </c>
      <c r="M471" s="38" t="str">
        <f t="shared" si="50"/>
        <v/>
      </c>
      <c r="N471" s="69" t="str">
        <f t="shared" si="52"/>
        <v/>
      </c>
      <c r="O471" s="97"/>
      <c r="P471" s="98"/>
      <c r="Q471" s="99"/>
      <c r="R471" s="100"/>
      <c r="S471" s="86"/>
      <c r="U471" s="48" t="str">
        <f t="shared" si="53"/>
        <v/>
      </c>
      <c r="V471" s="16"/>
      <c r="W471" s="34"/>
      <c r="X471" s="35"/>
    </row>
    <row r="472" spans="11:24">
      <c r="K472" s="85"/>
      <c r="L472" s="54" t="str">
        <f t="shared" si="51"/>
        <v>F</v>
      </c>
      <c r="M472" s="38" t="str">
        <f t="shared" si="50"/>
        <v/>
      </c>
      <c r="N472" s="69" t="str">
        <f t="shared" si="52"/>
        <v/>
      </c>
      <c r="O472" s="97"/>
      <c r="P472" s="98"/>
      <c r="Q472" s="99"/>
      <c r="R472" s="100"/>
      <c r="S472" s="86"/>
      <c r="U472" s="48" t="str">
        <f t="shared" si="53"/>
        <v/>
      </c>
      <c r="V472" s="16"/>
      <c r="W472" s="34"/>
      <c r="X472" s="35"/>
    </row>
    <row r="473" spans="11:24">
      <c r="K473" s="85"/>
      <c r="L473" s="54" t="str">
        <f t="shared" si="51"/>
        <v>F</v>
      </c>
      <c r="M473" s="38" t="str">
        <f t="shared" si="50"/>
        <v/>
      </c>
      <c r="N473" s="69" t="str">
        <f t="shared" si="52"/>
        <v/>
      </c>
      <c r="O473" s="97"/>
      <c r="P473" s="98"/>
      <c r="Q473" s="99"/>
      <c r="R473" s="100"/>
      <c r="S473" s="86"/>
      <c r="U473" s="48" t="str">
        <f t="shared" si="53"/>
        <v/>
      </c>
      <c r="V473" s="16"/>
      <c r="W473" s="34"/>
      <c r="X473" s="35"/>
    </row>
    <row r="474" spans="11:24">
      <c r="K474" s="85"/>
      <c r="L474" s="54" t="str">
        <f t="shared" si="51"/>
        <v>F</v>
      </c>
      <c r="M474" s="38" t="str">
        <f t="shared" si="50"/>
        <v/>
      </c>
      <c r="N474" s="69" t="str">
        <f t="shared" si="52"/>
        <v/>
      </c>
      <c r="O474" s="97"/>
      <c r="P474" s="98"/>
      <c r="Q474" s="99"/>
      <c r="R474" s="100"/>
      <c r="S474" s="86"/>
      <c r="U474" s="48" t="str">
        <f t="shared" si="53"/>
        <v/>
      </c>
      <c r="V474" s="16"/>
      <c r="W474" s="34"/>
      <c r="X474" s="35"/>
    </row>
    <row r="475" spans="11:24">
      <c r="K475" s="85"/>
      <c r="L475" s="54" t="str">
        <f t="shared" si="51"/>
        <v>F</v>
      </c>
      <c r="M475" s="38" t="str">
        <f t="shared" si="50"/>
        <v/>
      </c>
      <c r="N475" s="69" t="str">
        <f t="shared" si="52"/>
        <v/>
      </c>
      <c r="O475" s="97"/>
      <c r="P475" s="98"/>
      <c r="Q475" s="99"/>
      <c r="R475" s="100"/>
      <c r="S475" s="86"/>
      <c r="U475" s="48" t="str">
        <f t="shared" si="53"/>
        <v/>
      </c>
      <c r="V475" s="16"/>
      <c r="W475" s="34"/>
      <c r="X475" s="35"/>
    </row>
    <row r="476" spans="11:24">
      <c r="K476" s="85"/>
      <c r="L476" s="54" t="str">
        <f t="shared" si="51"/>
        <v>F</v>
      </c>
      <c r="M476" s="38" t="str">
        <f t="shared" si="50"/>
        <v/>
      </c>
      <c r="N476" s="69" t="str">
        <f t="shared" si="52"/>
        <v/>
      </c>
      <c r="O476" s="97"/>
      <c r="P476" s="98"/>
      <c r="Q476" s="99"/>
      <c r="R476" s="100"/>
      <c r="S476" s="86"/>
      <c r="U476" s="48" t="str">
        <f t="shared" si="53"/>
        <v/>
      </c>
      <c r="V476" s="16"/>
      <c r="W476" s="34"/>
      <c r="X476" s="35"/>
    </row>
    <row r="477" spans="11:24">
      <c r="K477" s="85"/>
      <c r="L477" s="54" t="str">
        <f t="shared" si="51"/>
        <v>F</v>
      </c>
      <c r="M477" s="38" t="str">
        <f t="shared" ref="M477:M540" si="54">IFERROR(RIGHT("0000"&amp;DEC2HEX(N477),4),"")</f>
        <v/>
      </c>
      <c r="N477" s="69" t="str">
        <f t="shared" si="52"/>
        <v/>
      </c>
      <c r="O477" s="97"/>
      <c r="P477" s="98"/>
      <c r="Q477" s="99"/>
      <c r="R477" s="100"/>
      <c r="S477" s="86"/>
      <c r="U477" s="48" t="str">
        <f t="shared" si="53"/>
        <v/>
      </c>
      <c r="V477" s="16"/>
      <c r="W477" s="34"/>
      <c r="X477" s="35"/>
    </row>
    <row r="478" spans="11:24">
      <c r="K478" s="85"/>
      <c r="L478" s="54" t="str">
        <f t="shared" si="51"/>
        <v>F</v>
      </c>
      <c r="M478" s="38" t="str">
        <f t="shared" si="54"/>
        <v/>
      </c>
      <c r="N478" s="69" t="str">
        <f t="shared" si="52"/>
        <v/>
      </c>
      <c r="O478" s="97"/>
      <c r="P478" s="98"/>
      <c r="Q478" s="99"/>
      <c r="R478" s="100"/>
      <c r="S478" s="86"/>
      <c r="U478" s="48" t="str">
        <f t="shared" si="53"/>
        <v/>
      </c>
      <c r="V478" s="16"/>
      <c r="W478" s="34"/>
      <c r="X478" s="35"/>
    </row>
    <row r="479" spans="11:24">
      <c r="K479" s="85"/>
      <c r="L479" s="54" t="str">
        <f t="shared" si="51"/>
        <v>F</v>
      </c>
      <c r="M479" s="38" t="str">
        <f t="shared" si="54"/>
        <v/>
      </c>
      <c r="N479" s="69" t="str">
        <f t="shared" si="52"/>
        <v/>
      </c>
      <c r="O479" s="97"/>
      <c r="P479" s="98"/>
      <c r="Q479" s="99"/>
      <c r="R479" s="100"/>
      <c r="S479" s="86"/>
      <c r="U479" s="48" t="str">
        <f t="shared" si="53"/>
        <v/>
      </c>
      <c r="V479" s="16"/>
      <c r="W479" s="34"/>
      <c r="X479" s="35"/>
    </row>
    <row r="480" spans="11:24">
      <c r="K480" s="85"/>
      <c r="L480" s="54" t="str">
        <f t="shared" si="51"/>
        <v>F</v>
      </c>
      <c r="M480" s="38" t="str">
        <f t="shared" si="54"/>
        <v/>
      </c>
      <c r="N480" s="69" t="str">
        <f t="shared" si="52"/>
        <v/>
      </c>
      <c r="O480" s="97"/>
      <c r="P480" s="98"/>
      <c r="Q480" s="99"/>
      <c r="R480" s="100"/>
      <c r="S480" s="86"/>
      <c r="U480" s="48" t="str">
        <f t="shared" si="53"/>
        <v/>
      </c>
      <c r="V480" s="16"/>
      <c r="W480" s="34"/>
      <c r="X480" s="35"/>
    </row>
    <row r="481" spans="11:24">
      <c r="K481" s="85"/>
      <c r="L481" s="54" t="str">
        <f t="shared" si="51"/>
        <v>F</v>
      </c>
      <c r="M481" s="38" t="str">
        <f t="shared" si="54"/>
        <v/>
      </c>
      <c r="N481" s="69" t="str">
        <f t="shared" si="52"/>
        <v/>
      </c>
      <c r="O481" s="97"/>
      <c r="P481" s="98"/>
      <c r="Q481" s="99"/>
      <c r="R481" s="100"/>
      <c r="S481" s="86"/>
      <c r="U481" s="48" t="str">
        <f t="shared" si="53"/>
        <v/>
      </c>
      <c r="V481" s="16"/>
      <c r="W481" s="34"/>
      <c r="X481" s="35"/>
    </row>
    <row r="482" spans="11:24">
      <c r="K482" s="85"/>
      <c r="L482" s="54" t="str">
        <f t="shared" si="51"/>
        <v>F</v>
      </c>
      <c r="M482" s="38" t="str">
        <f t="shared" si="54"/>
        <v/>
      </c>
      <c r="N482" s="69" t="str">
        <f t="shared" si="52"/>
        <v/>
      </c>
      <c r="O482" s="97"/>
      <c r="P482" s="98"/>
      <c r="Q482" s="99"/>
      <c r="R482" s="100"/>
      <c r="S482" s="86"/>
      <c r="U482" s="48" t="str">
        <f t="shared" si="53"/>
        <v/>
      </c>
      <c r="V482" s="16"/>
      <c r="W482" s="34"/>
      <c r="X482" s="35"/>
    </row>
    <row r="483" spans="11:24">
      <c r="K483" s="85"/>
      <c r="L483" s="54" t="str">
        <f t="shared" si="51"/>
        <v>F</v>
      </c>
      <c r="M483" s="38" t="str">
        <f t="shared" si="54"/>
        <v/>
      </c>
      <c r="N483" s="69" t="str">
        <f t="shared" si="52"/>
        <v/>
      </c>
      <c r="O483" s="97"/>
      <c r="P483" s="98"/>
      <c r="Q483" s="99"/>
      <c r="R483" s="100"/>
      <c r="S483" s="86"/>
      <c r="U483" s="48" t="str">
        <f t="shared" si="53"/>
        <v/>
      </c>
      <c r="V483" s="16"/>
      <c r="W483" s="34"/>
      <c r="X483" s="35"/>
    </row>
    <row r="484" spans="11:24">
      <c r="K484" s="85"/>
      <c r="L484" s="54" t="str">
        <f t="shared" si="51"/>
        <v>F</v>
      </c>
      <c r="M484" s="38" t="str">
        <f t="shared" si="54"/>
        <v/>
      </c>
      <c r="N484" s="69" t="str">
        <f t="shared" si="52"/>
        <v/>
      </c>
      <c r="O484" s="97"/>
      <c r="P484" s="98"/>
      <c r="Q484" s="99"/>
      <c r="R484" s="100"/>
      <c r="S484" s="86"/>
      <c r="U484" s="48" t="str">
        <f t="shared" si="53"/>
        <v/>
      </c>
      <c r="V484" s="16"/>
      <c r="W484" s="34"/>
      <c r="X484" s="35"/>
    </row>
    <row r="485" spans="11:24">
      <c r="K485" s="85"/>
      <c r="L485" s="54" t="str">
        <f t="shared" si="51"/>
        <v>F</v>
      </c>
      <c r="M485" s="38" t="str">
        <f t="shared" si="54"/>
        <v/>
      </c>
      <c r="N485" s="69" t="str">
        <f t="shared" si="52"/>
        <v/>
      </c>
      <c r="O485" s="97"/>
      <c r="P485" s="98"/>
      <c r="Q485" s="99"/>
      <c r="R485" s="100"/>
      <c r="S485" s="86"/>
      <c r="U485" s="48" t="str">
        <f t="shared" si="53"/>
        <v/>
      </c>
      <c r="V485" s="16"/>
      <c r="W485" s="34"/>
      <c r="X485" s="35"/>
    </row>
    <row r="486" spans="11:24">
      <c r="K486" s="85"/>
      <c r="L486" s="54" t="str">
        <f t="shared" si="51"/>
        <v>F</v>
      </c>
      <c r="M486" s="38" t="str">
        <f t="shared" si="54"/>
        <v/>
      </c>
      <c r="N486" s="69" t="str">
        <f t="shared" si="52"/>
        <v/>
      </c>
      <c r="O486" s="97"/>
      <c r="P486" s="98"/>
      <c r="Q486" s="99"/>
      <c r="R486" s="100"/>
      <c r="S486" s="86"/>
      <c r="U486" s="48" t="str">
        <f t="shared" si="53"/>
        <v/>
      </c>
      <c r="V486" s="16"/>
      <c r="W486" s="34"/>
      <c r="X486" s="35"/>
    </row>
    <row r="487" spans="11:24">
      <c r="K487" s="85"/>
      <c r="L487" s="54" t="str">
        <f t="shared" si="51"/>
        <v>F</v>
      </c>
      <c r="M487" s="38" t="str">
        <f t="shared" si="54"/>
        <v/>
      </c>
      <c r="N487" s="69" t="str">
        <f t="shared" si="52"/>
        <v/>
      </c>
      <c r="O487" s="97"/>
      <c r="P487" s="98"/>
      <c r="Q487" s="99"/>
      <c r="R487" s="100"/>
      <c r="S487" s="86"/>
      <c r="U487" s="48" t="str">
        <f t="shared" si="53"/>
        <v/>
      </c>
      <c r="V487" s="16"/>
      <c r="W487" s="34"/>
      <c r="X487" s="35"/>
    </row>
    <row r="488" spans="11:24">
      <c r="K488" s="85"/>
      <c r="L488" s="54" t="str">
        <f t="shared" si="51"/>
        <v>F</v>
      </c>
      <c r="M488" s="38" t="str">
        <f t="shared" si="54"/>
        <v/>
      </c>
      <c r="N488" s="69" t="str">
        <f t="shared" si="52"/>
        <v/>
      </c>
      <c r="O488" s="97"/>
      <c r="P488" s="98"/>
      <c r="Q488" s="99"/>
      <c r="R488" s="100"/>
      <c r="S488" s="86"/>
      <c r="U488" s="48" t="str">
        <f t="shared" si="53"/>
        <v/>
      </c>
      <c r="V488" s="16"/>
      <c r="W488" s="34"/>
      <c r="X488" s="35"/>
    </row>
    <row r="489" spans="11:24">
      <c r="K489" s="85"/>
      <c r="L489" s="54" t="str">
        <f t="shared" si="51"/>
        <v>F</v>
      </c>
      <c r="M489" s="38" t="str">
        <f t="shared" si="54"/>
        <v/>
      </c>
      <c r="N489" s="69" t="str">
        <f t="shared" si="52"/>
        <v/>
      </c>
      <c r="O489" s="97"/>
      <c r="P489" s="98"/>
      <c r="Q489" s="99"/>
      <c r="R489" s="100"/>
      <c r="S489" s="86"/>
      <c r="U489" s="48" t="str">
        <f t="shared" si="53"/>
        <v/>
      </c>
      <c r="V489" s="16"/>
      <c r="W489" s="34"/>
      <c r="X489" s="35"/>
    </row>
    <row r="490" spans="11:24">
      <c r="K490" s="85"/>
      <c r="L490" s="54" t="str">
        <f t="shared" si="51"/>
        <v>F</v>
      </c>
      <c r="M490" s="38" t="str">
        <f t="shared" si="54"/>
        <v/>
      </c>
      <c r="N490" s="69" t="str">
        <f t="shared" si="52"/>
        <v/>
      </c>
      <c r="O490" s="97"/>
      <c r="P490" s="98"/>
      <c r="Q490" s="99"/>
      <c r="R490" s="100"/>
      <c r="S490" s="86"/>
      <c r="U490" s="48" t="str">
        <f t="shared" si="53"/>
        <v/>
      </c>
      <c r="V490" s="16"/>
      <c r="W490" s="34"/>
      <c r="X490" s="35"/>
    </row>
    <row r="491" spans="11:24">
      <c r="K491" s="85"/>
      <c r="L491" s="54" t="str">
        <f t="shared" si="51"/>
        <v>F</v>
      </c>
      <c r="M491" s="38" t="str">
        <f t="shared" si="54"/>
        <v/>
      </c>
      <c r="N491" s="69" t="str">
        <f t="shared" si="52"/>
        <v/>
      </c>
      <c r="O491" s="97"/>
      <c r="P491" s="98"/>
      <c r="Q491" s="99"/>
      <c r="R491" s="100"/>
      <c r="S491" s="86"/>
      <c r="U491" s="48" t="str">
        <f t="shared" si="53"/>
        <v/>
      </c>
      <c r="V491" s="16"/>
      <c r="W491" s="34"/>
      <c r="X491" s="35"/>
    </row>
    <row r="492" spans="11:24">
      <c r="K492" s="85"/>
      <c r="L492" s="54" t="str">
        <f t="shared" si="51"/>
        <v>F</v>
      </c>
      <c r="M492" s="38" t="str">
        <f t="shared" si="54"/>
        <v/>
      </c>
      <c r="N492" s="69" t="str">
        <f t="shared" si="52"/>
        <v/>
      </c>
      <c r="O492" s="97"/>
      <c r="P492" s="98"/>
      <c r="Q492" s="99"/>
      <c r="R492" s="100"/>
      <c r="S492" s="86"/>
      <c r="U492" s="48" t="str">
        <f t="shared" si="53"/>
        <v/>
      </c>
      <c r="V492" s="16"/>
      <c r="W492" s="34"/>
      <c r="X492" s="35"/>
    </row>
    <row r="493" spans="11:24">
      <c r="K493" s="85"/>
      <c r="L493" s="54" t="str">
        <f t="shared" si="51"/>
        <v>F</v>
      </c>
      <c r="M493" s="38" t="str">
        <f t="shared" si="54"/>
        <v/>
      </c>
      <c r="N493" s="69" t="str">
        <f t="shared" si="52"/>
        <v/>
      </c>
      <c r="O493" s="97"/>
      <c r="P493" s="98"/>
      <c r="Q493" s="99"/>
      <c r="R493" s="100"/>
      <c r="S493" s="86"/>
      <c r="U493" s="48" t="str">
        <f t="shared" si="53"/>
        <v/>
      </c>
      <c r="V493" s="16"/>
      <c r="W493" s="34"/>
      <c r="X493" s="35"/>
    </row>
    <row r="494" spans="11:24">
      <c r="K494" s="85"/>
      <c r="L494" s="54" t="str">
        <f t="shared" si="51"/>
        <v>F</v>
      </c>
      <c r="M494" s="38" t="str">
        <f t="shared" si="54"/>
        <v/>
      </c>
      <c r="N494" s="69" t="str">
        <f t="shared" si="52"/>
        <v/>
      </c>
      <c r="O494" s="97"/>
      <c r="P494" s="98"/>
      <c r="Q494" s="99"/>
      <c r="R494" s="100"/>
      <c r="S494" s="86"/>
      <c r="U494" s="48" t="str">
        <f t="shared" si="53"/>
        <v/>
      </c>
      <c r="V494" s="16"/>
      <c r="W494" s="34"/>
      <c r="X494" s="35"/>
    </row>
    <row r="495" spans="11:24">
      <c r="K495" s="85"/>
      <c r="L495" s="54" t="str">
        <f t="shared" si="51"/>
        <v>F</v>
      </c>
      <c r="M495" s="38" t="str">
        <f t="shared" si="54"/>
        <v/>
      </c>
      <c r="N495" s="69" t="str">
        <f t="shared" si="52"/>
        <v/>
      </c>
      <c r="O495" s="97"/>
      <c r="P495" s="98"/>
      <c r="Q495" s="99"/>
      <c r="R495" s="100"/>
      <c r="S495" s="86"/>
      <c r="U495" s="48" t="str">
        <f t="shared" si="53"/>
        <v/>
      </c>
      <c r="V495" s="16"/>
      <c r="W495" s="34"/>
      <c r="X495" s="35"/>
    </row>
    <row r="496" spans="11:24">
      <c r="K496" s="85"/>
      <c r="L496" s="54" t="str">
        <f t="shared" si="51"/>
        <v>F</v>
      </c>
      <c r="M496" s="38" t="str">
        <f t="shared" si="54"/>
        <v/>
      </c>
      <c r="N496" s="69" t="str">
        <f t="shared" si="52"/>
        <v/>
      </c>
      <c r="O496" s="97"/>
      <c r="P496" s="98"/>
      <c r="Q496" s="99"/>
      <c r="R496" s="100"/>
      <c r="S496" s="86"/>
      <c r="U496" s="48" t="str">
        <f t="shared" si="53"/>
        <v/>
      </c>
      <c r="V496" s="16"/>
      <c r="W496" s="34"/>
      <c r="X496" s="35"/>
    </row>
    <row r="497" spans="11:24">
      <c r="K497" s="85"/>
      <c r="L497" s="54" t="str">
        <f t="shared" si="51"/>
        <v>F</v>
      </c>
      <c r="M497" s="38" t="str">
        <f t="shared" si="54"/>
        <v/>
      </c>
      <c r="N497" s="69" t="str">
        <f t="shared" si="52"/>
        <v/>
      </c>
      <c r="O497" s="97"/>
      <c r="P497" s="98"/>
      <c r="Q497" s="99"/>
      <c r="R497" s="100"/>
      <c r="S497" s="86"/>
      <c r="U497" s="48" t="str">
        <f t="shared" si="53"/>
        <v/>
      </c>
      <c r="V497" s="16"/>
      <c r="W497" s="34"/>
      <c r="X497" s="35"/>
    </row>
    <row r="498" spans="11:24">
      <c r="K498" s="85"/>
      <c r="L498" s="54" t="str">
        <f t="shared" si="51"/>
        <v>F</v>
      </c>
      <c r="M498" s="38" t="str">
        <f t="shared" si="54"/>
        <v/>
      </c>
      <c r="N498" s="69" t="str">
        <f t="shared" si="52"/>
        <v/>
      </c>
      <c r="O498" s="97"/>
      <c r="P498" s="98"/>
      <c r="Q498" s="99"/>
      <c r="R498" s="100"/>
      <c r="S498" s="86"/>
      <c r="U498" s="48" t="str">
        <f t="shared" si="53"/>
        <v/>
      </c>
      <c r="V498" s="16"/>
      <c r="W498" s="34"/>
      <c r="X498" s="35"/>
    </row>
    <row r="499" spans="11:24">
      <c r="K499" s="85"/>
      <c r="L499" s="54" t="str">
        <f t="shared" si="51"/>
        <v>F</v>
      </c>
      <c r="M499" s="38" t="str">
        <f t="shared" si="54"/>
        <v/>
      </c>
      <c r="N499" s="69" t="str">
        <f t="shared" si="52"/>
        <v/>
      </c>
      <c r="O499" s="97"/>
      <c r="P499" s="98"/>
      <c r="Q499" s="99"/>
      <c r="R499" s="100"/>
      <c r="S499" s="86"/>
      <c r="U499" s="48" t="str">
        <f t="shared" si="53"/>
        <v/>
      </c>
      <c r="V499" s="16"/>
      <c r="W499" s="34"/>
      <c r="X499" s="35"/>
    </row>
    <row r="500" spans="11:24">
      <c r="K500" s="85"/>
      <c r="L500" s="54" t="str">
        <f t="shared" si="51"/>
        <v>F</v>
      </c>
      <c r="M500" s="38" t="str">
        <f t="shared" si="54"/>
        <v/>
      </c>
      <c r="N500" s="69" t="str">
        <f t="shared" si="52"/>
        <v/>
      </c>
      <c r="O500" s="97"/>
      <c r="P500" s="98"/>
      <c r="Q500" s="99"/>
      <c r="R500" s="100"/>
      <c r="S500" s="86"/>
      <c r="U500" s="48" t="str">
        <f t="shared" si="53"/>
        <v/>
      </c>
      <c r="V500" s="16"/>
      <c r="W500" s="34"/>
      <c r="X500" s="35"/>
    </row>
    <row r="501" spans="11:24">
      <c r="K501" s="85"/>
      <c r="L501" s="54" t="str">
        <f t="shared" si="51"/>
        <v>F</v>
      </c>
      <c r="M501" s="38" t="str">
        <f t="shared" si="54"/>
        <v/>
      </c>
      <c r="N501" s="69" t="str">
        <f t="shared" si="52"/>
        <v/>
      </c>
      <c r="O501" s="97"/>
      <c r="P501" s="98"/>
      <c r="Q501" s="99"/>
      <c r="R501" s="100"/>
      <c r="S501" s="86"/>
      <c r="U501" s="48" t="str">
        <f t="shared" si="53"/>
        <v/>
      </c>
      <c r="V501" s="16"/>
      <c r="W501" s="34"/>
      <c r="X501" s="35"/>
    </row>
    <row r="502" spans="11:24">
      <c r="K502" s="85"/>
      <c r="L502" s="54" t="str">
        <f t="shared" si="51"/>
        <v>F</v>
      </c>
      <c r="M502" s="38" t="str">
        <f t="shared" si="54"/>
        <v/>
      </c>
      <c r="N502" s="69" t="str">
        <f t="shared" si="52"/>
        <v/>
      </c>
      <c r="O502" s="97"/>
      <c r="P502" s="98"/>
      <c r="Q502" s="99"/>
      <c r="R502" s="100"/>
      <c r="S502" s="86"/>
      <c r="U502" s="48" t="str">
        <f t="shared" si="53"/>
        <v/>
      </c>
      <c r="V502" s="16"/>
      <c r="W502" s="34"/>
      <c r="X502" s="35"/>
    </row>
    <row r="503" spans="11:24">
      <c r="K503" s="85"/>
      <c r="L503" s="54" t="str">
        <f t="shared" si="51"/>
        <v>F</v>
      </c>
      <c r="M503" s="38" t="str">
        <f t="shared" si="54"/>
        <v/>
      </c>
      <c r="N503" s="69" t="str">
        <f t="shared" si="52"/>
        <v/>
      </c>
      <c r="O503" s="97"/>
      <c r="P503" s="98"/>
      <c r="Q503" s="99"/>
      <c r="R503" s="100"/>
      <c r="S503" s="86"/>
      <c r="U503" s="48" t="str">
        <f t="shared" si="53"/>
        <v/>
      </c>
      <c r="V503" s="16"/>
      <c r="W503" s="34"/>
      <c r="X503" s="35"/>
    </row>
    <row r="504" spans="11:24">
      <c r="K504" s="85"/>
      <c r="L504" s="54" t="str">
        <f t="shared" si="51"/>
        <v>F</v>
      </c>
      <c r="M504" s="38" t="str">
        <f t="shared" si="54"/>
        <v/>
      </c>
      <c r="N504" s="69" t="str">
        <f t="shared" si="52"/>
        <v/>
      </c>
      <c r="O504" s="97"/>
      <c r="P504" s="98"/>
      <c r="Q504" s="99"/>
      <c r="R504" s="100"/>
      <c r="S504" s="86"/>
      <c r="U504" s="48" t="str">
        <f t="shared" si="53"/>
        <v/>
      </c>
      <c r="V504" s="16"/>
      <c r="W504" s="34"/>
      <c r="X504" s="35"/>
    </row>
    <row r="505" spans="11:24">
      <c r="K505" s="85"/>
      <c r="L505" s="54" t="str">
        <f t="shared" si="51"/>
        <v>F</v>
      </c>
      <c r="M505" s="38" t="str">
        <f t="shared" si="54"/>
        <v/>
      </c>
      <c r="N505" s="69" t="str">
        <f t="shared" si="52"/>
        <v/>
      </c>
      <c r="O505" s="97"/>
      <c r="P505" s="98"/>
      <c r="Q505" s="99"/>
      <c r="R505" s="100"/>
      <c r="S505" s="86"/>
      <c r="U505" s="48" t="str">
        <f t="shared" si="53"/>
        <v/>
      </c>
      <c r="V505" s="16"/>
      <c r="W505" s="34"/>
      <c r="X505" s="35"/>
    </row>
    <row r="506" spans="11:24">
      <c r="K506" s="85"/>
      <c r="L506" s="54" t="str">
        <f t="shared" si="51"/>
        <v>F</v>
      </c>
      <c r="M506" s="38" t="str">
        <f t="shared" si="54"/>
        <v/>
      </c>
      <c r="N506" s="69" t="str">
        <f t="shared" si="52"/>
        <v/>
      </c>
      <c r="O506" s="97"/>
      <c r="P506" s="98"/>
      <c r="Q506" s="99"/>
      <c r="R506" s="100"/>
      <c r="S506" s="86"/>
      <c r="U506" s="48" t="str">
        <f t="shared" si="53"/>
        <v/>
      </c>
      <c r="V506" s="16"/>
      <c r="W506" s="34"/>
      <c r="X506" s="35"/>
    </row>
    <row r="507" spans="11:24">
      <c r="K507" s="85"/>
      <c r="L507" s="54" t="str">
        <f t="shared" si="51"/>
        <v>F</v>
      </c>
      <c r="M507" s="38" t="str">
        <f t="shared" si="54"/>
        <v/>
      </c>
      <c r="N507" s="69" t="str">
        <f t="shared" si="52"/>
        <v/>
      </c>
      <c r="O507" s="97"/>
      <c r="P507" s="98"/>
      <c r="Q507" s="99"/>
      <c r="R507" s="100"/>
      <c r="S507" s="86"/>
      <c r="U507" s="48" t="str">
        <f t="shared" si="53"/>
        <v/>
      </c>
      <c r="V507" s="16"/>
      <c r="W507" s="34"/>
      <c r="X507" s="35"/>
    </row>
    <row r="508" spans="11:24">
      <c r="K508" s="85"/>
      <c r="L508" s="54" t="str">
        <f t="shared" si="51"/>
        <v>F</v>
      </c>
      <c r="M508" s="38" t="str">
        <f t="shared" si="54"/>
        <v/>
      </c>
      <c r="N508" s="69" t="str">
        <f t="shared" si="52"/>
        <v/>
      </c>
      <c r="O508" s="97"/>
      <c r="P508" s="98"/>
      <c r="Q508" s="99"/>
      <c r="R508" s="100"/>
      <c r="S508" s="86"/>
      <c r="U508" s="48" t="str">
        <f t="shared" si="53"/>
        <v/>
      </c>
      <c r="V508" s="16"/>
      <c r="W508" s="34"/>
      <c r="X508" s="35"/>
    </row>
    <row r="509" spans="11:24">
      <c r="K509" s="85"/>
      <c r="L509" s="54" t="str">
        <f t="shared" si="51"/>
        <v>F</v>
      </c>
      <c r="M509" s="38" t="str">
        <f t="shared" si="54"/>
        <v/>
      </c>
      <c r="N509" s="69" t="str">
        <f t="shared" si="52"/>
        <v/>
      </c>
      <c r="O509" s="97"/>
      <c r="P509" s="98"/>
      <c r="Q509" s="99"/>
      <c r="R509" s="100"/>
      <c r="S509" s="86"/>
      <c r="U509" s="48" t="str">
        <f t="shared" si="53"/>
        <v/>
      </c>
      <c r="V509" s="16"/>
      <c r="W509" s="34"/>
      <c r="X509" s="35"/>
    </row>
    <row r="510" spans="11:24">
      <c r="K510" s="85"/>
      <c r="L510" s="54" t="str">
        <f t="shared" si="51"/>
        <v>F</v>
      </c>
      <c r="M510" s="38" t="str">
        <f t="shared" si="54"/>
        <v/>
      </c>
      <c r="N510" s="69" t="str">
        <f t="shared" si="52"/>
        <v/>
      </c>
      <c r="O510" s="97"/>
      <c r="P510" s="98"/>
      <c r="Q510" s="99"/>
      <c r="R510" s="100"/>
      <c r="S510" s="86"/>
      <c r="U510" s="48" t="str">
        <f t="shared" si="53"/>
        <v/>
      </c>
      <c r="V510" s="16"/>
      <c r="W510" s="34"/>
      <c r="X510" s="35"/>
    </row>
    <row r="511" spans="11:24">
      <c r="K511" s="85"/>
      <c r="L511" s="54" t="str">
        <f t="shared" si="51"/>
        <v>F</v>
      </c>
      <c r="M511" s="38" t="str">
        <f t="shared" si="54"/>
        <v/>
      </c>
      <c r="N511" s="69" t="str">
        <f t="shared" si="52"/>
        <v/>
      </c>
      <c r="O511" s="97"/>
      <c r="P511" s="98"/>
      <c r="Q511" s="99"/>
      <c r="R511" s="100"/>
      <c r="S511" s="86"/>
      <c r="U511" s="48" t="str">
        <f t="shared" si="53"/>
        <v/>
      </c>
      <c r="V511" s="16"/>
      <c r="W511" s="34"/>
      <c r="X511" s="35"/>
    </row>
    <row r="512" spans="11:24">
      <c r="K512" s="85"/>
      <c r="L512" s="54" t="str">
        <f t="shared" si="51"/>
        <v>F</v>
      </c>
      <c r="M512" s="38" t="str">
        <f t="shared" si="54"/>
        <v/>
      </c>
      <c r="N512" s="69" t="str">
        <f t="shared" si="52"/>
        <v/>
      </c>
      <c r="O512" s="97"/>
      <c r="P512" s="98"/>
      <c r="Q512" s="99"/>
      <c r="R512" s="100"/>
      <c r="S512" s="86"/>
      <c r="U512" s="48" t="str">
        <f t="shared" si="53"/>
        <v/>
      </c>
      <c r="V512" s="16"/>
      <c r="W512" s="34"/>
      <c r="X512" s="35"/>
    </row>
    <row r="513" spans="11:24">
      <c r="K513" s="85"/>
      <c r="L513" s="54" t="str">
        <f t="shared" si="51"/>
        <v>F</v>
      </c>
      <c r="M513" s="38" t="str">
        <f t="shared" si="54"/>
        <v/>
      </c>
      <c r="N513" s="69" t="str">
        <f t="shared" si="52"/>
        <v/>
      </c>
      <c r="O513" s="97"/>
      <c r="P513" s="98"/>
      <c r="Q513" s="99"/>
      <c r="R513" s="100"/>
      <c r="S513" s="86"/>
      <c r="U513" s="48" t="str">
        <f t="shared" si="53"/>
        <v/>
      </c>
      <c r="V513" s="16"/>
      <c r="W513" s="34"/>
      <c r="X513" s="35"/>
    </row>
    <row r="514" spans="11:24">
      <c r="K514" s="85"/>
      <c r="L514" s="54" t="str">
        <f t="shared" si="51"/>
        <v>F</v>
      </c>
      <c r="M514" s="38" t="str">
        <f t="shared" si="54"/>
        <v/>
      </c>
      <c r="N514" s="69" t="str">
        <f t="shared" si="52"/>
        <v/>
      </c>
      <c r="O514" s="97"/>
      <c r="P514" s="98"/>
      <c r="Q514" s="99"/>
      <c r="R514" s="100"/>
      <c r="S514" s="86"/>
      <c r="U514" s="48" t="str">
        <f t="shared" si="53"/>
        <v/>
      </c>
      <c r="V514" s="16"/>
      <c r="W514" s="34"/>
      <c r="X514" s="35"/>
    </row>
    <row r="515" spans="11:24">
      <c r="K515" s="85"/>
      <c r="L515" s="54" t="str">
        <f t="shared" si="51"/>
        <v>F</v>
      </c>
      <c r="M515" s="38" t="str">
        <f t="shared" si="54"/>
        <v/>
      </c>
      <c r="N515" s="69" t="str">
        <f t="shared" si="52"/>
        <v/>
      </c>
      <c r="O515" s="97"/>
      <c r="P515" s="98"/>
      <c r="Q515" s="99"/>
      <c r="R515" s="100"/>
      <c r="S515" s="86"/>
      <c r="U515" s="48" t="str">
        <f t="shared" si="53"/>
        <v/>
      </c>
      <c r="V515" s="16"/>
      <c r="W515" s="34"/>
      <c r="X515" s="35"/>
    </row>
    <row r="516" spans="11:24">
      <c r="K516" s="85"/>
      <c r="L516" s="54" t="str">
        <f t="shared" si="51"/>
        <v>F</v>
      </c>
      <c r="M516" s="38" t="str">
        <f t="shared" si="54"/>
        <v/>
      </c>
      <c r="N516" s="69" t="str">
        <f t="shared" si="52"/>
        <v/>
      </c>
      <c r="O516" s="97"/>
      <c r="P516" s="98"/>
      <c r="Q516" s="99"/>
      <c r="R516" s="100"/>
      <c r="S516" s="86"/>
      <c r="U516" s="48" t="str">
        <f t="shared" si="53"/>
        <v/>
      </c>
      <c r="V516" s="16"/>
      <c r="W516" s="34"/>
      <c r="X516" s="35"/>
    </row>
    <row r="517" spans="11:24">
      <c r="K517" s="85"/>
      <c r="L517" s="54" t="str">
        <f t="shared" si="51"/>
        <v>F</v>
      </c>
      <c r="M517" s="38" t="str">
        <f t="shared" si="54"/>
        <v/>
      </c>
      <c r="N517" s="69" t="str">
        <f t="shared" si="52"/>
        <v/>
      </c>
      <c r="O517" s="97"/>
      <c r="P517" s="98"/>
      <c r="Q517" s="99"/>
      <c r="R517" s="100"/>
      <c r="S517" s="86"/>
      <c r="U517" s="48" t="str">
        <f t="shared" si="53"/>
        <v/>
      </c>
      <c r="V517" s="16"/>
      <c r="W517" s="34"/>
      <c r="X517" s="35"/>
    </row>
    <row r="518" spans="11:24">
      <c r="K518" s="85"/>
      <c r="L518" s="54" t="str">
        <f t="shared" si="51"/>
        <v>F</v>
      </c>
      <c r="M518" s="38" t="str">
        <f t="shared" si="54"/>
        <v/>
      </c>
      <c r="N518" s="69" t="str">
        <f t="shared" si="52"/>
        <v/>
      </c>
      <c r="O518" s="97"/>
      <c r="P518" s="98"/>
      <c r="Q518" s="99"/>
      <c r="R518" s="100"/>
      <c r="S518" s="86"/>
      <c r="U518" s="48" t="str">
        <f t="shared" si="53"/>
        <v/>
      </c>
      <c r="V518" s="16"/>
      <c r="W518" s="34"/>
      <c r="X518" s="35"/>
    </row>
    <row r="519" spans="11:24">
      <c r="K519" s="85"/>
      <c r="L519" s="54" t="str">
        <f t="shared" si="51"/>
        <v>F</v>
      </c>
      <c r="M519" s="38" t="str">
        <f t="shared" si="54"/>
        <v/>
      </c>
      <c r="N519" s="69" t="str">
        <f t="shared" si="52"/>
        <v/>
      </c>
      <c r="O519" s="97"/>
      <c r="P519" s="98"/>
      <c r="Q519" s="99"/>
      <c r="R519" s="100"/>
      <c r="S519" s="86"/>
      <c r="U519" s="48" t="str">
        <f t="shared" si="53"/>
        <v/>
      </c>
      <c r="V519" s="16"/>
      <c r="W519" s="34"/>
      <c r="X519" s="35"/>
    </row>
    <row r="520" spans="11:24">
      <c r="K520" s="85"/>
      <c r="L520" s="54" t="str">
        <f t="shared" si="51"/>
        <v>F</v>
      </c>
      <c r="M520" s="38" t="str">
        <f t="shared" si="54"/>
        <v/>
      </c>
      <c r="N520" s="69" t="str">
        <f t="shared" si="52"/>
        <v/>
      </c>
      <c r="O520" s="97"/>
      <c r="P520" s="98"/>
      <c r="Q520" s="99"/>
      <c r="R520" s="100"/>
      <c r="S520" s="86"/>
      <c r="U520" s="48" t="str">
        <f t="shared" si="53"/>
        <v/>
      </c>
      <c r="V520" s="16"/>
      <c r="W520" s="34"/>
      <c r="X520" s="35"/>
    </row>
    <row r="521" spans="11:24">
      <c r="K521" s="85"/>
      <c r="L521" s="54" t="str">
        <f t="shared" ref="L521:L584" si="55">IF(UPPER(P521)="EQU","E",IF(P521="DB","D",IF(O521&lt;&gt;"","L",IF(N521="","F",""))))</f>
        <v>F</v>
      </c>
      <c r="M521" s="38" t="str">
        <f t="shared" si="54"/>
        <v/>
      </c>
      <c r="N521" s="69" t="str">
        <f t="shared" ref="N521:N584" si="56">IFERROR(IF(N520+1&lt;=HEX2DEC(MemSize)+HEX2DEC(MemStart),N520+1,""),"")</f>
        <v/>
      </c>
      <c r="O521" s="97"/>
      <c r="P521" s="98"/>
      <c r="Q521" s="99"/>
      <c r="R521" s="100"/>
      <c r="S521" s="86"/>
      <c r="U521" s="48" t="str">
        <f t="shared" ref="U521:U584" si="57">IF(V521&gt;0,RIGHT("0000"&amp;DEC2HEX(V521),4),"")</f>
        <v/>
      </c>
      <c r="V521" s="16"/>
      <c r="W521" s="34"/>
      <c r="X521" s="35"/>
    </row>
    <row r="522" spans="11:24">
      <c r="K522" s="85"/>
      <c r="L522" s="54" t="str">
        <f t="shared" si="55"/>
        <v>F</v>
      </c>
      <c r="M522" s="38" t="str">
        <f t="shared" si="54"/>
        <v/>
      </c>
      <c r="N522" s="69" t="str">
        <f t="shared" si="56"/>
        <v/>
      </c>
      <c r="O522" s="97"/>
      <c r="P522" s="98"/>
      <c r="Q522" s="99"/>
      <c r="R522" s="100"/>
      <c r="S522" s="86"/>
      <c r="U522" s="48" t="str">
        <f t="shared" si="57"/>
        <v/>
      </c>
      <c r="V522" s="16"/>
      <c r="W522" s="34"/>
      <c r="X522" s="35"/>
    </row>
    <row r="523" spans="11:24">
      <c r="K523" s="85"/>
      <c r="L523" s="54" t="str">
        <f t="shared" si="55"/>
        <v>F</v>
      </c>
      <c r="M523" s="38" t="str">
        <f t="shared" si="54"/>
        <v/>
      </c>
      <c r="N523" s="69" t="str">
        <f t="shared" si="56"/>
        <v/>
      </c>
      <c r="O523" s="97"/>
      <c r="P523" s="98"/>
      <c r="Q523" s="99"/>
      <c r="R523" s="100"/>
      <c r="S523" s="86"/>
      <c r="U523" s="48" t="str">
        <f t="shared" si="57"/>
        <v/>
      </c>
      <c r="V523" s="16"/>
      <c r="W523" s="34"/>
      <c r="X523" s="35"/>
    </row>
    <row r="524" spans="11:24">
      <c r="K524" s="85"/>
      <c r="L524" s="54" t="str">
        <f t="shared" si="55"/>
        <v>F</v>
      </c>
      <c r="M524" s="38" t="str">
        <f t="shared" si="54"/>
        <v/>
      </c>
      <c r="N524" s="69" t="str">
        <f t="shared" si="56"/>
        <v/>
      </c>
      <c r="O524" s="97"/>
      <c r="P524" s="98"/>
      <c r="Q524" s="99"/>
      <c r="R524" s="100"/>
      <c r="S524" s="86"/>
      <c r="U524" s="48" t="str">
        <f t="shared" si="57"/>
        <v/>
      </c>
      <c r="V524" s="16"/>
      <c r="W524" s="34"/>
      <c r="X524" s="35"/>
    </row>
    <row r="525" spans="11:24">
      <c r="K525" s="85"/>
      <c r="L525" s="54" t="str">
        <f t="shared" si="55"/>
        <v>F</v>
      </c>
      <c r="M525" s="38" t="str">
        <f t="shared" si="54"/>
        <v/>
      </c>
      <c r="N525" s="69" t="str">
        <f t="shared" si="56"/>
        <v/>
      </c>
      <c r="O525" s="97"/>
      <c r="P525" s="98"/>
      <c r="Q525" s="99"/>
      <c r="R525" s="100"/>
      <c r="S525" s="86"/>
      <c r="U525" s="48" t="str">
        <f t="shared" si="57"/>
        <v/>
      </c>
      <c r="V525" s="16"/>
      <c r="W525" s="34"/>
      <c r="X525" s="35"/>
    </row>
    <row r="526" spans="11:24">
      <c r="K526" s="85"/>
      <c r="L526" s="54" t="str">
        <f t="shared" si="55"/>
        <v>F</v>
      </c>
      <c r="M526" s="38" t="str">
        <f t="shared" si="54"/>
        <v/>
      </c>
      <c r="N526" s="69" t="str">
        <f t="shared" si="56"/>
        <v/>
      </c>
      <c r="O526" s="97"/>
      <c r="P526" s="98"/>
      <c r="Q526" s="99"/>
      <c r="R526" s="100"/>
      <c r="S526" s="86"/>
      <c r="U526" s="48" t="str">
        <f t="shared" si="57"/>
        <v/>
      </c>
      <c r="V526" s="16"/>
      <c r="W526" s="34"/>
      <c r="X526" s="35"/>
    </row>
    <row r="527" spans="11:24">
      <c r="K527" s="85"/>
      <c r="L527" s="54" t="str">
        <f t="shared" si="55"/>
        <v>F</v>
      </c>
      <c r="M527" s="38" t="str">
        <f t="shared" si="54"/>
        <v/>
      </c>
      <c r="N527" s="69" t="str">
        <f t="shared" si="56"/>
        <v/>
      </c>
      <c r="O527" s="97"/>
      <c r="P527" s="98"/>
      <c r="Q527" s="99"/>
      <c r="R527" s="100"/>
      <c r="S527" s="86"/>
      <c r="U527" s="48" t="str">
        <f t="shared" si="57"/>
        <v/>
      </c>
      <c r="V527" s="16"/>
      <c r="W527" s="34"/>
      <c r="X527" s="35"/>
    </row>
    <row r="528" spans="11:24">
      <c r="K528" s="85"/>
      <c r="L528" s="54" t="str">
        <f t="shared" si="55"/>
        <v>F</v>
      </c>
      <c r="M528" s="38" t="str">
        <f t="shared" si="54"/>
        <v/>
      </c>
      <c r="N528" s="69" t="str">
        <f t="shared" si="56"/>
        <v/>
      </c>
      <c r="O528" s="97"/>
      <c r="P528" s="98"/>
      <c r="Q528" s="99"/>
      <c r="R528" s="100"/>
      <c r="S528" s="86"/>
      <c r="U528" s="48" t="str">
        <f t="shared" si="57"/>
        <v/>
      </c>
      <c r="V528" s="16"/>
      <c r="W528" s="34"/>
      <c r="X528" s="35"/>
    </row>
    <row r="529" spans="11:24">
      <c r="K529" s="85"/>
      <c r="L529" s="54" t="str">
        <f t="shared" si="55"/>
        <v>F</v>
      </c>
      <c r="M529" s="38" t="str">
        <f t="shared" si="54"/>
        <v/>
      </c>
      <c r="N529" s="69" t="str">
        <f t="shared" si="56"/>
        <v/>
      </c>
      <c r="O529" s="97"/>
      <c r="P529" s="98"/>
      <c r="Q529" s="99"/>
      <c r="R529" s="100"/>
      <c r="S529" s="86"/>
      <c r="U529" s="48" t="str">
        <f t="shared" si="57"/>
        <v/>
      </c>
      <c r="V529" s="16"/>
      <c r="W529" s="34"/>
      <c r="X529" s="35"/>
    </row>
    <row r="530" spans="11:24">
      <c r="K530" s="85"/>
      <c r="L530" s="54" t="str">
        <f t="shared" si="55"/>
        <v>F</v>
      </c>
      <c r="M530" s="38" t="str">
        <f t="shared" si="54"/>
        <v/>
      </c>
      <c r="N530" s="69" t="str">
        <f t="shared" si="56"/>
        <v/>
      </c>
      <c r="O530" s="97"/>
      <c r="P530" s="98"/>
      <c r="Q530" s="99"/>
      <c r="R530" s="100"/>
      <c r="S530" s="86"/>
      <c r="U530" s="48" t="str">
        <f t="shared" si="57"/>
        <v/>
      </c>
      <c r="V530" s="16"/>
      <c r="W530" s="34"/>
      <c r="X530" s="35"/>
    </row>
    <row r="531" spans="11:24">
      <c r="K531" s="85"/>
      <c r="L531" s="54" t="str">
        <f t="shared" si="55"/>
        <v>F</v>
      </c>
      <c r="M531" s="38" t="str">
        <f t="shared" si="54"/>
        <v/>
      </c>
      <c r="N531" s="69" t="str">
        <f t="shared" si="56"/>
        <v/>
      </c>
      <c r="O531" s="97"/>
      <c r="P531" s="98"/>
      <c r="Q531" s="99"/>
      <c r="R531" s="100"/>
      <c r="S531" s="86"/>
      <c r="U531" s="48" t="str">
        <f t="shared" si="57"/>
        <v/>
      </c>
      <c r="V531" s="16"/>
      <c r="W531" s="34"/>
      <c r="X531" s="35"/>
    </row>
    <row r="532" spans="11:24">
      <c r="K532" s="85"/>
      <c r="L532" s="54" t="str">
        <f t="shared" si="55"/>
        <v>F</v>
      </c>
      <c r="M532" s="38" t="str">
        <f t="shared" si="54"/>
        <v/>
      </c>
      <c r="N532" s="69" t="str">
        <f t="shared" si="56"/>
        <v/>
      </c>
      <c r="O532" s="97"/>
      <c r="P532" s="98"/>
      <c r="Q532" s="99"/>
      <c r="R532" s="100"/>
      <c r="S532" s="86"/>
      <c r="U532" s="48" t="str">
        <f t="shared" si="57"/>
        <v/>
      </c>
      <c r="V532" s="16"/>
      <c r="W532" s="34"/>
      <c r="X532" s="35"/>
    </row>
    <row r="533" spans="11:24">
      <c r="K533" s="85"/>
      <c r="L533" s="54" t="str">
        <f t="shared" si="55"/>
        <v>F</v>
      </c>
      <c r="M533" s="38" t="str">
        <f t="shared" si="54"/>
        <v/>
      </c>
      <c r="N533" s="69" t="str">
        <f t="shared" si="56"/>
        <v/>
      </c>
      <c r="O533" s="97"/>
      <c r="P533" s="98"/>
      <c r="Q533" s="99"/>
      <c r="R533" s="100"/>
      <c r="S533" s="86"/>
      <c r="U533" s="48" t="str">
        <f t="shared" si="57"/>
        <v/>
      </c>
      <c r="V533" s="16"/>
      <c r="W533" s="34"/>
      <c r="X533" s="35"/>
    </row>
    <row r="534" spans="11:24">
      <c r="K534" s="85"/>
      <c r="L534" s="54" t="str">
        <f t="shared" si="55"/>
        <v>F</v>
      </c>
      <c r="M534" s="38" t="str">
        <f t="shared" si="54"/>
        <v/>
      </c>
      <c r="N534" s="69" t="str">
        <f t="shared" si="56"/>
        <v/>
      </c>
      <c r="O534" s="97"/>
      <c r="P534" s="98"/>
      <c r="Q534" s="99"/>
      <c r="R534" s="100"/>
      <c r="S534" s="86"/>
      <c r="U534" s="48" t="str">
        <f t="shared" si="57"/>
        <v/>
      </c>
      <c r="V534" s="16"/>
      <c r="W534" s="34"/>
      <c r="X534" s="35"/>
    </row>
    <row r="535" spans="11:24">
      <c r="K535" s="85"/>
      <c r="L535" s="54" t="str">
        <f t="shared" si="55"/>
        <v>F</v>
      </c>
      <c r="M535" s="38" t="str">
        <f t="shared" si="54"/>
        <v/>
      </c>
      <c r="N535" s="69" t="str">
        <f t="shared" si="56"/>
        <v/>
      </c>
      <c r="O535" s="97"/>
      <c r="P535" s="98"/>
      <c r="Q535" s="99"/>
      <c r="R535" s="100"/>
      <c r="S535" s="86"/>
      <c r="U535" s="48" t="str">
        <f t="shared" si="57"/>
        <v/>
      </c>
      <c r="V535" s="16"/>
      <c r="W535" s="34"/>
      <c r="X535" s="35"/>
    </row>
    <row r="536" spans="11:24">
      <c r="K536" s="85"/>
      <c r="L536" s="54" t="str">
        <f t="shared" si="55"/>
        <v>F</v>
      </c>
      <c r="M536" s="38" t="str">
        <f t="shared" si="54"/>
        <v/>
      </c>
      <c r="N536" s="69" t="str">
        <f t="shared" si="56"/>
        <v/>
      </c>
      <c r="O536" s="97"/>
      <c r="P536" s="98"/>
      <c r="Q536" s="99"/>
      <c r="R536" s="100"/>
      <c r="S536" s="86"/>
      <c r="U536" s="48" t="str">
        <f t="shared" si="57"/>
        <v/>
      </c>
      <c r="V536" s="16"/>
      <c r="W536" s="34"/>
      <c r="X536" s="35"/>
    </row>
    <row r="537" spans="11:24">
      <c r="K537" s="85"/>
      <c r="L537" s="54" t="str">
        <f t="shared" si="55"/>
        <v>F</v>
      </c>
      <c r="M537" s="38" t="str">
        <f t="shared" si="54"/>
        <v/>
      </c>
      <c r="N537" s="69" t="str">
        <f t="shared" si="56"/>
        <v/>
      </c>
      <c r="O537" s="97"/>
      <c r="P537" s="98"/>
      <c r="Q537" s="99"/>
      <c r="R537" s="100"/>
      <c r="S537" s="86"/>
      <c r="U537" s="48" t="str">
        <f t="shared" si="57"/>
        <v/>
      </c>
      <c r="V537" s="16"/>
      <c r="W537" s="34"/>
      <c r="X537" s="35"/>
    </row>
    <row r="538" spans="11:24">
      <c r="K538" s="85"/>
      <c r="L538" s="54" t="str">
        <f t="shared" si="55"/>
        <v>F</v>
      </c>
      <c r="M538" s="38" t="str">
        <f t="shared" si="54"/>
        <v/>
      </c>
      <c r="N538" s="69" t="str">
        <f t="shared" si="56"/>
        <v/>
      </c>
      <c r="O538" s="97"/>
      <c r="P538" s="98"/>
      <c r="Q538" s="99"/>
      <c r="R538" s="100"/>
      <c r="S538" s="86"/>
      <c r="U538" s="48" t="str">
        <f t="shared" si="57"/>
        <v/>
      </c>
      <c r="V538" s="16"/>
      <c r="W538" s="34"/>
      <c r="X538" s="35"/>
    </row>
    <row r="539" spans="11:24">
      <c r="K539" s="85"/>
      <c r="L539" s="54" t="str">
        <f t="shared" si="55"/>
        <v>F</v>
      </c>
      <c r="M539" s="38" t="str">
        <f t="shared" si="54"/>
        <v/>
      </c>
      <c r="N539" s="69" t="str">
        <f t="shared" si="56"/>
        <v/>
      </c>
      <c r="O539" s="97"/>
      <c r="P539" s="98"/>
      <c r="Q539" s="99"/>
      <c r="R539" s="100"/>
      <c r="S539" s="86"/>
      <c r="U539" s="48" t="str">
        <f t="shared" si="57"/>
        <v/>
      </c>
      <c r="V539" s="16"/>
      <c r="W539" s="34"/>
      <c r="X539" s="35"/>
    </row>
    <row r="540" spans="11:24">
      <c r="K540" s="85"/>
      <c r="L540" s="54" t="str">
        <f t="shared" si="55"/>
        <v>F</v>
      </c>
      <c r="M540" s="38" t="str">
        <f t="shared" si="54"/>
        <v/>
      </c>
      <c r="N540" s="69" t="str">
        <f t="shared" si="56"/>
        <v/>
      </c>
      <c r="O540" s="97"/>
      <c r="P540" s="98"/>
      <c r="Q540" s="99"/>
      <c r="R540" s="100"/>
      <c r="S540" s="86"/>
      <c r="U540" s="48" t="str">
        <f t="shared" si="57"/>
        <v/>
      </c>
      <c r="V540" s="16"/>
      <c r="W540" s="34"/>
      <c r="X540" s="35"/>
    </row>
    <row r="541" spans="11:24">
      <c r="K541" s="85"/>
      <c r="L541" s="54" t="str">
        <f t="shared" si="55"/>
        <v>F</v>
      </c>
      <c r="M541" s="38" t="str">
        <f t="shared" ref="M541:M604" si="58">IFERROR(RIGHT("0000"&amp;DEC2HEX(N541),4),"")</f>
        <v/>
      </c>
      <c r="N541" s="69" t="str">
        <f t="shared" si="56"/>
        <v/>
      </c>
      <c r="O541" s="97"/>
      <c r="P541" s="98"/>
      <c r="Q541" s="99"/>
      <c r="R541" s="100"/>
      <c r="S541" s="86"/>
      <c r="U541" s="48" t="str">
        <f t="shared" si="57"/>
        <v/>
      </c>
      <c r="V541" s="16"/>
      <c r="W541" s="34"/>
      <c r="X541" s="35"/>
    </row>
    <row r="542" spans="11:24">
      <c r="K542" s="85"/>
      <c r="L542" s="54" t="str">
        <f t="shared" si="55"/>
        <v>F</v>
      </c>
      <c r="M542" s="38" t="str">
        <f t="shared" si="58"/>
        <v/>
      </c>
      <c r="N542" s="69" t="str">
        <f t="shared" si="56"/>
        <v/>
      </c>
      <c r="O542" s="97"/>
      <c r="P542" s="98"/>
      <c r="Q542" s="99"/>
      <c r="R542" s="100"/>
      <c r="S542" s="86"/>
      <c r="U542" s="48" t="str">
        <f t="shared" si="57"/>
        <v/>
      </c>
      <c r="V542" s="16"/>
      <c r="W542" s="34"/>
      <c r="X542" s="35"/>
    </row>
    <row r="543" spans="11:24">
      <c r="K543" s="85"/>
      <c r="L543" s="54" t="str">
        <f t="shared" si="55"/>
        <v>F</v>
      </c>
      <c r="M543" s="38" t="str">
        <f t="shared" si="58"/>
        <v/>
      </c>
      <c r="N543" s="69" t="str">
        <f t="shared" si="56"/>
        <v/>
      </c>
      <c r="O543" s="97"/>
      <c r="P543" s="98"/>
      <c r="Q543" s="99"/>
      <c r="R543" s="100"/>
      <c r="S543" s="86"/>
      <c r="U543" s="48" t="str">
        <f t="shared" si="57"/>
        <v/>
      </c>
      <c r="V543" s="16"/>
      <c r="W543" s="34"/>
      <c r="X543" s="35"/>
    </row>
    <row r="544" spans="11:24">
      <c r="K544" s="85"/>
      <c r="L544" s="54" t="str">
        <f t="shared" si="55"/>
        <v>F</v>
      </c>
      <c r="M544" s="38" t="str">
        <f t="shared" si="58"/>
        <v/>
      </c>
      <c r="N544" s="69" t="str">
        <f t="shared" si="56"/>
        <v/>
      </c>
      <c r="O544" s="97"/>
      <c r="P544" s="98"/>
      <c r="Q544" s="99"/>
      <c r="R544" s="100"/>
      <c r="S544" s="86"/>
      <c r="U544" s="48" t="str">
        <f t="shared" si="57"/>
        <v/>
      </c>
      <c r="V544" s="16"/>
      <c r="W544" s="34"/>
      <c r="X544" s="35"/>
    </row>
    <row r="545" spans="11:24">
      <c r="K545" s="85"/>
      <c r="L545" s="54" t="str">
        <f t="shared" si="55"/>
        <v>F</v>
      </c>
      <c r="M545" s="38" t="str">
        <f t="shared" si="58"/>
        <v/>
      </c>
      <c r="N545" s="69" t="str">
        <f t="shared" si="56"/>
        <v/>
      </c>
      <c r="O545" s="97"/>
      <c r="P545" s="98"/>
      <c r="Q545" s="99"/>
      <c r="R545" s="100"/>
      <c r="S545" s="86"/>
      <c r="U545" s="48" t="str">
        <f t="shared" si="57"/>
        <v/>
      </c>
      <c r="V545" s="16"/>
      <c r="W545" s="34"/>
      <c r="X545" s="35"/>
    </row>
    <row r="546" spans="11:24">
      <c r="K546" s="85"/>
      <c r="L546" s="54" t="str">
        <f t="shared" si="55"/>
        <v>F</v>
      </c>
      <c r="M546" s="38" t="str">
        <f t="shared" si="58"/>
        <v/>
      </c>
      <c r="N546" s="69" t="str">
        <f t="shared" si="56"/>
        <v/>
      </c>
      <c r="O546" s="97"/>
      <c r="P546" s="98"/>
      <c r="Q546" s="99"/>
      <c r="R546" s="100"/>
      <c r="S546" s="86"/>
      <c r="U546" s="48" t="str">
        <f t="shared" si="57"/>
        <v/>
      </c>
      <c r="V546" s="16"/>
      <c r="W546" s="34"/>
      <c r="X546" s="35"/>
    </row>
    <row r="547" spans="11:24">
      <c r="K547" s="85"/>
      <c r="L547" s="54" t="str">
        <f t="shared" si="55"/>
        <v>F</v>
      </c>
      <c r="M547" s="38" t="str">
        <f t="shared" si="58"/>
        <v/>
      </c>
      <c r="N547" s="69" t="str">
        <f t="shared" si="56"/>
        <v/>
      </c>
      <c r="O547" s="97"/>
      <c r="P547" s="98"/>
      <c r="Q547" s="99"/>
      <c r="R547" s="100"/>
      <c r="S547" s="86"/>
      <c r="U547" s="48" t="str">
        <f t="shared" si="57"/>
        <v/>
      </c>
      <c r="V547" s="16"/>
      <c r="W547" s="34"/>
      <c r="X547" s="35"/>
    </row>
    <row r="548" spans="11:24">
      <c r="K548" s="85"/>
      <c r="L548" s="54" t="str">
        <f t="shared" si="55"/>
        <v>F</v>
      </c>
      <c r="M548" s="38" t="str">
        <f t="shared" si="58"/>
        <v/>
      </c>
      <c r="N548" s="69" t="str">
        <f t="shared" si="56"/>
        <v/>
      </c>
      <c r="O548" s="97"/>
      <c r="P548" s="98"/>
      <c r="Q548" s="99"/>
      <c r="R548" s="100"/>
      <c r="S548" s="86"/>
      <c r="U548" s="48" t="str">
        <f t="shared" si="57"/>
        <v/>
      </c>
      <c r="V548" s="16"/>
      <c r="W548" s="34"/>
      <c r="X548" s="35"/>
    </row>
    <row r="549" spans="11:24">
      <c r="K549" s="85"/>
      <c r="L549" s="54" t="str">
        <f t="shared" si="55"/>
        <v>F</v>
      </c>
      <c r="M549" s="38" t="str">
        <f t="shared" si="58"/>
        <v/>
      </c>
      <c r="N549" s="69" t="str">
        <f t="shared" si="56"/>
        <v/>
      </c>
      <c r="O549" s="97"/>
      <c r="P549" s="98"/>
      <c r="Q549" s="99"/>
      <c r="R549" s="100"/>
      <c r="S549" s="86"/>
      <c r="U549" s="48" t="str">
        <f t="shared" si="57"/>
        <v/>
      </c>
      <c r="V549" s="16"/>
      <c r="W549" s="34"/>
      <c r="X549" s="35"/>
    </row>
    <row r="550" spans="11:24">
      <c r="K550" s="85"/>
      <c r="L550" s="54" t="str">
        <f t="shared" si="55"/>
        <v>F</v>
      </c>
      <c r="M550" s="38" t="str">
        <f t="shared" si="58"/>
        <v/>
      </c>
      <c r="N550" s="69" t="str">
        <f t="shared" si="56"/>
        <v/>
      </c>
      <c r="O550" s="97"/>
      <c r="P550" s="98"/>
      <c r="Q550" s="99"/>
      <c r="R550" s="100"/>
      <c r="S550" s="86"/>
      <c r="U550" s="48" t="str">
        <f t="shared" si="57"/>
        <v/>
      </c>
      <c r="V550" s="16"/>
      <c r="W550" s="34"/>
      <c r="X550" s="35"/>
    </row>
    <row r="551" spans="11:24">
      <c r="K551" s="85"/>
      <c r="L551" s="54" t="str">
        <f t="shared" si="55"/>
        <v>F</v>
      </c>
      <c r="M551" s="38" t="str">
        <f t="shared" si="58"/>
        <v/>
      </c>
      <c r="N551" s="69" t="str">
        <f t="shared" si="56"/>
        <v/>
      </c>
      <c r="O551" s="97"/>
      <c r="P551" s="98"/>
      <c r="Q551" s="99"/>
      <c r="R551" s="100"/>
      <c r="S551" s="86"/>
      <c r="U551" s="48" t="str">
        <f t="shared" si="57"/>
        <v/>
      </c>
      <c r="V551" s="16"/>
      <c r="W551" s="34"/>
      <c r="X551" s="35"/>
    </row>
    <row r="552" spans="11:24">
      <c r="K552" s="85"/>
      <c r="L552" s="54" t="str">
        <f t="shared" si="55"/>
        <v>F</v>
      </c>
      <c r="M552" s="38" t="str">
        <f t="shared" si="58"/>
        <v/>
      </c>
      <c r="N552" s="69" t="str">
        <f t="shared" si="56"/>
        <v/>
      </c>
      <c r="O552" s="97"/>
      <c r="P552" s="98"/>
      <c r="Q552" s="99"/>
      <c r="R552" s="100"/>
      <c r="S552" s="86"/>
      <c r="U552" s="48" t="str">
        <f t="shared" si="57"/>
        <v/>
      </c>
      <c r="V552" s="16"/>
      <c r="W552" s="34"/>
      <c r="X552" s="35"/>
    </row>
    <row r="553" spans="11:24">
      <c r="K553" s="85"/>
      <c r="L553" s="54" t="str">
        <f t="shared" si="55"/>
        <v>F</v>
      </c>
      <c r="M553" s="38" t="str">
        <f t="shared" si="58"/>
        <v/>
      </c>
      <c r="N553" s="69" t="str">
        <f t="shared" si="56"/>
        <v/>
      </c>
      <c r="O553" s="97"/>
      <c r="P553" s="98"/>
      <c r="Q553" s="99"/>
      <c r="R553" s="100"/>
      <c r="S553" s="86"/>
      <c r="U553" s="48" t="str">
        <f t="shared" si="57"/>
        <v/>
      </c>
      <c r="V553" s="16"/>
      <c r="W553" s="34"/>
      <c r="X553" s="35"/>
    </row>
    <row r="554" spans="11:24">
      <c r="K554" s="85"/>
      <c r="L554" s="54" t="str">
        <f t="shared" si="55"/>
        <v>F</v>
      </c>
      <c r="M554" s="38" t="str">
        <f t="shared" si="58"/>
        <v/>
      </c>
      <c r="N554" s="69" t="str">
        <f t="shared" si="56"/>
        <v/>
      </c>
      <c r="O554" s="97"/>
      <c r="P554" s="98"/>
      <c r="Q554" s="99"/>
      <c r="R554" s="100"/>
      <c r="S554" s="86"/>
      <c r="U554" s="48" t="str">
        <f t="shared" si="57"/>
        <v/>
      </c>
      <c r="V554" s="16"/>
      <c r="W554" s="34"/>
      <c r="X554" s="35"/>
    </row>
    <row r="555" spans="11:24">
      <c r="K555" s="85"/>
      <c r="L555" s="54" t="str">
        <f t="shared" si="55"/>
        <v>F</v>
      </c>
      <c r="M555" s="38" t="str">
        <f t="shared" si="58"/>
        <v/>
      </c>
      <c r="N555" s="69" t="str">
        <f t="shared" si="56"/>
        <v/>
      </c>
      <c r="O555" s="97"/>
      <c r="P555" s="98"/>
      <c r="Q555" s="99"/>
      <c r="R555" s="100"/>
      <c r="S555" s="86"/>
      <c r="U555" s="48" t="str">
        <f t="shared" si="57"/>
        <v/>
      </c>
      <c r="V555" s="16"/>
      <c r="W555" s="34"/>
      <c r="X555" s="35"/>
    </row>
    <row r="556" spans="11:24">
      <c r="K556" s="85"/>
      <c r="L556" s="54" t="str">
        <f t="shared" si="55"/>
        <v>F</v>
      </c>
      <c r="M556" s="38" t="str">
        <f t="shared" si="58"/>
        <v/>
      </c>
      <c r="N556" s="69" t="str">
        <f t="shared" si="56"/>
        <v/>
      </c>
      <c r="O556" s="97"/>
      <c r="P556" s="98"/>
      <c r="Q556" s="99"/>
      <c r="R556" s="100"/>
      <c r="S556" s="86"/>
      <c r="U556" s="48" t="str">
        <f t="shared" si="57"/>
        <v/>
      </c>
      <c r="V556" s="16"/>
      <c r="W556" s="34"/>
      <c r="X556" s="35"/>
    </row>
    <row r="557" spans="11:24">
      <c r="K557" s="85"/>
      <c r="L557" s="54" t="str">
        <f t="shared" si="55"/>
        <v>F</v>
      </c>
      <c r="M557" s="38" t="str">
        <f t="shared" si="58"/>
        <v/>
      </c>
      <c r="N557" s="69" t="str">
        <f t="shared" si="56"/>
        <v/>
      </c>
      <c r="O557" s="97"/>
      <c r="P557" s="98"/>
      <c r="Q557" s="99"/>
      <c r="R557" s="100"/>
      <c r="S557" s="86"/>
      <c r="U557" s="48" t="str">
        <f t="shared" si="57"/>
        <v/>
      </c>
      <c r="V557" s="16"/>
      <c r="W557" s="34"/>
      <c r="X557" s="35"/>
    </row>
    <row r="558" spans="11:24">
      <c r="K558" s="85"/>
      <c r="L558" s="54" t="str">
        <f t="shared" si="55"/>
        <v>F</v>
      </c>
      <c r="M558" s="38" t="str">
        <f t="shared" si="58"/>
        <v/>
      </c>
      <c r="N558" s="69" t="str">
        <f t="shared" si="56"/>
        <v/>
      </c>
      <c r="O558" s="97"/>
      <c r="P558" s="98"/>
      <c r="Q558" s="99"/>
      <c r="R558" s="100"/>
      <c r="S558" s="86"/>
      <c r="U558" s="48" t="str">
        <f t="shared" si="57"/>
        <v/>
      </c>
      <c r="V558" s="16"/>
      <c r="W558" s="34"/>
      <c r="X558" s="35"/>
    </row>
    <row r="559" spans="11:24">
      <c r="K559" s="85"/>
      <c r="L559" s="54" t="str">
        <f t="shared" si="55"/>
        <v>F</v>
      </c>
      <c r="M559" s="38" t="str">
        <f t="shared" si="58"/>
        <v/>
      </c>
      <c r="N559" s="69" t="str">
        <f t="shared" si="56"/>
        <v/>
      </c>
      <c r="O559" s="97"/>
      <c r="P559" s="98"/>
      <c r="Q559" s="99"/>
      <c r="R559" s="100"/>
      <c r="S559" s="86"/>
      <c r="U559" s="48" t="str">
        <f t="shared" si="57"/>
        <v/>
      </c>
      <c r="V559" s="16"/>
      <c r="W559" s="34"/>
      <c r="X559" s="35"/>
    </row>
    <row r="560" spans="11:24">
      <c r="K560" s="85"/>
      <c r="L560" s="54" t="str">
        <f t="shared" si="55"/>
        <v>F</v>
      </c>
      <c r="M560" s="38" t="str">
        <f t="shared" si="58"/>
        <v/>
      </c>
      <c r="N560" s="69" t="str">
        <f t="shared" si="56"/>
        <v/>
      </c>
      <c r="O560" s="97"/>
      <c r="P560" s="98"/>
      <c r="Q560" s="99"/>
      <c r="R560" s="100"/>
      <c r="S560" s="86"/>
      <c r="U560" s="48" t="str">
        <f t="shared" si="57"/>
        <v/>
      </c>
      <c r="V560" s="16"/>
      <c r="W560" s="34"/>
      <c r="X560" s="35"/>
    </row>
    <row r="561" spans="11:24">
      <c r="K561" s="85"/>
      <c r="L561" s="54" t="str">
        <f t="shared" si="55"/>
        <v>F</v>
      </c>
      <c r="M561" s="38" t="str">
        <f t="shared" si="58"/>
        <v/>
      </c>
      <c r="N561" s="69" t="str">
        <f t="shared" si="56"/>
        <v/>
      </c>
      <c r="O561" s="97"/>
      <c r="P561" s="98"/>
      <c r="Q561" s="99"/>
      <c r="R561" s="100"/>
      <c r="S561" s="86"/>
      <c r="U561" s="48" t="str">
        <f t="shared" si="57"/>
        <v/>
      </c>
      <c r="V561" s="16"/>
      <c r="W561" s="34"/>
      <c r="X561" s="35"/>
    </row>
    <row r="562" spans="11:24">
      <c r="K562" s="85"/>
      <c r="L562" s="54" t="str">
        <f t="shared" si="55"/>
        <v>F</v>
      </c>
      <c r="M562" s="38" t="str">
        <f t="shared" si="58"/>
        <v/>
      </c>
      <c r="N562" s="69" t="str">
        <f t="shared" si="56"/>
        <v/>
      </c>
      <c r="O562" s="97"/>
      <c r="P562" s="98"/>
      <c r="Q562" s="99"/>
      <c r="R562" s="100"/>
      <c r="S562" s="86"/>
      <c r="U562" s="48" t="str">
        <f t="shared" si="57"/>
        <v/>
      </c>
      <c r="V562" s="16"/>
      <c r="W562" s="34"/>
      <c r="X562" s="35"/>
    </row>
    <row r="563" spans="11:24">
      <c r="K563" s="85"/>
      <c r="L563" s="54" t="str">
        <f t="shared" si="55"/>
        <v>F</v>
      </c>
      <c r="M563" s="38" t="str">
        <f t="shared" si="58"/>
        <v/>
      </c>
      <c r="N563" s="69" t="str">
        <f t="shared" si="56"/>
        <v/>
      </c>
      <c r="O563" s="97"/>
      <c r="P563" s="98"/>
      <c r="Q563" s="99"/>
      <c r="R563" s="100"/>
      <c r="S563" s="86"/>
      <c r="U563" s="48" t="str">
        <f t="shared" si="57"/>
        <v/>
      </c>
      <c r="V563" s="16"/>
      <c r="W563" s="34"/>
      <c r="X563" s="35"/>
    </row>
    <row r="564" spans="11:24">
      <c r="K564" s="85"/>
      <c r="L564" s="54" t="str">
        <f t="shared" si="55"/>
        <v>F</v>
      </c>
      <c r="M564" s="38" t="str">
        <f t="shared" si="58"/>
        <v/>
      </c>
      <c r="N564" s="69" t="str">
        <f t="shared" si="56"/>
        <v/>
      </c>
      <c r="O564" s="97"/>
      <c r="P564" s="98"/>
      <c r="Q564" s="99"/>
      <c r="R564" s="100"/>
      <c r="S564" s="86"/>
      <c r="U564" s="48" t="str">
        <f t="shared" si="57"/>
        <v/>
      </c>
      <c r="V564" s="16"/>
      <c r="W564" s="34"/>
      <c r="X564" s="35"/>
    </row>
    <row r="565" spans="11:24">
      <c r="K565" s="85"/>
      <c r="L565" s="54" t="str">
        <f t="shared" si="55"/>
        <v>F</v>
      </c>
      <c r="M565" s="38" t="str">
        <f t="shared" si="58"/>
        <v/>
      </c>
      <c r="N565" s="69" t="str">
        <f t="shared" si="56"/>
        <v/>
      </c>
      <c r="O565" s="97"/>
      <c r="P565" s="98"/>
      <c r="Q565" s="99"/>
      <c r="R565" s="100"/>
      <c r="S565" s="86"/>
      <c r="U565" s="48" t="str">
        <f t="shared" si="57"/>
        <v/>
      </c>
      <c r="V565" s="16"/>
      <c r="W565" s="34"/>
      <c r="X565" s="35"/>
    </row>
    <row r="566" spans="11:24">
      <c r="K566" s="85"/>
      <c r="L566" s="54" t="str">
        <f t="shared" si="55"/>
        <v>F</v>
      </c>
      <c r="M566" s="38" t="str">
        <f t="shared" si="58"/>
        <v/>
      </c>
      <c r="N566" s="69" t="str">
        <f t="shared" si="56"/>
        <v/>
      </c>
      <c r="O566" s="97"/>
      <c r="P566" s="98"/>
      <c r="Q566" s="99"/>
      <c r="R566" s="100"/>
      <c r="S566" s="86"/>
      <c r="U566" s="48" t="str">
        <f t="shared" si="57"/>
        <v/>
      </c>
      <c r="V566" s="16"/>
      <c r="W566" s="34"/>
      <c r="X566" s="35"/>
    </row>
    <row r="567" spans="11:24">
      <c r="K567" s="85"/>
      <c r="L567" s="54" t="str">
        <f t="shared" si="55"/>
        <v>F</v>
      </c>
      <c r="M567" s="38" t="str">
        <f t="shared" si="58"/>
        <v/>
      </c>
      <c r="N567" s="69" t="str">
        <f t="shared" si="56"/>
        <v/>
      </c>
      <c r="O567" s="97"/>
      <c r="P567" s="98"/>
      <c r="Q567" s="99"/>
      <c r="R567" s="100"/>
      <c r="S567" s="86"/>
      <c r="U567" s="48" t="str">
        <f t="shared" si="57"/>
        <v/>
      </c>
      <c r="V567" s="16"/>
      <c r="W567" s="34"/>
      <c r="X567" s="35"/>
    </row>
    <row r="568" spans="11:24">
      <c r="K568" s="85"/>
      <c r="L568" s="54" t="str">
        <f t="shared" si="55"/>
        <v>F</v>
      </c>
      <c r="M568" s="38" t="str">
        <f t="shared" si="58"/>
        <v/>
      </c>
      <c r="N568" s="69" t="str">
        <f t="shared" si="56"/>
        <v/>
      </c>
      <c r="O568" s="97"/>
      <c r="P568" s="98"/>
      <c r="Q568" s="99"/>
      <c r="R568" s="100"/>
      <c r="S568" s="86"/>
      <c r="U568" s="48" t="str">
        <f t="shared" si="57"/>
        <v/>
      </c>
      <c r="V568" s="16"/>
      <c r="W568" s="34"/>
      <c r="X568" s="35"/>
    </row>
    <row r="569" spans="11:24">
      <c r="K569" s="85"/>
      <c r="L569" s="54" t="str">
        <f t="shared" si="55"/>
        <v>F</v>
      </c>
      <c r="M569" s="38" t="str">
        <f t="shared" si="58"/>
        <v/>
      </c>
      <c r="N569" s="69" t="str">
        <f t="shared" si="56"/>
        <v/>
      </c>
      <c r="O569" s="97"/>
      <c r="P569" s="98"/>
      <c r="Q569" s="99"/>
      <c r="R569" s="100"/>
      <c r="S569" s="86"/>
      <c r="U569" s="48" t="str">
        <f t="shared" si="57"/>
        <v/>
      </c>
      <c r="V569" s="16"/>
      <c r="W569" s="34"/>
      <c r="X569" s="35"/>
    </row>
    <row r="570" spans="11:24">
      <c r="K570" s="85"/>
      <c r="L570" s="54" t="str">
        <f t="shared" si="55"/>
        <v>F</v>
      </c>
      <c r="M570" s="38" t="str">
        <f t="shared" si="58"/>
        <v/>
      </c>
      <c r="N570" s="69" t="str">
        <f t="shared" si="56"/>
        <v/>
      </c>
      <c r="O570" s="97"/>
      <c r="P570" s="98"/>
      <c r="Q570" s="99"/>
      <c r="R570" s="100"/>
      <c r="S570" s="86"/>
      <c r="U570" s="48" t="str">
        <f t="shared" si="57"/>
        <v/>
      </c>
      <c r="V570" s="16"/>
      <c r="W570" s="34"/>
      <c r="X570" s="35"/>
    </row>
    <row r="571" spans="11:24">
      <c r="K571" s="85"/>
      <c r="L571" s="54" t="str">
        <f t="shared" si="55"/>
        <v>F</v>
      </c>
      <c r="M571" s="38" t="str">
        <f t="shared" si="58"/>
        <v/>
      </c>
      <c r="N571" s="69" t="str">
        <f t="shared" si="56"/>
        <v/>
      </c>
      <c r="O571" s="97"/>
      <c r="P571" s="98"/>
      <c r="Q571" s="99"/>
      <c r="R571" s="100"/>
      <c r="S571" s="86"/>
      <c r="U571" s="48" t="str">
        <f t="shared" si="57"/>
        <v/>
      </c>
      <c r="V571" s="16"/>
      <c r="W571" s="34"/>
      <c r="X571" s="35"/>
    </row>
    <row r="572" spans="11:24">
      <c r="K572" s="85"/>
      <c r="L572" s="54" t="str">
        <f t="shared" si="55"/>
        <v>F</v>
      </c>
      <c r="M572" s="38" t="str">
        <f t="shared" si="58"/>
        <v/>
      </c>
      <c r="N572" s="69" t="str">
        <f t="shared" si="56"/>
        <v/>
      </c>
      <c r="O572" s="97"/>
      <c r="P572" s="98"/>
      <c r="Q572" s="99"/>
      <c r="R572" s="100"/>
      <c r="S572" s="86"/>
      <c r="U572" s="48" t="str">
        <f t="shared" si="57"/>
        <v/>
      </c>
      <c r="V572" s="16"/>
      <c r="W572" s="34"/>
      <c r="X572" s="35"/>
    </row>
    <row r="573" spans="11:24">
      <c r="K573" s="85"/>
      <c r="L573" s="54" t="str">
        <f t="shared" si="55"/>
        <v>F</v>
      </c>
      <c r="M573" s="38" t="str">
        <f t="shared" si="58"/>
        <v/>
      </c>
      <c r="N573" s="69" t="str">
        <f t="shared" si="56"/>
        <v/>
      </c>
      <c r="O573" s="97"/>
      <c r="P573" s="98"/>
      <c r="Q573" s="99"/>
      <c r="R573" s="100"/>
      <c r="S573" s="86"/>
      <c r="U573" s="48" t="str">
        <f t="shared" si="57"/>
        <v/>
      </c>
      <c r="V573" s="16"/>
      <c r="W573" s="34"/>
      <c r="X573" s="35"/>
    </row>
    <row r="574" spans="11:24">
      <c r="K574" s="85"/>
      <c r="L574" s="54" t="str">
        <f t="shared" si="55"/>
        <v>F</v>
      </c>
      <c r="M574" s="38" t="str">
        <f t="shared" si="58"/>
        <v/>
      </c>
      <c r="N574" s="69" t="str">
        <f t="shared" si="56"/>
        <v/>
      </c>
      <c r="O574" s="97"/>
      <c r="P574" s="98"/>
      <c r="Q574" s="99"/>
      <c r="R574" s="100"/>
      <c r="S574" s="86"/>
      <c r="U574" s="48" t="str">
        <f t="shared" si="57"/>
        <v/>
      </c>
      <c r="V574" s="16"/>
      <c r="W574" s="34"/>
      <c r="X574" s="35"/>
    </row>
    <row r="575" spans="11:24">
      <c r="K575" s="85"/>
      <c r="L575" s="54" t="str">
        <f t="shared" si="55"/>
        <v>F</v>
      </c>
      <c r="M575" s="38" t="str">
        <f t="shared" si="58"/>
        <v/>
      </c>
      <c r="N575" s="69" t="str">
        <f t="shared" si="56"/>
        <v/>
      </c>
      <c r="O575" s="97"/>
      <c r="P575" s="98"/>
      <c r="Q575" s="99"/>
      <c r="R575" s="100"/>
      <c r="S575" s="86"/>
      <c r="U575" s="48" t="str">
        <f t="shared" si="57"/>
        <v/>
      </c>
      <c r="V575" s="16"/>
      <c r="W575" s="34"/>
      <c r="X575" s="35"/>
    </row>
    <row r="576" spans="11:24">
      <c r="K576" s="85"/>
      <c r="L576" s="54" t="str">
        <f t="shared" si="55"/>
        <v>F</v>
      </c>
      <c r="M576" s="38" t="str">
        <f t="shared" si="58"/>
        <v/>
      </c>
      <c r="N576" s="69" t="str">
        <f t="shared" si="56"/>
        <v/>
      </c>
      <c r="O576" s="97"/>
      <c r="P576" s="98"/>
      <c r="Q576" s="99"/>
      <c r="R576" s="100"/>
      <c r="S576" s="86"/>
      <c r="U576" s="48" t="str">
        <f t="shared" si="57"/>
        <v/>
      </c>
      <c r="V576" s="16"/>
      <c r="W576" s="34"/>
      <c r="X576" s="35"/>
    </row>
    <row r="577" spans="11:24">
      <c r="K577" s="85"/>
      <c r="L577" s="54" t="str">
        <f t="shared" si="55"/>
        <v>F</v>
      </c>
      <c r="M577" s="38" t="str">
        <f t="shared" si="58"/>
        <v/>
      </c>
      <c r="N577" s="69" t="str">
        <f t="shared" si="56"/>
        <v/>
      </c>
      <c r="O577" s="97"/>
      <c r="P577" s="98"/>
      <c r="Q577" s="99"/>
      <c r="R577" s="100"/>
      <c r="S577" s="86"/>
      <c r="U577" s="48" t="str">
        <f t="shared" si="57"/>
        <v/>
      </c>
      <c r="V577" s="16"/>
      <c r="W577" s="34"/>
      <c r="X577" s="35"/>
    </row>
    <row r="578" spans="11:24">
      <c r="K578" s="85"/>
      <c r="L578" s="54" t="str">
        <f t="shared" si="55"/>
        <v>F</v>
      </c>
      <c r="M578" s="38" t="str">
        <f t="shared" si="58"/>
        <v/>
      </c>
      <c r="N578" s="69" t="str">
        <f t="shared" si="56"/>
        <v/>
      </c>
      <c r="O578" s="97"/>
      <c r="P578" s="98"/>
      <c r="Q578" s="99"/>
      <c r="R578" s="100"/>
      <c r="S578" s="86"/>
      <c r="U578" s="48" t="str">
        <f t="shared" si="57"/>
        <v/>
      </c>
      <c r="V578" s="16"/>
      <c r="W578" s="34"/>
      <c r="X578" s="35"/>
    </row>
    <row r="579" spans="11:24">
      <c r="K579" s="85"/>
      <c r="L579" s="54" t="str">
        <f t="shared" si="55"/>
        <v>F</v>
      </c>
      <c r="M579" s="38" t="str">
        <f t="shared" si="58"/>
        <v/>
      </c>
      <c r="N579" s="69" t="str">
        <f t="shared" si="56"/>
        <v/>
      </c>
      <c r="O579" s="97"/>
      <c r="P579" s="98"/>
      <c r="Q579" s="99"/>
      <c r="R579" s="100"/>
      <c r="S579" s="86"/>
      <c r="U579" s="48" t="str">
        <f t="shared" si="57"/>
        <v/>
      </c>
      <c r="V579" s="16"/>
      <c r="W579" s="34"/>
      <c r="X579" s="35"/>
    </row>
    <row r="580" spans="11:24">
      <c r="K580" s="85"/>
      <c r="L580" s="54" t="str">
        <f t="shared" si="55"/>
        <v>F</v>
      </c>
      <c r="M580" s="38" t="str">
        <f t="shared" si="58"/>
        <v/>
      </c>
      <c r="N580" s="69" t="str">
        <f t="shared" si="56"/>
        <v/>
      </c>
      <c r="O580" s="97"/>
      <c r="P580" s="98"/>
      <c r="Q580" s="99"/>
      <c r="R580" s="100"/>
      <c r="S580" s="86"/>
      <c r="U580" s="48" t="str">
        <f t="shared" si="57"/>
        <v/>
      </c>
      <c r="V580" s="16"/>
      <c r="W580" s="34"/>
      <c r="X580" s="35"/>
    </row>
    <row r="581" spans="11:24">
      <c r="K581" s="85"/>
      <c r="L581" s="54" t="str">
        <f t="shared" si="55"/>
        <v>F</v>
      </c>
      <c r="M581" s="38" t="str">
        <f t="shared" si="58"/>
        <v/>
      </c>
      <c r="N581" s="69" t="str">
        <f t="shared" si="56"/>
        <v/>
      </c>
      <c r="O581" s="97"/>
      <c r="P581" s="98"/>
      <c r="Q581" s="99"/>
      <c r="R581" s="100"/>
      <c r="S581" s="86"/>
      <c r="U581" s="48" t="str">
        <f t="shared" si="57"/>
        <v/>
      </c>
      <c r="V581" s="16"/>
      <c r="W581" s="34"/>
      <c r="X581" s="35"/>
    </row>
    <row r="582" spans="11:24">
      <c r="K582" s="85"/>
      <c r="L582" s="54" t="str">
        <f t="shared" si="55"/>
        <v>F</v>
      </c>
      <c r="M582" s="38" t="str">
        <f t="shared" si="58"/>
        <v/>
      </c>
      <c r="N582" s="69" t="str">
        <f t="shared" si="56"/>
        <v/>
      </c>
      <c r="O582" s="97"/>
      <c r="P582" s="98"/>
      <c r="Q582" s="99"/>
      <c r="R582" s="100"/>
      <c r="S582" s="86"/>
      <c r="U582" s="48" t="str">
        <f t="shared" si="57"/>
        <v/>
      </c>
      <c r="V582" s="16"/>
      <c r="W582" s="34"/>
      <c r="X582" s="35"/>
    </row>
    <row r="583" spans="11:24">
      <c r="K583" s="85"/>
      <c r="L583" s="54" t="str">
        <f t="shared" si="55"/>
        <v>F</v>
      </c>
      <c r="M583" s="38" t="str">
        <f t="shared" si="58"/>
        <v/>
      </c>
      <c r="N583" s="69" t="str">
        <f t="shared" si="56"/>
        <v/>
      </c>
      <c r="O583" s="97"/>
      <c r="P583" s="98"/>
      <c r="Q583" s="99"/>
      <c r="R583" s="100"/>
      <c r="S583" s="86"/>
      <c r="U583" s="48" t="str">
        <f t="shared" si="57"/>
        <v/>
      </c>
      <c r="V583" s="16"/>
      <c r="W583" s="34"/>
      <c r="X583" s="35"/>
    </row>
    <row r="584" spans="11:24">
      <c r="K584" s="85"/>
      <c r="L584" s="54" t="str">
        <f t="shared" si="55"/>
        <v>F</v>
      </c>
      <c r="M584" s="38" t="str">
        <f t="shared" si="58"/>
        <v/>
      </c>
      <c r="N584" s="69" t="str">
        <f t="shared" si="56"/>
        <v/>
      </c>
      <c r="O584" s="97"/>
      <c r="P584" s="98"/>
      <c r="Q584" s="99"/>
      <c r="R584" s="100"/>
      <c r="S584" s="86"/>
      <c r="U584" s="48" t="str">
        <f t="shared" si="57"/>
        <v/>
      </c>
      <c r="V584" s="16"/>
      <c r="W584" s="34"/>
      <c r="X584" s="35"/>
    </row>
    <row r="585" spans="11:24">
      <c r="K585" s="85"/>
      <c r="L585" s="54" t="str">
        <f t="shared" ref="L585:L648" si="59">IF(UPPER(P585)="EQU","E",IF(P585="DB","D",IF(O585&lt;&gt;"","L",IF(N585="","F",""))))</f>
        <v>F</v>
      </c>
      <c r="M585" s="38" t="str">
        <f t="shared" si="58"/>
        <v/>
      </c>
      <c r="N585" s="69" t="str">
        <f t="shared" ref="N585:N648" si="60">IFERROR(IF(N584+1&lt;=HEX2DEC(MemSize)+HEX2DEC(MemStart),N584+1,""),"")</f>
        <v/>
      </c>
      <c r="O585" s="97"/>
      <c r="P585" s="98"/>
      <c r="Q585" s="99"/>
      <c r="R585" s="100"/>
      <c r="S585" s="86"/>
      <c r="U585" s="48" t="str">
        <f t="shared" ref="U585:U648" si="61">IF(V585&gt;0,RIGHT("0000"&amp;DEC2HEX(V585),4),"")</f>
        <v/>
      </c>
      <c r="V585" s="16"/>
      <c r="W585" s="34"/>
      <c r="X585" s="35"/>
    </row>
    <row r="586" spans="11:24">
      <c r="K586" s="85"/>
      <c r="L586" s="54" t="str">
        <f t="shared" si="59"/>
        <v>F</v>
      </c>
      <c r="M586" s="38" t="str">
        <f t="shared" si="58"/>
        <v/>
      </c>
      <c r="N586" s="69" t="str">
        <f t="shared" si="60"/>
        <v/>
      </c>
      <c r="O586" s="97"/>
      <c r="P586" s="98"/>
      <c r="Q586" s="99"/>
      <c r="R586" s="100"/>
      <c r="S586" s="86"/>
      <c r="U586" s="48" t="str">
        <f t="shared" si="61"/>
        <v/>
      </c>
      <c r="V586" s="16"/>
      <c r="W586" s="34"/>
      <c r="X586" s="35"/>
    </row>
    <row r="587" spans="11:24">
      <c r="K587" s="85"/>
      <c r="L587" s="54" t="str">
        <f t="shared" si="59"/>
        <v>F</v>
      </c>
      <c r="M587" s="38" t="str">
        <f t="shared" si="58"/>
        <v/>
      </c>
      <c r="N587" s="69" t="str">
        <f t="shared" si="60"/>
        <v/>
      </c>
      <c r="O587" s="97"/>
      <c r="P587" s="98"/>
      <c r="Q587" s="99"/>
      <c r="R587" s="100"/>
      <c r="S587" s="86"/>
      <c r="U587" s="48" t="str">
        <f t="shared" si="61"/>
        <v/>
      </c>
      <c r="V587" s="16"/>
      <c r="W587" s="34"/>
      <c r="X587" s="35"/>
    </row>
    <row r="588" spans="11:24">
      <c r="K588" s="85"/>
      <c r="L588" s="54" t="str">
        <f t="shared" si="59"/>
        <v>F</v>
      </c>
      <c r="M588" s="38" t="str">
        <f t="shared" si="58"/>
        <v/>
      </c>
      <c r="N588" s="69" t="str">
        <f t="shared" si="60"/>
        <v/>
      </c>
      <c r="O588" s="97"/>
      <c r="P588" s="98"/>
      <c r="Q588" s="99"/>
      <c r="R588" s="100"/>
      <c r="S588" s="86"/>
      <c r="U588" s="48" t="str">
        <f t="shared" si="61"/>
        <v/>
      </c>
      <c r="V588" s="16"/>
      <c r="W588" s="34"/>
      <c r="X588" s="35"/>
    </row>
    <row r="589" spans="11:24">
      <c r="K589" s="85"/>
      <c r="L589" s="54" t="str">
        <f t="shared" si="59"/>
        <v>F</v>
      </c>
      <c r="M589" s="38" t="str">
        <f t="shared" si="58"/>
        <v/>
      </c>
      <c r="N589" s="69" t="str">
        <f t="shared" si="60"/>
        <v/>
      </c>
      <c r="O589" s="97"/>
      <c r="P589" s="98"/>
      <c r="Q589" s="99"/>
      <c r="R589" s="100"/>
      <c r="S589" s="86"/>
      <c r="U589" s="48" t="str">
        <f t="shared" si="61"/>
        <v/>
      </c>
      <c r="V589" s="16"/>
      <c r="W589" s="34"/>
      <c r="X589" s="35"/>
    </row>
    <row r="590" spans="11:24">
      <c r="K590" s="85"/>
      <c r="L590" s="54" t="str">
        <f t="shared" si="59"/>
        <v>F</v>
      </c>
      <c r="M590" s="38" t="str">
        <f t="shared" si="58"/>
        <v/>
      </c>
      <c r="N590" s="69" t="str">
        <f t="shared" si="60"/>
        <v/>
      </c>
      <c r="O590" s="97"/>
      <c r="P590" s="98"/>
      <c r="Q590" s="99"/>
      <c r="R590" s="100"/>
      <c r="S590" s="86"/>
      <c r="U590" s="48" t="str">
        <f t="shared" si="61"/>
        <v/>
      </c>
      <c r="V590" s="16"/>
      <c r="W590" s="34"/>
      <c r="X590" s="35"/>
    </row>
    <row r="591" spans="11:24">
      <c r="K591" s="85"/>
      <c r="L591" s="54" t="str">
        <f t="shared" si="59"/>
        <v>F</v>
      </c>
      <c r="M591" s="38" t="str">
        <f t="shared" si="58"/>
        <v/>
      </c>
      <c r="N591" s="69" t="str">
        <f t="shared" si="60"/>
        <v/>
      </c>
      <c r="O591" s="97"/>
      <c r="P591" s="98"/>
      <c r="Q591" s="99"/>
      <c r="R591" s="100"/>
      <c r="S591" s="86"/>
      <c r="U591" s="48" t="str">
        <f t="shared" si="61"/>
        <v/>
      </c>
      <c r="V591" s="16"/>
      <c r="W591" s="34"/>
      <c r="X591" s="35"/>
    </row>
    <row r="592" spans="11:24">
      <c r="K592" s="85"/>
      <c r="L592" s="54" t="str">
        <f t="shared" si="59"/>
        <v>F</v>
      </c>
      <c r="M592" s="38" t="str">
        <f t="shared" si="58"/>
        <v/>
      </c>
      <c r="N592" s="69" t="str">
        <f t="shared" si="60"/>
        <v/>
      </c>
      <c r="O592" s="97"/>
      <c r="P592" s="98"/>
      <c r="Q592" s="99"/>
      <c r="R592" s="100"/>
      <c r="S592" s="86"/>
      <c r="U592" s="48" t="str">
        <f t="shared" si="61"/>
        <v/>
      </c>
      <c r="V592" s="16"/>
      <c r="W592" s="34"/>
      <c r="X592" s="35"/>
    </row>
    <row r="593" spans="11:24">
      <c r="K593" s="85"/>
      <c r="L593" s="54" t="str">
        <f t="shared" si="59"/>
        <v>F</v>
      </c>
      <c r="M593" s="38" t="str">
        <f t="shared" si="58"/>
        <v/>
      </c>
      <c r="N593" s="69" t="str">
        <f t="shared" si="60"/>
        <v/>
      </c>
      <c r="O593" s="97"/>
      <c r="P593" s="98"/>
      <c r="Q593" s="99"/>
      <c r="R593" s="100"/>
      <c r="S593" s="86"/>
      <c r="U593" s="48" t="str">
        <f t="shared" si="61"/>
        <v/>
      </c>
      <c r="V593" s="16"/>
      <c r="W593" s="34"/>
      <c r="X593" s="35"/>
    </row>
    <row r="594" spans="11:24">
      <c r="K594" s="85"/>
      <c r="L594" s="54" t="str">
        <f t="shared" si="59"/>
        <v>F</v>
      </c>
      <c r="M594" s="38" t="str">
        <f t="shared" si="58"/>
        <v/>
      </c>
      <c r="N594" s="69" t="str">
        <f t="shared" si="60"/>
        <v/>
      </c>
      <c r="O594" s="97"/>
      <c r="P594" s="98"/>
      <c r="Q594" s="99"/>
      <c r="R594" s="100"/>
      <c r="S594" s="86"/>
      <c r="U594" s="48" t="str">
        <f t="shared" si="61"/>
        <v/>
      </c>
      <c r="V594" s="16"/>
      <c r="W594" s="34"/>
      <c r="X594" s="35"/>
    </row>
    <row r="595" spans="11:24">
      <c r="K595" s="85"/>
      <c r="L595" s="54" t="str">
        <f t="shared" si="59"/>
        <v>F</v>
      </c>
      <c r="M595" s="38" t="str">
        <f t="shared" si="58"/>
        <v/>
      </c>
      <c r="N595" s="69" t="str">
        <f t="shared" si="60"/>
        <v/>
      </c>
      <c r="O595" s="97"/>
      <c r="P595" s="98"/>
      <c r="Q595" s="99"/>
      <c r="R595" s="100"/>
      <c r="S595" s="86"/>
      <c r="U595" s="48" t="str">
        <f t="shared" si="61"/>
        <v/>
      </c>
      <c r="V595" s="16"/>
      <c r="W595" s="34"/>
      <c r="X595" s="35"/>
    </row>
    <row r="596" spans="11:24">
      <c r="K596" s="85"/>
      <c r="L596" s="54" t="str">
        <f t="shared" si="59"/>
        <v>F</v>
      </c>
      <c r="M596" s="38" t="str">
        <f t="shared" si="58"/>
        <v/>
      </c>
      <c r="N596" s="69" t="str">
        <f t="shared" si="60"/>
        <v/>
      </c>
      <c r="O596" s="97"/>
      <c r="P596" s="98"/>
      <c r="Q596" s="99"/>
      <c r="R596" s="100"/>
      <c r="S596" s="86"/>
      <c r="U596" s="48" t="str">
        <f t="shared" si="61"/>
        <v/>
      </c>
      <c r="V596" s="16"/>
      <c r="W596" s="34"/>
      <c r="X596" s="35"/>
    </row>
    <row r="597" spans="11:24">
      <c r="K597" s="85"/>
      <c r="L597" s="54" t="str">
        <f t="shared" si="59"/>
        <v>F</v>
      </c>
      <c r="M597" s="38" t="str">
        <f t="shared" si="58"/>
        <v/>
      </c>
      <c r="N597" s="69" t="str">
        <f t="shared" si="60"/>
        <v/>
      </c>
      <c r="O597" s="97"/>
      <c r="P597" s="98"/>
      <c r="Q597" s="99"/>
      <c r="R597" s="100"/>
      <c r="S597" s="86"/>
      <c r="U597" s="48" t="str">
        <f t="shared" si="61"/>
        <v/>
      </c>
      <c r="V597" s="16"/>
      <c r="W597" s="34"/>
      <c r="X597" s="35"/>
    </row>
    <row r="598" spans="11:24">
      <c r="K598" s="85"/>
      <c r="L598" s="54" t="str">
        <f t="shared" si="59"/>
        <v>F</v>
      </c>
      <c r="M598" s="38" t="str">
        <f t="shared" si="58"/>
        <v/>
      </c>
      <c r="N598" s="69" t="str">
        <f t="shared" si="60"/>
        <v/>
      </c>
      <c r="O598" s="97"/>
      <c r="P598" s="98"/>
      <c r="Q598" s="99"/>
      <c r="R598" s="100"/>
      <c r="S598" s="86"/>
      <c r="U598" s="48" t="str">
        <f t="shared" si="61"/>
        <v/>
      </c>
      <c r="V598" s="16"/>
      <c r="W598" s="34"/>
      <c r="X598" s="35"/>
    </row>
    <row r="599" spans="11:24">
      <c r="K599" s="85"/>
      <c r="L599" s="54" t="str">
        <f t="shared" si="59"/>
        <v>F</v>
      </c>
      <c r="M599" s="38" t="str">
        <f t="shared" si="58"/>
        <v/>
      </c>
      <c r="N599" s="69" t="str">
        <f t="shared" si="60"/>
        <v/>
      </c>
      <c r="O599" s="97"/>
      <c r="P599" s="98"/>
      <c r="Q599" s="99"/>
      <c r="R599" s="100"/>
      <c r="S599" s="86"/>
      <c r="U599" s="48" t="str">
        <f t="shared" si="61"/>
        <v/>
      </c>
      <c r="V599" s="16"/>
      <c r="W599" s="34"/>
      <c r="X599" s="35"/>
    </row>
    <row r="600" spans="11:24">
      <c r="K600" s="85"/>
      <c r="L600" s="54" t="str">
        <f t="shared" si="59"/>
        <v>F</v>
      </c>
      <c r="M600" s="38" t="str">
        <f t="shared" si="58"/>
        <v/>
      </c>
      <c r="N600" s="69" t="str">
        <f t="shared" si="60"/>
        <v/>
      </c>
      <c r="O600" s="97"/>
      <c r="P600" s="98"/>
      <c r="Q600" s="99"/>
      <c r="R600" s="100"/>
      <c r="S600" s="86"/>
      <c r="U600" s="48" t="str">
        <f t="shared" si="61"/>
        <v/>
      </c>
      <c r="V600" s="16"/>
      <c r="W600" s="34"/>
      <c r="X600" s="35"/>
    </row>
    <row r="601" spans="11:24">
      <c r="K601" s="85"/>
      <c r="L601" s="54" t="str">
        <f t="shared" si="59"/>
        <v>F</v>
      </c>
      <c r="M601" s="38" t="str">
        <f t="shared" si="58"/>
        <v/>
      </c>
      <c r="N601" s="69" t="str">
        <f t="shared" si="60"/>
        <v/>
      </c>
      <c r="O601" s="97"/>
      <c r="P601" s="98"/>
      <c r="Q601" s="99"/>
      <c r="R601" s="100"/>
      <c r="S601" s="86"/>
      <c r="U601" s="48" t="str">
        <f t="shared" si="61"/>
        <v/>
      </c>
      <c r="V601" s="16"/>
      <c r="W601" s="34"/>
      <c r="X601" s="35"/>
    </row>
    <row r="602" spans="11:24">
      <c r="K602" s="85"/>
      <c r="L602" s="54" t="str">
        <f t="shared" si="59"/>
        <v>F</v>
      </c>
      <c r="M602" s="38" t="str">
        <f t="shared" si="58"/>
        <v/>
      </c>
      <c r="N602" s="69" t="str">
        <f t="shared" si="60"/>
        <v/>
      </c>
      <c r="O602" s="97"/>
      <c r="P602" s="98"/>
      <c r="Q602" s="99"/>
      <c r="R602" s="100"/>
      <c r="S602" s="86"/>
      <c r="U602" s="48" t="str">
        <f t="shared" si="61"/>
        <v/>
      </c>
      <c r="V602" s="16"/>
      <c r="W602" s="34"/>
      <c r="X602" s="35"/>
    </row>
    <row r="603" spans="11:24">
      <c r="K603" s="85"/>
      <c r="L603" s="54" t="str">
        <f t="shared" si="59"/>
        <v>F</v>
      </c>
      <c r="M603" s="38" t="str">
        <f t="shared" si="58"/>
        <v/>
      </c>
      <c r="N603" s="69" t="str">
        <f t="shared" si="60"/>
        <v/>
      </c>
      <c r="O603" s="97"/>
      <c r="P603" s="98"/>
      <c r="Q603" s="99"/>
      <c r="R603" s="100"/>
      <c r="S603" s="86"/>
      <c r="U603" s="48" t="str">
        <f t="shared" si="61"/>
        <v/>
      </c>
      <c r="V603" s="16"/>
      <c r="W603" s="34"/>
      <c r="X603" s="35"/>
    </row>
    <row r="604" spans="11:24">
      <c r="K604" s="85"/>
      <c r="L604" s="54" t="str">
        <f t="shared" si="59"/>
        <v>F</v>
      </c>
      <c r="M604" s="38" t="str">
        <f t="shared" si="58"/>
        <v/>
      </c>
      <c r="N604" s="69" t="str">
        <f t="shared" si="60"/>
        <v/>
      </c>
      <c r="O604" s="97"/>
      <c r="P604" s="98"/>
      <c r="Q604" s="99"/>
      <c r="R604" s="100"/>
      <c r="S604" s="86"/>
      <c r="U604" s="48" t="str">
        <f t="shared" si="61"/>
        <v/>
      </c>
      <c r="V604" s="16"/>
      <c r="W604" s="34"/>
      <c r="X604" s="35"/>
    </row>
    <row r="605" spans="11:24">
      <c r="K605" s="85"/>
      <c r="L605" s="54" t="str">
        <f t="shared" si="59"/>
        <v>F</v>
      </c>
      <c r="M605" s="38" t="str">
        <f t="shared" ref="M605:M668" si="62">IFERROR(RIGHT("0000"&amp;DEC2HEX(N605),4),"")</f>
        <v/>
      </c>
      <c r="N605" s="69" t="str">
        <f t="shared" si="60"/>
        <v/>
      </c>
      <c r="O605" s="97"/>
      <c r="P605" s="98"/>
      <c r="Q605" s="99"/>
      <c r="R605" s="100"/>
      <c r="S605" s="86"/>
      <c r="U605" s="48" t="str">
        <f t="shared" si="61"/>
        <v/>
      </c>
      <c r="V605" s="16"/>
      <c r="W605" s="34"/>
      <c r="X605" s="35"/>
    </row>
    <row r="606" spans="11:24">
      <c r="K606" s="85"/>
      <c r="L606" s="54" t="str">
        <f t="shared" si="59"/>
        <v>F</v>
      </c>
      <c r="M606" s="38" t="str">
        <f t="shared" si="62"/>
        <v/>
      </c>
      <c r="N606" s="69" t="str">
        <f t="shared" si="60"/>
        <v/>
      </c>
      <c r="O606" s="97"/>
      <c r="P606" s="98"/>
      <c r="Q606" s="99"/>
      <c r="R606" s="100"/>
      <c r="S606" s="86"/>
      <c r="U606" s="48" t="str">
        <f t="shared" si="61"/>
        <v/>
      </c>
      <c r="V606" s="16"/>
      <c r="W606" s="34"/>
      <c r="X606" s="35"/>
    </row>
    <row r="607" spans="11:24">
      <c r="K607" s="85"/>
      <c r="L607" s="54" t="str">
        <f t="shared" si="59"/>
        <v>F</v>
      </c>
      <c r="M607" s="38" t="str">
        <f t="shared" si="62"/>
        <v/>
      </c>
      <c r="N607" s="69" t="str">
        <f t="shared" si="60"/>
        <v/>
      </c>
      <c r="O607" s="97"/>
      <c r="P607" s="98"/>
      <c r="Q607" s="99"/>
      <c r="R607" s="100"/>
      <c r="S607" s="86"/>
      <c r="U607" s="48" t="str">
        <f t="shared" si="61"/>
        <v/>
      </c>
      <c r="V607" s="16"/>
      <c r="W607" s="34"/>
      <c r="X607" s="35"/>
    </row>
    <row r="608" spans="11:24">
      <c r="K608" s="85"/>
      <c r="L608" s="54" t="str">
        <f t="shared" si="59"/>
        <v>F</v>
      </c>
      <c r="M608" s="38" t="str">
        <f t="shared" si="62"/>
        <v/>
      </c>
      <c r="N608" s="69" t="str">
        <f t="shared" si="60"/>
        <v/>
      </c>
      <c r="O608" s="97"/>
      <c r="P608" s="98"/>
      <c r="Q608" s="99"/>
      <c r="R608" s="100"/>
      <c r="S608" s="86"/>
      <c r="U608" s="48" t="str">
        <f t="shared" si="61"/>
        <v/>
      </c>
      <c r="V608" s="16"/>
      <c r="W608" s="34"/>
      <c r="X608" s="35"/>
    </row>
    <row r="609" spans="11:24">
      <c r="K609" s="85"/>
      <c r="L609" s="54" t="str">
        <f t="shared" si="59"/>
        <v>F</v>
      </c>
      <c r="M609" s="38" t="str">
        <f t="shared" si="62"/>
        <v/>
      </c>
      <c r="N609" s="69" t="str">
        <f t="shared" si="60"/>
        <v/>
      </c>
      <c r="O609" s="97"/>
      <c r="P609" s="98"/>
      <c r="Q609" s="99"/>
      <c r="R609" s="100"/>
      <c r="S609" s="86"/>
      <c r="U609" s="48" t="str">
        <f t="shared" si="61"/>
        <v/>
      </c>
      <c r="V609" s="16"/>
      <c r="W609" s="34"/>
      <c r="X609" s="35"/>
    </row>
    <row r="610" spans="11:24">
      <c r="K610" s="85"/>
      <c r="L610" s="54" t="str">
        <f t="shared" si="59"/>
        <v>F</v>
      </c>
      <c r="M610" s="38" t="str">
        <f t="shared" si="62"/>
        <v/>
      </c>
      <c r="N610" s="69" t="str">
        <f t="shared" si="60"/>
        <v/>
      </c>
      <c r="O610" s="97"/>
      <c r="P610" s="98"/>
      <c r="Q610" s="99"/>
      <c r="R610" s="100"/>
      <c r="S610" s="86"/>
      <c r="U610" s="48" t="str">
        <f t="shared" si="61"/>
        <v/>
      </c>
      <c r="V610" s="16"/>
      <c r="W610" s="34"/>
      <c r="X610" s="35"/>
    </row>
    <row r="611" spans="11:24">
      <c r="K611" s="85"/>
      <c r="L611" s="54" t="str">
        <f t="shared" si="59"/>
        <v>F</v>
      </c>
      <c r="M611" s="38" t="str">
        <f t="shared" si="62"/>
        <v/>
      </c>
      <c r="N611" s="69" t="str">
        <f t="shared" si="60"/>
        <v/>
      </c>
      <c r="O611" s="97"/>
      <c r="P611" s="98"/>
      <c r="Q611" s="99"/>
      <c r="R611" s="100"/>
      <c r="S611" s="86"/>
      <c r="U611" s="48" t="str">
        <f t="shared" si="61"/>
        <v/>
      </c>
      <c r="V611" s="16"/>
      <c r="W611" s="34"/>
      <c r="X611" s="35"/>
    </row>
    <row r="612" spans="11:24">
      <c r="K612" s="85"/>
      <c r="L612" s="54" t="str">
        <f t="shared" si="59"/>
        <v>F</v>
      </c>
      <c r="M612" s="38" t="str">
        <f t="shared" si="62"/>
        <v/>
      </c>
      <c r="N612" s="69" t="str">
        <f t="shared" si="60"/>
        <v/>
      </c>
      <c r="O612" s="97"/>
      <c r="P612" s="98"/>
      <c r="Q612" s="99"/>
      <c r="R612" s="100"/>
      <c r="S612" s="86"/>
      <c r="U612" s="48" t="str">
        <f t="shared" si="61"/>
        <v/>
      </c>
      <c r="V612" s="16"/>
      <c r="W612" s="34"/>
      <c r="X612" s="35"/>
    </row>
    <row r="613" spans="11:24">
      <c r="K613" s="85"/>
      <c r="L613" s="54" t="str">
        <f t="shared" si="59"/>
        <v>F</v>
      </c>
      <c r="M613" s="38" t="str">
        <f t="shared" si="62"/>
        <v/>
      </c>
      <c r="N613" s="69" t="str">
        <f t="shared" si="60"/>
        <v/>
      </c>
      <c r="O613" s="97"/>
      <c r="P613" s="98"/>
      <c r="Q613" s="99"/>
      <c r="R613" s="100"/>
      <c r="S613" s="86"/>
      <c r="U613" s="48" t="str">
        <f t="shared" si="61"/>
        <v/>
      </c>
      <c r="V613" s="16"/>
      <c r="W613" s="34"/>
      <c r="X613" s="35"/>
    </row>
    <row r="614" spans="11:24">
      <c r="K614" s="85"/>
      <c r="L614" s="54" t="str">
        <f t="shared" si="59"/>
        <v>F</v>
      </c>
      <c r="M614" s="38" t="str">
        <f t="shared" si="62"/>
        <v/>
      </c>
      <c r="N614" s="69" t="str">
        <f t="shared" si="60"/>
        <v/>
      </c>
      <c r="O614" s="97"/>
      <c r="P614" s="98"/>
      <c r="Q614" s="99"/>
      <c r="R614" s="100"/>
      <c r="S614" s="86"/>
      <c r="U614" s="48" t="str">
        <f t="shared" si="61"/>
        <v/>
      </c>
      <c r="V614" s="16"/>
      <c r="W614" s="34"/>
      <c r="X614" s="35"/>
    </row>
    <row r="615" spans="11:24">
      <c r="K615" s="85"/>
      <c r="L615" s="54" t="str">
        <f t="shared" si="59"/>
        <v>F</v>
      </c>
      <c r="M615" s="38" t="str">
        <f t="shared" si="62"/>
        <v/>
      </c>
      <c r="N615" s="69" t="str">
        <f t="shared" si="60"/>
        <v/>
      </c>
      <c r="O615" s="97"/>
      <c r="P615" s="98"/>
      <c r="Q615" s="99"/>
      <c r="R615" s="100"/>
      <c r="S615" s="86"/>
      <c r="U615" s="48" t="str">
        <f t="shared" si="61"/>
        <v/>
      </c>
      <c r="V615" s="16"/>
      <c r="W615" s="34"/>
      <c r="X615" s="35"/>
    </row>
    <row r="616" spans="11:24">
      <c r="K616" s="85"/>
      <c r="L616" s="54" t="str">
        <f t="shared" si="59"/>
        <v>F</v>
      </c>
      <c r="M616" s="38" t="str">
        <f t="shared" si="62"/>
        <v/>
      </c>
      <c r="N616" s="69" t="str">
        <f t="shared" si="60"/>
        <v/>
      </c>
      <c r="O616" s="97"/>
      <c r="P616" s="98"/>
      <c r="Q616" s="99"/>
      <c r="R616" s="100"/>
      <c r="S616" s="86"/>
      <c r="U616" s="48" t="str">
        <f t="shared" si="61"/>
        <v/>
      </c>
      <c r="V616" s="16"/>
      <c r="W616" s="34"/>
      <c r="X616" s="35"/>
    </row>
    <row r="617" spans="11:24">
      <c r="K617" s="85"/>
      <c r="L617" s="54" t="str">
        <f t="shared" si="59"/>
        <v>F</v>
      </c>
      <c r="M617" s="38" t="str">
        <f t="shared" si="62"/>
        <v/>
      </c>
      <c r="N617" s="69" t="str">
        <f t="shared" si="60"/>
        <v/>
      </c>
      <c r="O617" s="97"/>
      <c r="P617" s="98"/>
      <c r="Q617" s="99"/>
      <c r="R617" s="100"/>
      <c r="S617" s="86"/>
      <c r="U617" s="48" t="str">
        <f t="shared" si="61"/>
        <v/>
      </c>
      <c r="V617" s="16"/>
      <c r="W617" s="34"/>
      <c r="X617" s="35"/>
    </row>
    <row r="618" spans="11:24">
      <c r="K618" s="85"/>
      <c r="L618" s="54" t="str">
        <f t="shared" si="59"/>
        <v>F</v>
      </c>
      <c r="M618" s="38" t="str">
        <f t="shared" si="62"/>
        <v/>
      </c>
      <c r="N618" s="69" t="str">
        <f t="shared" si="60"/>
        <v/>
      </c>
      <c r="O618" s="97"/>
      <c r="P618" s="98"/>
      <c r="Q618" s="99"/>
      <c r="R618" s="100"/>
      <c r="S618" s="86"/>
      <c r="U618" s="48" t="str">
        <f t="shared" si="61"/>
        <v/>
      </c>
      <c r="V618" s="16"/>
      <c r="W618" s="34"/>
      <c r="X618" s="35"/>
    </row>
    <row r="619" spans="11:24">
      <c r="K619" s="85"/>
      <c r="L619" s="54" t="str">
        <f t="shared" si="59"/>
        <v>F</v>
      </c>
      <c r="M619" s="38" t="str">
        <f t="shared" si="62"/>
        <v/>
      </c>
      <c r="N619" s="69" t="str">
        <f t="shared" si="60"/>
        <v/>
      </c>
      <c r="O619" s="97"/>
      <c r="P619" s="98"/>
      <c r="Q619" s="99"/>
      <c r="R619" s="100"/>
      <c r="S619" s="86"/>
      <c r="U619" s="48" t="str">
        <f t="shared" si="61"/>
        <v/>
      </c>
      <c r="V619" s="16"/>
      <c r="W619" s="34"/>
      <c r="X619" s="35"/>
    </row>
    <row r="620" spans="11:24">
      <c r="K620" s="85"/>
      <c r="L620" s="54" t="str">
        <f t="shared" si="59"/>
        <v>F</v>
      </c>
      <c r="M620" s="38" t="str">
        <f t="shared" si="62"/>
        <v/>
      </c>
      <c r="N620" s="69" t="str">
        <f t="shared" si="60"/>
        <v/>
      </c>
      <c r="O620" s="97"/>
      <c r="P620" s="98"/>
      <c r="Q620" s="99"/>
      <c r="R620" s="100"/>
      <c r="S620" s="86"/>
      <c r="U620" s="48" t="str">
        <f t="shared" si="61"/>
        <v/>
      </c>
      <c r="V620" s="16"/>
      <c r="W620" s="34"/>
      <c r="X620" s="35"/>
    </row>
    <row r="621" spans="11:24">
      <c r="K621" s="85"/>
      <c r="L621" s="54" t="str">
        <f t="shared" si="59"/>
        <v>F</v>
      </c>
      <c r="M621" s="38" t="str">
        <f t="shared" si="62"/>
        <v/>
      </c>
      <c r="N621" s="69" t="str">
        <f t="shared" si="60"/>
        <v/>
      </c>
      <c r="O621" s="97"/>
      <c r="P621" s="98"/>
      <c r="Q621" s="99"/>
      <c r="R621" s="100"/>
      <c r="S621" s="86"/>
      <c r="U621" s="48" t="str">
        <f t="shared" si="61"/>
        <v/>
      </c>
      <c r="V621" s="16"/>
      <c r="W621" s="34"/>
      <c r="X621" s="35"/>
    </row>
    <row r="622" spans="11:24">
      <c r="K622" s="85"/>
      <c r="L622" s="54" t="str">
        <f t="shared" si="59"/>
        <v>F</v>
      </c>
      <c r="M622" s="38" t="str">
        <f t="shared" si="62"/>
        <v/>
      </c>
      <c r="N622" s="69" t="str">
        <f t="shared" si="60"/>
        <v/>
      </c>
      <c r="O622" s="97"/>
      <c r="P622" s="98"/>
      <c r="Q622" s="99"/>
      <c r="R622" s="100"/>
      <c r="S622" s="86"/>
      <c r="U622" s="48" t="str">
        <f t="shared" si="61"/>
        <v/>
      </c>
      <c r="V622" s="16"/>
      <c r="W622" s="34"/>
      <c r="X622" s="35"/>
    </row>
    <row r="623" spans="11:24">
      <c r="K623" s="85"/>
      <c r="L623" s="54" t="str">
        <f t="shared" si="59"/>
        <v>F</v>
      </c>
      <c r="M623" s="38" t="str">
        <f t="shared" si="62"/>
        <v/>
      </c>
      <c r="N623" s="69" t="str">
        <f t="shared" si="60"/>
        <v/>
      </c>
      <c r="O623" s="97"/>
      <c r="P623" s="98"/>
      <c r="Q623" s="99"/>
      <c r="R623" s="100"/>
      <c r="S623" s="86"/>
      <c r="U623" s="48" t="str">
        <f t="shared" si="61"/>
        <v/>
      </c>
      <c r="V623" s="16"/>
      <c r="W623" s="34"/>
      <c r="X623" s="35"/>
    </row>
    <row r="624" spans="11:24">
      <c r="K624" s="85"/>
      <c r="L624" s="54" t="str">
        <f t="shared" si="59"/>
        <v>F</v>
      </c>
      <c r="M624" s="38" t="str">
        <f t="shared" si="62"/>
        <v/>
      </c>
      <c r="N624" s="69" t="str">
        <f t="shared" si="60"/>
        <v/>
      </c>
      <c r="O624" s="97"/>
      <c r="P624" s="98"/>
      <c r="Q624" s="99"/>
      <c r="R624" s="100"/>
      <c r="S624" s="86"/>
      <c r="U624" s="48" t="str">
        <f t="shared" si="61"/>
        <v/>
      </c>
      <c r="V624" s="16"/>
      <c r="W624" s="34"/>
      <c r="X624" s="35"/>
    </row>
    <row r="625" spans="11:24">
      <c r="K625" s="85"/>
      <c r="L625" s="54" t="str">
        <f t="shared" si="59"/>
        <v>F</v>
      </c>
      <c r="M625" s="38" t="str">
        <f t="shared" si="62"/>
        <v/>
      </c>
      <c r="N625" s="69" t="str">
        <f t="shared" si="60"/>
        <v/>
      </c>
      <c r="O625" s="97"/>
      <c r="P625" s="98"/>
      <c r="Q625" s="99"/>
      <c r="R625" s="100"/>
      <c r="S625" s="86"/>
      <c r="U625" s="48" t="str">
        <f t="shared" si="61"/>
        <v/>
      </c>
      <c r="V625" s="16"/>
      <c r="W625" s="34"/>
      <c r="X625" s="35"/>
    </row>
    <row r="626" spans="11:24">
      <c r="K626" s="85"/>
      <c r="L626" s="54" t="str">
        <f t="shared" si="59"/>
        <v>F</v>
      </c>
      <c r="M626" s="38" t="str">
        <f t="shared" si="62"/>
        <v/>
      </c>
      <c r="N626" s="69" t="str">
        <f t="shared" si="60"/>
        <v/>
      </c>
      <c r="O626" s="97"/>
      <c r="P626" s="98"/>
      <c r="Q626" s="99"/>
      <c r="R626" s="100"/>
      <c r="S626" s="86"/>
      <c r="U626" s="48" t="str">
        <f t="shared" si="61"/>
        <v/>
      </c>
      <c r="V626" s="16"/>
      <c r="W626" s="34"/>
      <c r="X626" s="35"/>
    </row>
    <row r="627" spans="11:24">
      <c r="K627" s="85"/>
      <c r="L627" s="54" t="str">
        <f t="shared" si="59"/>
        <v>F</v>
      </c>
      <c r="M627" s="38" t="str">
        <f t="shared" si="62"/>
        <v/>
      </c>
      <c r="N627" s="69" t="str">
        <f t="shared" si="60"/>
        <v/>
      </c>
      <c r="O627" s="97"/>
      <c r="P627" s="98"/>
      <c r="Q627" s="99"/>
      <c r="R627" s="100"/>
      <c r="S627" s="86"/>
      <c r="U627" s="48" t="str">
        <f t="shared" si="61"/>
        <v/>
      </c>
      <c r="V627" s="16"/>
      <c r="W627" s="34"/>
      <c r="X627" s="35"/>
    </row>
    <row r="628" spans="11:24">
      <c r="K628" s="85"/>
      <c r="L628" s="54" t="str">
        <f t="shared" si="59"/>
        <v>F</v>
      </c>
      <c r="M628" s="38" t="str">
        <f t="shared" si="62"/>
        <v/>
      </c>
      <c r="N628" s="69" t="str">
        <f t="shared" si="60"/>
        <v/>
      </c>
      <c r="O628" s="97"/>
      <c r="P628" s="98"/>
      <c r="Q628" s="99"/>
      <c r="R628" s="100"/>
      <c r="S628" s="86"/>
      <c r="U628" s="48" t="str">
        <f t="shared" si="61"/>
        <v/>
      </c>
      <c r="V628" s="16"/>
      <c r="W628" s="34"/>
      <c r="X628" s="35"/>
    </row>
    <row r="629" spans="11:24">
      <c r="K629" s="85"/>
      <c r="L629" s="54" t="str">
        <f t="shared" si="59"/>
        <v>F</v>
      </c>
      <c r="M629" s="38" t="str">
        <f t="shared" si="62"/>
        <v/>
      </c>
      <c r="N629" s="69" t="str">
        <f t="shared" si="60"/>
        <v/>
      </c>
      <c r="O629" s="97"/>
      <c r="P629" s="98"/>
      <c r="Q629" s="99"/>
      <c r="R629" s="100"/>
      <c r="S629" s="86"/>
      <c r="U629" s="48" t="str">
        <f t="shared" si="61"/>
        <v/>
      </c>
      <c r="V629" s="16"/>
      <c r="W629" s="34"/>
      <c r="X629" s="35"/>
    </row>
    <row r="630" spans="11:24">
      <c r="K630" s="85"/>
      <c r="L630" s="54" t="str">
        <f t="shared" si="59"/>
        <v>F</v>
      </c>
      <c r="M630" s="38" t="str">
        <f t="shared" si="62"/>
        <v/>
      </c>
      <c r="N630" s="69" t="str">
        <f t="shared" si="60"/>
        <v/>
      </c>
      <c r="O630" s="97"/>
      <c r="P630" s="98"/>
      <c r="Q630" s="99"/>
      <c r="R630" s="100"/>
      <c r="S630" s="86"/>
      <c r="U630" s="48" t="str">
        <f t="shared" si="61"/>
        <v/>
      </c>
      <c r="V630" s="16"/>
      <c r="W630" s="34"/>
      <c r="X630" s="35"/>
    </row>
    <row r="631" spans="11:24">
      <c r="K631" s="85"/>
      <c r="L631" s="54" t="str">
        <f t="shared" si="59"/>
        <v>F</v>
      </c>
      <c r="M631" s="38" t="str">
        <f t="shared" si="62"/>
        <v/>
      </c>
      <c r="N631" s="69" t="str">
        <f t="shared" si="60"/>
        <v/>
      </c>
      <c r="O631" s="97"/>
      <c r="P631" s="98"/>
      <c r="Q631" s="99"/>
      <c r="R631" s="100"/>
      <c r="S631" s="86"/>
      <c r="U631" s="48" t="str">
        <f t="shared" si="61"/>
        <v/>
      </c>
      <c r="V631" s="16"/>
      <c r="W631" s="34"/>
      <c r="X631" s="35"/>
    </row>
    <row r="632" spans="11:24">
      <c r="K632" s="85"/>
      <c r="L632" s="54" t="str">
        <f t="shared" si="59"/>
        <v>F</v>
      </c>
      <c r="M632" s="38" t="str">
        <f t="shared" si="62"/>
        <v/>
      </c>
      <c r="N632" s="69" t="str">
        <f t="shared" si="60"/>
        <v/>
      </c>
      <c r="O632" s="97"/>
      <c r="P632" s="98"/>
      <c r="Q632" s="99"/>
      <c r="R632" s="100"/>
      <c r="S632" s="86"/>
      <c r="U632" s="48" t="str">
        <f t="shared" si="61"/>
        <v/>
      </c>
      <c r="V632" s="16"/>
      <c r="W632" s="34"/>
      <c r="X632" s="35"/>
    </row>
    <row r="633" spans="11:24">
      <c r="K633" s="85"/>
      <c r="L633" s="54" t="str">
        <f t="shared" si="59"/>
        <v>F</v>
      </c>
      <c r="M633" s="38" t="str">
        <f t="shared" si="62"/>
        <v/>
      </c>
      <c r="N633" s="69" t="str">
        <f t="shared" si="60"/>
        <v/>
      </c>
      <c r="O633" s="97"/>
      <c r="P633" s="98"/>
      <c r="Q633" s="99"/>
      <c r="R633" s="100"/>
      <c r="S633" s="86"/>
      <c r="U633" s="48" t="str">
        <f t="shared" si="61"/>
        <v/>
      </c>
      <c r="V633" s="16"/>
      <c r="W633" s="34"/>
      <c r="X633" s="35"/>
    </row>
    <row r="634" spans="11:24">
      <c r="K634" s="85"/>
      <c r="L634" s="54" t="str">
        <f t="shared" si="59"/>
        <v>F</v>
      </c>
      <c r="M634" s="38" t="str">
        <f t="shared" si="62"/>
        <v/>
      </c>
      <c r="N634" s="69" t="str">
        <f t="shared" si="60"/>
        <v/>
      </c>
      <c r="O634" s="97"/>
      <c r="P634" s="98"/>
      <c r="Q634" s="99"/>
      <c r="R634" s="100"/>
      <c r="S634" s="86"/>
      <c r="U634" s="48" t="str">
        <f t="shared" si="61"/>
        <v/>
      </c>
      <c r="V634" s="16"/>
      <c r="W634" s="34"/>
      <c r="X634" s="35"/>
    </row>
    <row r="635" spans="11:24">
      <c r="K635" s="85"/>
      <c r="L635" s="54" t="str">
        <f t="shared" si="59"/>
        <v>F</v>
      </c>
      <c r="M635" s="38" t="str">
        <f t="shared" si="62"/>
        <v/>
      </c>
      <c r="N635" s="69" t="str">
        <f t="shared" si="60"/>
        <v/>
      </c>
      <c r="O635" s="97"/>
      <c r="P635" s="98"/>
      <c r="Q635" s="99"/>
      <c r="R635" s="100"/>
      <c r="S635" s="86"/>
      <c r="U635" s="48" t="str">
        <f t="shared" si="61"/>
        <v/>
      </c>
      <c r="V635" s="16"/>
      <c r="W635" s="34"/>
      <c r="X635" s="35"/>
    </row>
    <row r="636" spans="11:24">
      <c r="K636" s="85"/>
      <c r="L636" s="54" t="str">
        <f t="shared" si="59"/>
        <v>F</v>
      </c>
      <c r="M636" s="38" t="str">
        <f t="shared" si="62"/>
        <v/>
      </c>
      <c r="N636" s="69" t="str">
        <f t="shared" si="60"/>
        <v/>
      </c>
      <c r="O636" s="97"/>
      <c r="P636" s="98"/>
      <c r="Q636" s="99"/>
      <c r="R636" s="100"/>
      <c r="S636" s="86"/>
      <c r="U636" s="48" t="str">
        <f t="shared" si="61"/>
        <v/>
      </c>
      <c r="V636" s="16"/>
      <c r="W636" s="34"/>
      <c r="X636" s="35"/>
    </row>
    <row r="637" spans="11:24">
      <c r="K637" s="85"/>
      <c r="L637" s="54" t="str">
        <f t="shared" si="59"/>
        <v>F</v>
      </c>
      <c r="M637" s="38" t="str">
        <f t="shared" si="62"/>
        <v/>
      </c>
      <c r="N637" s="69" t="str">
        <f t="shared" si="60"/>
        <v/>
      </c>
      <c r="O637" s="97"/>
      <c r="P637" s="98"/>
      <c r="Q637" s="99"/>
      <c r="R637" s="100"/>
      <c r="S637" s="86"/>
      <c r="U637" s="48" t="str">
        <f t="shared" si="61"/>
        <v/>
      </c>
      <c r="V637" s="16"/>
      <c r="W637" s="34"/>
      <c r="X637" s="35"/>
    </row>
    <row r="638" spans="11:24">
      <c r="K638" s="85"/>
      <c r="L638" s="54" t="str">
        <f t="shared" si="59"/>
        <v>F</v>
      </c>
      <c r="M638" s="38" t="str">
        <f t="shared" si="62"/>
        <v/>
      </c>
      <c r="N638" s="69" t="str">
        <f t="shared" si="60"/>
        <v/>
      </c>
      <c r="O638" s="97"/>
      <c r="P638" s="98"/>
      <c r="Q638" s="99"/>
      <c r="R638" s="100"/>
      <c r="S638" s="86"/>
      <c r="U638" s="48" t="str">
        <f t="shared" si="61"/>
        <v/>
      </c>
      <c r="V638" s="16"/>
      <c r="W638" s="34"/>
      <c r="X638" s="35"/>
    </row>
    <row r="639" spans="11:24">
      <c r="K639" s="85"/>
      <c r="L639" s="54" t="str">
        <f t="shared" si="59"/>
        <v>F</v>
      </c>
      <c r="M639" s="38" t="str">
        <f t="shared" si="62"/>
        <v/>
      </c>
      <c r="N639" s="69" t="str">
        <f t="shared" si="60"/>
        <v/>
      </c>
      <c r="O639" s="97"/>
      <c r="P639" s="98"/>
      <c r="Q639" s="99"/>
      <c r="R639" s="100"/>
      <c r="S639" s="86"/>
      <c r="U639" s="48" t="str">
        <f t="shared" si="61"/>
        <v/>
      </c>
      <c r="V639" s="16"/>
      <c r="W639" s="34"/>
      <c r="X639" s="35"/>
    </row>
    <row r="640" spans="11:24">
      <c r="K640" s="85"/>
      <c r="L640" s="54" t="str">
        <f t="shared" si="59"/>
        <v>F</v>
      </c>
      <c r="M640" s="38" t="str">
        <f t="shared" si="62"/>
        <v/>
      </c>
      <c r="N640" s="69" t="str">
        <f t="shared" si="60"/>
        <v/>
      </c>
      <c r="O640" s="97"/>
      <c r="P640" s="98"/>
      <c r="Q640" s="99"/>
      <c r="R640" s="100"/>
      <c r="S640" s="86"/>
      <c r="U640" s="48" t="str">
        <f t="shared" si="61"/>
        <v/>
      </c>
      <c r="V640" s="16"/>
      <c r="W640" s="34"/>
      <c r="X640" s="35"/>
    </row>
    <row r="641" spans="11:24">
      <c r="K641" s="85"/>
      <c r="L641" s="54" t="str">
        <f t="shared" si="59"/>
        <v>F</v>
      </c>
      <c r="M641" s="38" t="str">
        <f t="shared" si="62"/>
        <v/>
      </c>
      <c r="N641" s="69" t="str">
        <f t="shared" si="60"/>
        <v/>
      </c>
      <c r="O641" s="97"/>
      <c r="P641" s="98"/>
      <c r="Q641" s="99"/>
      <c r="R641" s="100"/>
      <c r="S641" s="86"/>
      <c r="U641" s="48" t="str">
        <f t="shared" si="61"/>
        <v/>
      </c>
      <c r="V641" s="16"/>
      <c r="W641" s="34"/>
      <c r="X641" s="35"/>
    </row>
    <row r="642" spans="11:24">
      <c r="K642" s="85"/>
      <c r="L642" s="54" t="str">
        <f t="shared" si="59"/>
        <v>F</v>
      </c>
      <c r="M642" s="38" t="str">
        <f t="shared" si="62"/>
        <v/>
      </c>
      <c r="N642" s="69" t="str">
        <f t="shared" si="60"/>
        <v/>
      </c>
      <c r="O642" s="97"/>
      <c r="P642" s="98"/>
      <c r="Q642" s="99"/>
      <c r="R642" s="100"/>
      <c r="S642" s="86"/>
      <c r="U642" s="48" t="str">
        <f t="shared" si="61"/>
        <v/>
      </c>
      <c r="V642" s="16"/>
      <c r="W642" s="34"/>
      <c r="X642" s="35"/>
    </row>
    <row r="643" spans="11:24">
      <c r="K643" s="85"/>
      <c r="L643" s="54" t="str">
        <f t="shared" si="59"/>
        <v>F</v>
      </c>
      <c r="M643" s="38" t="str">
        <f t="shared" si="62"/>
        <v/>
      </c>
      <c r="N643" s="69" t="str">
        <f t="shared" si="60"/>
        <v/>
      </c>
      <c r="O643" s="97"/>
      <c r="P643" s="98"/>
      <c r="Q643" s="99"/>
      <c r="R643" s="100"/>
      <c r="S643" s="86"/>
      <c r="U643" s="48" t="str">
        <f t="shared" si="61"/>
        <v/>
      </c>
      <c r="V643" s="16"/>
      <c r="W643" s="34"/>
      <c r="X643" s="35"/>
    </row>
    <row r="644" spans="11:24">
      <c r="K644" s="85"/>
      <c r="L644" s="54" t="str">
        <f t="shared" si="59"/>
        <v>F</v>
      </c>
      <c r="M644" s="38" t="str">
        <f t="shared" si="62"/>
        <v/>
      </c>
      <c r="N644" s="69" t="str">
        <f t="shared" si="60"/>
        <v/>
      </c>
      <c r="O644" s="97"/>
      <c r="P644" s="98"/>
      <c r="Q644" s="99"/>
      <c r="R644" s="100"/>
      <c r="S644" s="86"/>
      <c r="U644" s="48" t="str">
        <f t="shared" si="61"/>
        <v/>
      </c>
      <c r="V644" s="16"/>
      <c r="W644" s="34"/>
      <c r="X644" s="35"/>
    </row>
    <row r="645" spans="11:24">
      <c r="K645" s="85"/>
      <c r="L645" s="54" t="str">
        <f t="shared" si="59"/>
        <v>F</v>
      </c>
      <c r="M645" s="38" t="str">
        <f t="shared" si="62"/>
        <v/>
      </c>
      <c r="N645" s="69" t="str">
        <f t="shared" si="60"/>
        <v/>
      </c>
      <c r="O645" s="97"/>
      <c r="P645" s="98"/>
      <c r="Q645" s="99"/>
      <c r="R645" s="100"/>
      <c r="S645" s="86"/>
      <c r="U645" s="48" t="str">
        <f t="shared" si="61"/>
        <v/>
      </c>
      <c r="V645" s="16"/>
      <c r="W645" s="34"/>
      <c r="X645" s="35"/>
    </row>
    <row r="646" spans="11:24">
      <c r="K646" s="85"/>
      <c r="L646" s="54" t="str">
        <f t="shared" si="59"/>
        <v>F</v>
      </c>
      <c r="M646" s="38" t="str">
        <f t="shared" si="62"/>
        <v/>
      </c>
      <c r="N646" s="69" t="str">
        <f t="shared" si="60"/>
        <v/>
      </c>
      <c r="O646" s="97"/>
      <c r="P646" s="98"/>
      <c r="Q646" s="99"/>
      <c r="R646" s="100"/>
      <c r="S646" s="86"/>
      <c r="U646" s="48" t="str">
        <f t="shared" si="61"/>
        <v/>
      </c>
      <c r="V646" s="16"/>
      <c r="W646" s="34"/>
      <c r="X646" s="35"/>
    </row>
    <row r="647" spans="11:24">
      <c r="K647" s="85"/>
      <c r="L647" s="54" t="str">
        <f t="shared" si="59"/>
        <v>F</v>
      </c>
      <c r="M647" s="38" t="str">
        <f t="shared" si="62"/>
        <v/>
      </c>
      <c r="N647" s="69" t="str">
        <f t="shared" si="60"/>
        <v/>
      </c>
      <c r="O647" s="97"/>
      <c r="P647" s="98"/>
      <c r="Q647" s="99"/>
      <c r="R647" s="100"/>
      <c r="S647" s="86"/>
      <c r="U647" s="48" t="str">
        <f t="shared" si="61"/>
        <v/>
      </c>
      <c r="V647" s="16"/>
      <c r="W647" s="34"/>
      <c r="X647" s="35"/>
    </row>
    <row r="648" spans="11:24">
      <c r="K648" s="85"/>
      <c r="L648" s="54" t="str">
        <f t="shared" si="59"/>
        <v>F</v>
      </c>
      <c r="M648" s="38" t="str">
        <f t="shared" si="62"/>
        <v/>
      </c>
      <c r="N648" s="69" t="str">
        <f t="shared" si="60"/>
        <v/>
      </c>
      <c r="O648" s="97"/>
      <c r="P648" s="98"/>
      <c r="Q648" s="99"/>
      <c r="R648" s="100"/>
      <c r="S648" s="86"/>
      <c r="U648" s="48" t="str">
        <f t="shared" si="61"/>
        <v/>
      </c>
      <c r="V648" s="16"/>
      <c r="W648" s="34"/>
      <c r="X648" s="35"/>
    </row>
    <row r="649" spans="11:24">
      <c r="K649" s="85"/>
      <c r="L649" s="54" t="str">
        <f t="shared" ref="L649:L712" si="63">IF(UPPER(P649)="EQU","E",IF(P649="DB","D",IF(O649&lt;&gt;"","L",IF(N649="","F",""))))</f>
        <v>F</v>
      </c>
      <c r="M649" s="38" t="str">
        <f t="shared" si="62"/>
        <v/>
      </c>
      <c r="N649" s="69" t="str">
        <f t="shared" ref="N649:N712" si="64">IFERROR(IF(N648+1&lt;=HEX2DEC(MemSize)+HEX2DEC(MemStart),N648+1,""),"")</f>
        <v/>
      </c>
      <c r="O649" s="97"/>
      <c r="P649" s="98"/>
      <c r="Q649" s="99"/>
      <c r="R649" s="100"/>
      <c r="S649" s="86"/>
      <c r="U649" s="48" t="str">
        <f t="shared" ref="U649:U712" si="65">IF(V649&gt;0,RIGHT("0000"&amp;DEC2HEX(V649),4),"")</f>
        <v/>
      </c>
      <c r="V649" s="16"/>
      <c r="W649" s="34"/>
      <c r="X649" s="35"/>
    </row>
    <row r="650" spans="11:24">
      <c r="K650" s="85"/>
      <c r="L650" s="54" t="str">
        <f t="shared" si="63"/>
        <v>F</v>
      </c>
      <c r="M650" s="38" t="str">
        <f t="shared" si="62"/>
        <v/>
      </c>
      <c r="N650" s="69" t="str">
        <f t="shared" si="64"/>
        <v/>
      </c>
      <c r="O650" s="97"/>
      <c r="P650" s="98"/>
      <c r="Q650" s="99"/>
      <c r="R650" s="100"/>
      <c r="S650" s="86"/>
      <c r="U650" s="48" t="str">
        <f t="shared" si="65"/>
        <v/>
      </c>
      <c r="V650" s="16"/>
      <c r="W650" s="34"/>
      <c r="X650" s="35"/>
    </row>
    <row r="651" spans="11:24">
      <c r="K651" s="85"/>
      <c r="L651" s="54" t="str">
        <f t="shared" si="63"/>
        <v>F</v>
      </c>
      <c r="M651" s="38" t="str">
        <f t="shared" si="62"/>
        <v/>
      </c>
      <c r="N651" s="69" t="str">
        <f t="shared" si="64"/>
        <v/>
      </c>
      <c r="O651" s="97"/>
      <c r="P651" s="98"/>
      <c r="Q651" s="99"/>
      <c r="R651" s="100"/>
      <c r="S651" s="86"/>
      <c r="U651" s="48" t="str">
        <f t="shared" si="65"/>
        <v/>
      </c>
      <c r="V651" s="16"/>
      <c r="W651" s="34"/>
      <c r="X651" s="35"/>
    </row>
    <row r="652" spans="11:24">
      <c r="K652" s="85"/>
      <c r="L652" s="54" t="str">
        <f t="shared" si="63"/>
        <v>F</v>
      </c>
      <c r="M652" s="38" t="str">
        <f t="shared" si="62"/>
        <v/>
      </c>
      <c r="N652" s="69" t="str">
        <f t="shared" si="64"/>
        <v/>
      </c>
      <c r="O652" s="97"/>
      <c r="P652" s="98"/>
      <c r="Q652" s="99"/>
      <c r="R652" s="100"/>
      <c r="S652" s="86"/>
      <c r="U652" s="48" t="str">
        <f t="shared" si="65"/>
        <v/>
      </c>
      <c r="V652" s="16"/>
      <c r="W652" s="34"/>
      <c r="X652" s="35"/>
    </row>
    <row r="653" spans="11:24">
      <c r="K653" s="85"/>
      <c r="L653" s="54" t="str">
        <f t="shared" si="63"/>
        <v>F</v>
      </c>
      <c r="M653" s="38" t="str">
        <f t="shared" si="62"/>
        <v/>
      </c>
      <c r="N653" s="69" t="str">
        <f t="shared" si="64"/>
        <v/>
      </c>
      <c r="O653" s="97"/>
      <c r="P653" s="98"/>
      <c r="Q653" s="99"/>
      <c r="R653" s="100"/>
      <c r="S653" s="86"/>
      <c r="U653" s="48" t="str">
        <f t="shared" si="65"/>
        <v/>
      </c>
      <c r="V653" s="16"/>
      <c r="W653" s="34"/>
      <c r="X653" s="35"/>
    </row>
    <row r="654" spans="11:24">
      <c r="K654" s="85"/>
      <c r="L654" s="54" t="str">
        <f t="shared" si="63"/>
        <v>F</v>
      </c>
      <c r="M654" s="38" t="str">
        <f t="shared" si="62"/>
        <v/>
      </c>
      <c r="N654" s="69" t="str">
        <f t="shared" si="64"/>
        <v/>
      </c>
      <c r="O654" s="97"/>
      <c r="P654" s="98"/>
      <c r="Q654" s="99"/>
      <c r="R654" s="100"/>
      <c r="S654" s="86"/>
      <c r="U654" s="48" t="str">
        <f t="shared" si="65"/>
        <v/>
      </c>
      <c r="V654" s="16"/>
      <c r="W654" s="34"/>
      <c r="X654" s="35"/>
    </row>
    <row r="655" spans="11:24">
      <c r="K655" s="85"/>
      <c r="L655" s="54" t="str">
        <f t="shared" si="63"/>
        <v>F</v>
      </c>
      <c r="M655" s="38" t="str">
        <f t="shared" si="62"/>
        <v/>
      </c>
      <c r="N655" s="69" t="str">
        <f t="shared" si="64"/>
        <v/>
      </c>
      <c r="O655" s="97"/>
      <c r="P655" s="98"/>
      <c r="Q655" s="99"/>
      <c r="R655" s="100"/>
      <c r="S655" s="86"/>
      <c r="U655" s="48" t="str">
        <f t="shared" si="65"/>
        <v/>
      </c>
      <c r="V655" s="16"/>
      <c r="W655" s="34"/>
      <c r="X655" s="35"/>
    </row>
    <row r="656" spans="11:24">
      <c r="K656" s="85"/>
      <c r="L656" s="54" t="str">
        <f t="shared" si="63"/>
        <v>F</v>
      </c>
      <c r="M656" s="38" t="str">
        <f t="shared" si="62"/>
        <v/>
      </c>
      <c r="N656" s="69" t="str">
        <f t="shared" si="64"/>
        <v/>
      </c>
      <c r="O656" s="97"/>
      <c r="P656" s="98"/>
      <c r="Q656" s="99"/>
      <c r="R656" s="100"/>
      <c r="S656" s="86"/>
      <c r="U656" s="48" t="str">
        <f t="shared" si="65"/>
        <v/>
      </c>
      <c r="V656" s="16"/>
      <c r="W656" s="34"/>
      <c r="X656" s="35"/>
    </row>
    <row r="657" spans="11:24">
      <c r="K657" s="85"/>
      <c r="L657" s="54" t="str">
        <f t="shared" si="63"/>
        <v>F</v>
      </c>
      <c r="M657" s="38" t="str">
        <f t="shared" si="62"/>
        <v/>
      </c>
      <c r="N657" s="69" t="str">
        <f t="shared" si="64"/>
        <v/>
      </c>
      <c r="O657" s="97"/>
      <c r="P657" s="98"/>
      <c r="Q657" s="99"/>
      <c r="R657" s="100"/>
      <c r="S657" s="86"/>
      <c r="U657" s="48" t="str">
        <f t="shared" si="65"/>
        <v/>
      </c>
      <c r="V657" s="16"/>
      <c r="W657" s="34"/>
      <c r="X657" s="35"/>
    </row>
    <row r="658" spans="11:24">
      <c r="K658" s="85"/>
      <c r="L658" s="54" t="str">
        <f t="shared" si="63"/>
        <v>F</v>
      </c>
      <c r="M658" s="38" t="str">
        <f t="shared" si="62"/>
        <v/>
      </c>
      <c r="N658" s="69" t="str">
        <f t="shared" si="64"/>
        <v/>
      </c>
      <c r="O658" s="97"/>
      <c r="P658" s="98"/>
      <c r="Q658" s="99"/>
      <c r="R658" s="100"/>
      <c r="S658" s="86"/>
      <c r="U658" s="48" t="str">
        <f t="shared" si="65"/>
        <v/>
      </c>
      <c r="V658" s="16"/>
      <c r="W658" s="34"/>
      <c r="X658" s="35"/>
    </row>
    <row r="659" spans="11:24">
      <c r="K659" s="85"/>
      <c r="L659" s="54" t="str">
        <f t="shared" si="63"/>
        <v>F</v>
      </c>
      <c r="M659" s="38" t="str">
        <f t="shared" si="62"/>
        <v/>
      </c>
      <c r="N659" s="69" t="str">
        <f t="shared" si="64"/>
        <v/>
      </c>
      <c r="O659" s="97"/>
      <c r="P659" s="98"/>
      <c r="Q659" s="99"/>
      <c r="R659" s="100"/>
      <c r="S659" s="86"/>
      <c r="U659" s="48" t="str">
        <f t="shared" si="65"/>
        <v/>
      </c>
      <c r="V659" s="16"/>
      <c r="W659" s="34"/>
      <c r="X659" s="35"/>
    </row>
    <row r="660" spans="11:24">
      <c r="K660" s="85"/>
      <c r="L660" s="54" t="str">
        <f t="shared" si="63"/>
        <v>F</v>
      </c>
      <c r="M660" s="38" t="str">
        <f t="shared" si="62"/>
        <v/>
      </c>
      <c r="N660" s="69" t="str">
        <f t="shared" si="64"/>
        <v/>
      </c>
      <c r="O660" s="97"/>
      <c r="P660" s="98"/>
      <c r="Q660" s="99"/>
      <c r="R660" s="100"/>
      <c r="S660" s="86"/>
      <c r="U660" s="48" t="str">
        <f t="shared" si="65"/>
        <v/>
      </c>
      <c r="V660" s="16"/>
      <c r="W660" s="34"/>
      <c r="X660" s="35"/>
    </row>
    <row r="661" spans="11:24">
      <c r="K661" s="85"/>
      <c r="L661" s="54" t="str">
        <f t="shared" si="63"/>
        <v>F</v>
      </c>
      <c r="M661" s="38" t="str">
        <f t="shared" si="62"/>
        <v/>
      </c>
      <c r="N661" s="69" t="str">
        <f t="shared" si="64"/>
        <v/>
      </c>
      <c r="O661" s="97"/>
      <c r="P661" s="98"/>
      <c r="Q661" s="99"/>
      <c r="R661" s="100"/>
      <c r="S661" s="86"/>
      <c r="U661" s="48" t="str">
        <f t="shared" si="65"/>
        <v/>
      </c>
      <c r="V661" s="16"/>
      <c r="W661" s="34"/>
      <c r="X661" s="35"/>
    </row>
    <row r="662" spans="11:24">
      <c r="K662" s="85"/>
      <c r="L662" s="54" t="str">
        <f t="shared" si="63"/>
        <v>F</v>
      </c>
      <c r="M662" s="38" t="str">
        <f t="shared" si="62"/>
        <v/>
      </c>
      <c r="N662" s="69" t="str">
        <f t="shared" si="64"/>
        <v/>
      </c>
      <c r="O662" s="97"/>
      <c r="P662" s="98"/>
      <c r="Q662" s="99"/>
      <c r="R662" s="100"/>
      <c r="S662" s="86"/>
      <c r="U662" s="48" t="str">
        <f t="shared" si="65"/>
        <v/>
      </c>
      <c r="V662" s="16"/>
      <c r="W662" s="34"/>
      <c r="X662" s="35"/>
    </row>
    <row r="663" spans="11:24">
      <c r="K663" s="85"/>
      <c r="L663" s="54" t="str">
        <f t="shared" si="63"/>
        <v>F</v>
      </c>
      <c r="M663" s="38" t="str">
        <f t="shared" si="62"/>
        <v/>
      </c>
      <c r="N663" s="69" t="str">
        <f t="shared" si="64"/>
        <v/>
      </c>
      <c r="O663" s="97"/>
      <c r="P663" s="98"/>
      <c r="Q663" s="99"/>
      <c r="R663" s="100"/>
      <c r="S663" s="86"/>
      <c r="U663" s="48" t="str">
        <f t="shared" si="65"/>
        <v/>
      </c>
      <c r="V663" s="16"/>
      <c r="W663" s="34"/>
      <c r="X663" s="35"/>
    </row>
    <row r="664" spans="11:24">
      <c r="K664" s="85"/>
      <c r="L664" s="54" t="str">
        <f t="shared" si="63"/>
        <v>F</v>
      </c>
      <c r="M664" s="38" t="str">
        <f t="shared" si="62"/>
        <v/>
      </c>
      <c r="N664" s="69" t="str">
        <f t="shared" si="64"/>
        <v/>
      </c>
      <c r="O664" s="97"/>
      <c r="P664" s="98"/>
      <c r="Q664" s="99"/>
      <c r="R664" s="100"/>
      <c r="S664" s="86"/>
      <c r="U664" s="48" t="str">
        <f t="shared" si="65"/>
        <v/>
      </c>
      <c r="V664" s="16"/>
      <c r="W664" s="34"/>
      <c r="X664" s="35"/>
    </row>
    <row r="665" spans="11:24">
      <c r="K665" s="85"/>
      <c r="L665" s="54" t="str">
        <f t="shared" si="63"/>
        <v>F</v>
      </c>
      <c r="M665" s="38" t="str">
        <f t="shared" si="62"/>
        <v/>
      </c>
      <c r="N665" s="69" t="str">
        <f t="shared" si="64"/>
        <v/>
      </c>
      <c r="O665" s="97"/>
      <c r="P665" s="98"/>
      <c r="Q665" s="99"/>
      <c r="R665" s="100"/>
      <c r="S665" s="86"/>
      <c r="U665" s="48" t="str">
        <f t="shared" si="65"/>
        <v/>
      </c>
      <c r="V665" s="16"/>
      <c r="W665" s="34"/>
      <c r="X665" s="35"/>
    </row>
    <row r="666" spans="11:24">
      <c r="K666" s="85"/>
      <c r="L666" s="54" t="str">
        <f t="shared" si="63"/>
        <v>F</v>
      </c>
      <c r="M666" s="38" t="str">
        <f t="shared" si="62"/>
        <v/>
      </c>
      <c r="N666" s="69" t="str">
        <f t="shared" si="64"/>
        <v/>
      </c>
      <c r="O666" s="97"/>
      <c r="P666" s="98"/>
      <c r="Q666" s="99"/>
      <c r="R666" s="100"/>
      <c r="S666" s="86"/>
      <c r="U666" s="48" t="str">
        <f t="shared" si="65"/>
        <v/>
      </c>
      <c r="V666" s="16"/>
      <c r="W666" s="34"/>
      <c r="X666" s="35"/>
    </row>
    <row r="667" spans="11:24">
      <c r="K667" s="85"/>
      <c r="L667" s="54" t="str">
        <f t="shared" si="63"/>
        <v>F</v>
      </c>
      <c r="M667" s="38" t="str">
        <f t="shared" si="62"/>
        <v/>
      </c>
      <c r="N667" s="69" t="str">
        <f t="shared" si="64"/>
        <v/>
      </c>
      <c r="O667" s="97"/>
      <c r="P667" s="98"/>
      <c r="Q667" s="99"/>
      <c r="R667" s="100"/>
      <c r="S667" s="86"/>
      <c r="U667" s="48" t="str">
        <f t="shared" si="65"/>
        <v/>
      </c>
      <c r="V667" s="16"/>
      <c r="W667" s="34"/>
      <c r="X667" s="35"/>
    </row>
    <row r="668" spans="11:24">
      <c r="K668" s="85"/>
      <c r="L668" s="54" t="str">
        <f t="shared" si="63"/>
        <v>F</v>
      </c>
      <c r="M668" s="38" t="str">
        <f t="shared" si="62"/>
        <v/>
      </c>
      <c r="N668" s="69" t="str">
        <f t="shared" si="64"/>
        <v/>
      </c>
      <c r="O668" s="97"/>
      <c r="P668" s="98"/>
      <c r="Q668" s="99"/>
      <c r="R668" s="100"/>
      <c r="S668" s="86"/>
      <c r="U668" s="48" t="str">
        <f t="shared" si="65"/>
        <v/>
      </c>
      <c r="V668" s="16"/>
      <c r="W668" s="34"/>
      <c r="X668" s="35"/>
    </row>
    <row r="669" spans="11:24">
      <c r="K669" s="85"/>
      <c r="L669" s="54" t="str">
        <f t="shared" si="63"/>
        <v>F</v>
      </c>
      <c r="M669" s="38" t="str">
        <f t="shared" ref="M669:M732" si="66">IFERROR(RIGHT("0000"&amp;DEC2HEX(N669),4),"")</f>
        <v/>
      </c>
      <c r="N669" s="69" t="str">
        <f t="shared" si="64"/>
        <v/>
      </c>
      <c r="O669" s="97"/>
      <c r="P669" s="98"/>
      <c r="Q669" s="99"/>
      <c r="R669" s="100"/>
      <c r="S669" s="86"/>
      <c r="U669" s="48" t="str">
        <f t="shared" si="65"/>
        <v/>
      </c>
      <c r="V669" s="16"/>
      <c r="W669" s="34"/>
      <c r="X669" s="35"/>
    </row>
    <row r="670" spans="11:24">
      <c r="K670" s="85"/>
      <c r="L670" s="54" t="str">
        <f t="shared" si="63"/>
        <v>F</v>
      </c>
      <c r="M670" s="38" t="str">
        <f t="shared" si="66"/>
        <v/>
      </c>
      <c r="N670" s="69" t="str">
        <f t="shared" si="64"/>
        <v/>
      </c>
      <c r="O670" s="97"/>
      <c r="P670" s="98"/>
      <c r="Q670" s="99"/>
      <c r="R670" s="100"/>
      <c r="S670" s="86"/>
      <c r="U670" s="48" t="str">
        <f t="shared" si="65"/>
        <v/>
      </c>
      <c r="V670" s="16"/>
      <c r="W670" s="34"/>
      <c r="X670" s="35"/>
    </row>
    <row r="671" spans="11:24">
      <c r="K671" s="85"/>
      <c r="L671" s="54" t="str">
        <f t="shared" si="63"/>
        <v>F</v>
      </c>
      <c r="M671" s="38" t="str">
        <f t="shared" si="66"/>
        <v/>
      </c>
      <c r="N671" s="69" t="str">
        <f t="shared" si="64"/>
        <v/>
      </c>
      <c r="O671" s="97"/>
      <c r="P671" s="98"/>
      <c r="Q671" s="99"/>
      <c r="R671" s="100"/>
      <c r="S671" s="86"/>
      <c r="U671" s="48" t="str">
        <f t="shared" si="65"/>
        <v/>
      </c>
      <c r="V671" s="16"/>
      <c r="W671" s="34"/>
      <c r="X671" s="35"/>
    </row>
    <row r="672" spans="11:24">
      <c r="K672" s="85"/>
      <c r="L672" s="54" t="str">
        <f t="shared" si="63"/>
        <v>F</v>
      </c>
      <c r="M672" s="38" t="str">
        <f t="shared" si="66"/>
        <v/>
      </c>
      <c r="N672" s="69" t="str">
        <f t="shared" si="64"/>
        <v/>
      </c>
      <c r="O672" s="97"/>
      <c r="P672" s="98"/>
      <c r="Q672" s="99"/>
      <c r="R672" s="100"/>
      <c r="S672" s="86"/>
      <c r="U672" s="48" t="str">
        <f t="shared" si="65"/>
        <v/>
      </c>
      <c r="V672" s="16"/>
      <c r="W672" s="34"/>
      <c r="X672" s="35"/>
    </row>
    <row r="673" spans="11:24">
      <c r="K673" s="85"/>
      <c r="L673" s="54" t="str">
        <f t="shared" si="63"/>
        <v>F</v>
      </c>
      <c r="M673" s="38" t="str">
        <f t="shared" si="66"/>
        <v/>
      </c>
      <c r="N673" s="69" t="str">
        <f t="shared" si="64"/>
        <v/>
      </c>
      <c r="O673" s="97"/>
      <c r="P673" s="98"/>
      <c r="Q673" s="99"/>
      <c r="R673" s="100"/>
      <c r="S673" s="86"/>
      <c r="U673" s="48" t="str">
        <f t="shared" si="65"/>
        <v/>
      </c>
      <c r="V673" s="16"/>
      <c r="W673" s="34"/>
      <c r="X673" s="35"/>
    </row>
    <row r="674" spans="11:24">
      <c r="K674" s="85"/>
      <c r="L674" s="54" t="str">
        <f t="shared" si="63"/>
        <v>F</v>
      </c>
      <c r="M674" s="38" t="str">
        <f t="shared" si="66"/>
        <v/>
      </c>
      <c r="N674" s="69" t="str">
        <f t="shared" si="64"/>
        <v/>
      </c>
      <c r="O674" s="97"/>
      <c r="P674" s="98"/>
      <c r="Q674" s="99"/>
      <c r="R674" s="100"/>
      <c r="S674" s="86"/>
      <c r="U674" s="48" t="str">
        <f t="shared" si="65"/>
        <v/>
      </c>
      <c r="V674" s="16"/>
      <c r="W674" s="34"/>
      <c r="X674" s="35"/>
    </row>
    <row r="675" spans="11:24">
      <c r="K675" s="85"/>
      <c r="L675" s="54" t="str">
        <f t="shared" si="63"/>
        <v>F</v>
      </c>
      <c r="M675" s="38" t="str">
        <f t="shared" si="66"/>
        <v/>
      </c>
      <c r="N675" s="69" t="str">
        <f t="shared" si="64"/>
        <v/>
      </c>
      <c r="O675" s="97"/>
      <c r="P675" s="98"/>
      <c r="Q675" s="99"/>
      <c r="R675" s="100"/>
      <c r="S675" s="86"/>
      <c r="U675" s="48" t="str">
        <f t="shared" si="65"/>
        <v/>
      </c>
      <c r="V675" s="16"/>
      <c r="W675" s="34"/>
      <c r="X675" s="35"/>
    </row>
    <row r="676" spans="11:24">
      <c r="K676" s="85"/>
      <c r="L676" s="54" t="str">
        <f t="shared" si="63"/>
        <v>F</v>
      </c>
      <c r="M676" s="38" t="str">
        <f t="shared" si="66"/>
        <v/>
      </c>
      <c r="N676" s="69" t="str">
        <f t="shared" si="64"/>
        <v/>
      </c>
      <c r="O676" s="97"/>
      <c r="P676" s="98"/>
      <c r="Q676" s="99"/>
      <c r="R676" s="100"/>
      <c r="S676" s="86"/>
      <c r="U676" s="48" t="str">
        <f t="shared" si="65"/>
        <v/>
      </c>
      <c r="V676" s="16"/>
      <c r="W676" s="34"/>
      <c r="X676" s="35"/>
    </row>
    <row r="677" spans="11:24">
      <c r="K677" s="85"/>
      <c r="L677" s="54" t="str">
        <f t="shared" si="63"/>
        <v>F</v>
      </c>
      <c r="M677" s="38" t="str">
        <f t="shared" si="66"/>
        <v/>
      </c>
      <c r="N677" s="69" t="str">
        <f t="shared" si="64"/>
        <v/>
      </c>
      <c r="O677" s="97"/>
      <c r="P677" s="98"/>
      <c r="Q677" s="99"/>
      <c r="R677" s="100"/>
      <c r="S677" s="86"/>
      <c r="U677" s="48" t="str">
        <f t="shared" si="65"/>
        <v/>
      </c>
      <c r="V677" s="16"/>
      <c r="W677" s="34"/>
      <c r="X677" s="35"/>
    </row>
    <row r="678" spans="11:24">
      <c r="K678" s="85"/>
      <c r="L678" s="54" t="str">
        <f t="shared" si="63"/>
        <v>F</v>
      </c>
      <c r="M678" s="38" t="str">
        <f t="shared" si="66"/>
        <v/>
      </c>
      <c r="N678" s="69" t="str">
        <f t="shared" si="64"/>
        <v/>
      </c>
      <c r="O678" s="97"/>
      <c r="P678" s="98"/>
      <c r="Q678" s="99"/>
      <c r="R678" s="100"/>
      <c r="S678" s="86"/>
      <c r="U678" s="48" t="str">
        <f t="shared" si="65"/>
        <v/>
      </c>
      <c r="V678" s="16"/>
      <c r="W678" s="34"/>
      <c r="X678" s="35"/>
    </row>
    <row r="679" spans="11:24">
      <c r="K679" s="85"/>
      <c r="L679" s="54" t="str">
        <f t="shared" si="63"/>
        <v>F</v>
      </c>
      <c r="M679" s="38" t="str">
        <f t="shared" si="66"/>
        <v/>
      </c>
      <c r="N679" s="69" t="str">
        <f t="shared" si="64"/>
        <v/>
      </c>
      <c r="O679" s="97"/>
      <c r="P679" s="98"/>
      <c r="Q679" s="99"/>
      <c r="R679" s="100"/>
      <c r="S679" s="86"/>
      <c r="U679" s="48" t="str">
        <f t="shared" si="65"/>
        <v/>
      </c>
      <c r="V679" s="16"/>
      <c r="W679" s="34"/>
      <c r="X679" s="35"/>
    </row>
    <row r="680" spans="11:24">
      <c r="K680" s="85"/>
      <c r="L680" s="54" t="str">
        <f t="shared" si="63"/>
        <v>F</v>
      </c>
      <c r="M680" s="38" t="str">
        <f t="shared" si="66"/>
        <v/>
      </c>
      <c r="N680" s="69" t="str">
        <f t="shared" si="64"/>
        <v/>
      </c>
      <c r="O680" s="97"/>
      <c r="P680" s="98"/>
      <c r="Q680" s="99"/>
      <c r="R680" s="100"/>
      <c r="S680" s="86"/>
      <c r="U680" s="48" t="str">
        <f t="shared" si="65"/>
        <v/>
      </c>
      <c r="V680" s="16"/>
      <c r="W680" s="34"/>
      <c r="X680" s="35"/>
    </row>
    <row r="681" spans="11:24">
      <c r="K681" s="85"/>
      <c r="L681" s="54" t="str">
        <f t="shared" si="63"/>
        <v>F</v>
      </c>
      <c r="M681" s="38" t="str">
        <f t="shared" si="66"/>
        <v/>
      </c>
      <c r="N681" s="69" t="str">
        <f t="shared" si="64"/>
        <v/>
      </c>
      <c r="O681" s="97"/>
      <c r="P681" s="98"/>
      <c r="Q681" s="99"/>
      <c r="R681" s="100"/>
      <c r="S681" s="86"/>
      <c r="U681" s="48" t="str">
        <f t="shared" si="65"/>
        <v/>
      </c>
      <c r="V681" s="16"/>
      <c r="W681" s="34"/>
      <c r="X681" s="35"/>
    </row>
    <row r="682" spans="11:24">
      <c r="K682" s="85"/>
      <c r="L682" s="54" t="str">
        <f t="shared" si="63"/>
        <v>F</v>
      </c>
      <c r="M682" s="38" t="str">
        <f t="shared" si="66"/>
        <v/>
      </c>
      <c r="N682" s="69" t="str">
        <f t="shared" si="64"/>
        <v/>
      </c>
      <c r="O682" s="97"/>
      <c r="P682" s="98"/>
      <c r="Q682" s="99"/>
      <c r="R682" s="100"/>
      <c r="S682" s="86"/>
      <c r="U682" s="48" t="str">
        <f t="shared" si="65"/>
        <v/>
      </c>
      <c r="V682" s="16"/>
      <c r="W682" s="34"/>
      <c r="X682" s="35"/>
    </row>
    <row r="683" spans="11:24">
      <c r="K683" s="85"/>
      <c r="L683" s="54" t="str">
        <f t="shared" si="63"/>
        <v>F</v>
      </c>
      <c r="M683" s="38" t="str">
        <f t="shared" si="66"/>
        <v/>
      </c>
      <c r="N683" s="69" t="str">
        <f t="shared" si="64"/>
        <v/>
      </c>
      <c r="O683" s="97"/>
      <c r="P683" s="98"/>
      <c r="Q683" s="99"/>
      <c r="R683" s="100"/>
      <c r="S683" s="86"/>
      <c r="U683" s="48" t="str">
        <f t="shared" si="65"/>
        <v/>
      </c>
      <c r="V683" s="16"/>
      <c r="W683" s="34"/>
      <c r="X683" s="35"/>
    </row>
    <row r="684" spans="11:24">
      <c r="K684" s="85"/>
      <c r="L684" s="54" t="str">
        <f t="shared" si="63"/>
        <v>F</v>
      </c>
      <c r="M684" s="38" t="str">
        <f t="shared" si="66"/>
        <v/>
      </c>
      <c r="N684" s="69" t="str">
        <f t="shared" si="64"/>
        <v/>
      </c>
      <c r="O684" s="97"/>
      <c r="P684" s="98"/>
      <c r="Q684" s="99"/>
      <c r="R684" s="100"/>
      <c r="S684" s="86"/>
      <c r="U684" s="48" t="str">
        <f t="shared" si="65"/>
        <v/>
      </c>
      <c r="V684" s="16"/>
      <c r="W684" s="34"/>
      <c r="X684" s="35"/>
    </row>
    <row r="685" spans="11:24">
      <c r="K685" s="85"/>
      <c r="L685" s="54" t="str">
        <f t="shared" si="63"/>
        <v>F</v>
      </c>
      <c r="M685" s="38" t="str">
        <f t="shared" si="66"/>
        <v/>
      </c>
      <c r="N685" s="69" t="str">
        <f t="shared" si="64"/>
        <v/>
      </c>
      <c r="O685" s="97"/>
      <c r="P685" s="98"/>
      <c r="Q685" s="99"/>
      <c r="R685" s="100"/>
      <c r="S685" s="86"/>
      <c r="U685" s="48" t="str">
        <f t="shared" si="65"/>
        <v/>
      </c>
      <c r="V685" s="16"/>
      <c r="W685" s="34"/>
      <c r="X685" s="35"/>
    </row>
    <row r="686" spans="11:24">
      <c r="K686" s="85"/>
      <c r="L686" s="54" t="str">
        <f t="shared" si="63"/>
        <v>F</v>
      </c>
      <c r="M686" s="38" t="str">
        <f t="shared" si="66"/>
        <v/>
      </c>
      <c r="N686" s="69" t="str">
        <f t="shared" si="64"/>
        <v/>
      </c>
      <c r="O686" s="97"/>
      <c r="P686" s="98"/>
      <c r="Q686" s="99"/>
      <c r="R686" s="100"/>
      <c r="S686" s="86"/>
      <c r="U686" s="48" t="str">
        <f t="shared" si="65"/>
        <v/>
      </c>
      <c r="V686" s="16"/>
      <c r="W686" s="34"/>
      <c r="X686" s="35"/>
    </row>
    <row r="687" spans="11:24">
      <c r="K687" s="85"/>
      <c r="L687" s="54" t="str">
        <f t="shared" si="63"/>
        <v>F</v>
      </c>
      <c r="M687" s="38" t="str">
        <f t="shared" si="66"/>
        <v/>
      </c>
      <c r="N687" s="69" t="str">
        <f t="shared" si="64"/>
        <v/>
      </c>
      <c r="O687" s="97"/>
      <c r="P687" s="98"/>
      <c r="Q687" s="99"/>
      <c r="R687" s="100"/>
      <c r="S687" s="86"/>
      <c r="U687" s="48" t="str">
        <f t="shared" si="65"/>
        <v/>
      </c>
      <c r="V687" s="16"/>
      <c r="W687" s="34"/>
      <c r="X687" s="35"/>
    </row>
    <row r="688" spans="11:24">
      <c r="K688" s="85"/>
      <c r="L688" s="54" t="str">
        <f t="shared" si="63"/>
        <v>F</v>
      </c>
      <c r="M688" s="38" t="str">
        <f t="shared" si="66"/>
        <v/>
      </c>
      <c r="N688" s="69" t="str">
        <f t="shared" si="64"/>
        <v/>
      </c>
      <c r="O688" s="97"/>
      <c r="P688" s="98"/>
      <c r="Q688" s="99"/>
      <c r="R688" s="100"/>
      <c r="S688" s="86"/>
      <c r="U688" s="48" t="str">
        <f t="shared" si="65"/>
        <v/>
      </c>
      <c r="V688" s="16"/>
      <c r="W688" s="34"/>
      <c r="X688" s="35"/>
    </row>
    <row r="689" spans="11:24">
      <c r="K689" s="85"/>
      <c r="L689" s="54" t="str">
        <f t="shared" si="63"/>
        <v>F</v>
      </c>
      <c r="M689" s="38" t="str">
        <f t="shared" si="66"/>
        <v/>
      </c>
      <c r="N689" s="69" t="str">
        <f t="shared" si="64"/>
        <v/>
      </c>
      <c r="O689" s="97"/>
      <c r="P689" s="98"/>
      <c r="Q689" s="99"/>
      <c r="R689" s="100"/>
      <c r="S689" s="86"/>
      <c r="U689" s="48" t="str">
        <f t="shared" si="65"/>
        <v/>
      </c>
      <c r="V689" s="16"/>
      <c r="W689" s="34"/>
      <c r="X689" s="35"/>
    </row>
    <row r="690" spans="11:24">
      <c r="K690" s="85"/>
      <c r="L690" s="54" t="str">
        <f t="shared" si="63"/>
        <v>F</v>
      </c>
      <c r="M690" s="38" t="str">
        <f t="shared" si="66"/>
        <v/>
      </c>
      <c r="N690" s="69" t="str">
        <f t="shared" si="64"/>
        <v/>
      </c>
      <c r="O690" s="97"/>
      <c r="P690" s="98"/>
      <c r="Q690" s="99"/>
      <c r="R690" s="100"/>
      <c r="S690" s="86"/>
      <c r="U690" s="48" t="str">
        <f t="shared" si="65"/>
        <v/>
      </c>
      <c r="V690" s="16"/>
      <c r="W690" s="34"/>
      <c r="X690" s="35"/>
    </row>
    <row r="691" spans="11:24">
      <c r="K691" s="85"/>
      <c r="L691" s="54" t="str">
        <f t="shared" si="63"/>
        <v>F</v>
      </c>
      <c r="M691" s="38" t="str">
        <f t="shared" si="66"/>
        <v/>
      </c>
      <c r="N691" s="69" t="str">
        <f t="shared" si="64"/>
        <v/>
      </c>
      <c r="O691" s="97"/>
      <c r="P691" s="98"/>
      <c r="Q691" s="99"/>
      <c r="R691" s="100"/>
      <c r="S691" s="86"/>
      <c r="U691" s="48" t="str">
        <f t="shared" si="65"/>
        <v/>
      </c>
      <c r="V691" s="16"/>
      <c r="W691" s="34"/>
      <c r="X691" s="35"/>
    </row>
    <row r="692" spans="11:24">
      <c r="K692" s="85"/>
      <c r="L692" s="54" t="str">
        <f t="shared" si="63"/>
        <v>F</v>
      </c>
      <c r="M692" s="38" t="str">
        <f t="shared" si="66"/>
        <v/>
      </c>
      <c r="N692" s="69" t="str">
        <f t="shared" si="64"/>
        <v/>
      </c>
      <c r="O692" s="97"/>
      <c r="P692" s="98"/>
      <c r="Q692" s="99"/>
      <c r="R692" s="100"/>
      <c r="S692" s="86"/>
      <c r="U692" s="48" t="str">
        <f t="shared" si="65"/>
        <v/>
      </c>
      <c r="V692" s="16"/>
      <c r="W692" s="34"/>
      <c r="X692" s="35"/>
    </row>
    <row r="693" spans="11:24">
      <c r="K693" s="85"/>
      <c r="L693" s="54" t="str">
        <f t="shared" si="63"/>
        <v>F</v>
      </c>
      <c r="M693" s="38" t="str">
        <f t="shared" si="66"/>
        <v/>
      </c>
      <c r="N693" s="69" t="str">
        <f t="shared" si="64"/>
        <v/>
      </c>
      <c r="O693" s="97"/>
      <c r="P693" s="98"/>
      <c r="Q693" s="99"/>
      <c r="R693" s="100"/>
      <c r="S693" s="86"/>
      <c r="U693" s="48" t="str">
        <f t="shared" si="65"/>
        <v/>
      </c>
      <c r="V693" s="16"/>
      <c r="W693" s="34"/>
      <c r="X693" s="35"/>
    </row>
    <row r="694" spans="11:24">
      <c r="K694" s="85"/>
      <c r="L694" s="54" t="str">
        <f t="shared" si="63"/>
        <v>F</v>
      </c>
      <c r="M694" s="38" t="str">
        <f t="shared" si="66"/>
        <v/>
      </c>
      <c r="N694" s="69" t="str">
        <f t="shared" si="64"/>
        <v/>
      </c>
      <c r="O694" s="97"/>
      <c r="P694" s="98"/>
      <c r="Q694" s="99"/>
      <c r="R694" s="100"/>
      <c r="S694" s="86"/>
      <c r="U694" s="48" t="str">
        <f t="shared" si="65"/>
        <v/>
      </c>
      <c r="V694" s="16"/>
      <c r="W694" s="34"/>
      <c r="X694" s="35"/>
    </row>
    <row r="695" spans="11:24">
      <c r="K695" s="85"/>
      <c r="L695" s="54" t="str">
        <f t="shared" si="63"/>
        <v>F</v>
      </c>
      <c r="M695" s="38" t="str">
        <f t="shared" si="66"/>
        <v/>
      </c>
      <c r="N695" s="69" t="str">
        <f t="shared" si="64"/>
        <v/>
      </c>
      <c r="O695" s="97"/>
      <c r="P695" s="98"/>
      <c r="Q695" s="99"/>
      <c r="R695" s="100"/>
      <c r="S695" s="86"/>
      <c r="U695" s="48" t="str">
        <f t="shared" si="65"/>
        <v/>
      </c>
      <c r="V695" s="16"/>
      <c r="W695" s="34"/>
      <c r="X695" s="35"/>
    </row>
    <row r="696" spans="11:24">
      <c r="K696" s="85"/>
      <c r="L696" s="54" t="str">
        <f t="shared" si="63"/>
        <v>F</v>
      </c>
      <c r="M696" s="38" t="str">
        <f t="shared" si="66"/>
        <v/>
      </c>
      <c r="N696" s="69" t="str">
        <f t="shared" si="64"/>
        <v/>
      </c>
      <c r="O696" s="97"/>
      <c r="P696" s="98"/>
      <c r="Q696" s="99"/>
      <c r="R696" s="100"/>
      <c r="S696" s="86"/>
      <c r="U696" s="48" t="str">
        <f t="shared" si="65"/>
        <v/>
      </c>
      <c r="V696" s="16"/>
      <c r="W696" s="34"/>
      <c r="X696" s="35"/>
    </row>
    <row r="697" spans="11:24">
      <c r="K697" s="85"/>
      <c r="L697" s="54" t="str">
        <f t="shared" si="63"/>
        <v>F</v>
      </c>
      <c r="M697" s="38" t="str">
        <f t="shared" si="66"/>
        <v/>
      </c>
      <c r="N697" s="69" t="str">
        <f t="shared" si="64"/>
        <v/>
      </c>
      <c r="O697" s="97"/>
      <c r="P697" s="98"/>
      <c r="Q697" s="99"/>
      <c r="R697" s="100"/>
      <c r="S697" s="86"/>
      <c r="U697" s="48" t="str">
        <f t="shared" si="65"/>
        <v/>
      </c>
      <c r="V697" s="16"/>
      <c r="W697" s="34"/>
      <c r="X697" s="35"/>
    </row>
    <row r="698" spans="11:24">
      <c r="K698" s="85"/>
      <c r="L698" s="54" t="str">
        <f t="shared" si="63"/>
        <v>F</v>
      </c>
      <c r="M698" s="38" t="str">
        <f t="shared" si="66"/>
        <v/>
      </c>
      <c r="N698" s="69" t="str">
        <f t="shared" si="64"/>
        <v/>
      </c>
      <c r="O698" s="97"/>
      <c r="P698" s="98"/>
      <c r="Q698" s="99"/>
      <c r="R698" s="100"/>
      <c r="S698" s="86"/>
      <c r="U698" s="48" t="str">
        <f t="shared" si="65"/>
        <v/>
      </c>
      <c r="V698" s="16"/>
      <c r="W698" s="34"/>
      <c r="X698" s="35"/>
    </row>
    <row r="699" spans="11:24">
      <c r="K699" s="85"/>
      <c r="L699" s="54" t="str">
        <f t="shared" si="63"/>
        <v>F</v>
      </c>
      <c r="M699" s="38" t="str">
        <f t="shared" si="66"/>
        <v/>
      </c>
      <c r="N699" s="69" t="str">
        <f t="shared" si="64"/>
        <v/>
      </c>
      <c r="O699" s="97"/>
      <c r="P699" s="98"/>
      <c r="Q699" s="99"/>
      <c r="R699" s="100"/>
      <c r="S699" s="86"/>
      <c r="U699" s="48" t="str">
        <f t="shared" si="65"/>
        <v/>
      </c>
      <c r="V699" s="16"/>
      <c r="W699" s="34"/>
      <c r="X699" s="35"/>
    </row>
    <row r="700" spans="11:24">
      <c r="K700" s="85"/>
      <c r="L700" s="54" t="str">
        <f t="shared" si="63"/>
        <v>F</v>
      </c>
      <c r="M700" s="38" t="str">
        <f t="shared" si="66"/>
        <v/>
      </c>
      <c r="N700" s="69" t="str">
        <f t="shared" si="64"/>
        <v/>
      </c>
      <c r="O700" s="97"/>
      <c r="P700" s="98"/>
      <c r="Q700" s="99"/>
      <c r="R700" s="100"/>
      <c r="S700" s="86"/>
      <c r="U700" s="48" t="str">
        <f t="shared" si="65"/>
        <v/>
      </c>
      <c r="V700" s="16"/>
      <c r="W700" s="34"/>
      <c r="X700" s="35"/>
    </row>
    <row r="701" spans="11:24">
      <c r="K701" s="85"/>
      <c r="L701" s="54" t="str">
        <f t="shared" si="63"/>
        <v>F</v>
      </c>
      <c r="M701" s="38" t="str">
        <f t="shared" si="66"/>
        <v/>
      </c>
      <c r="N701" s="69" t="str">
        <f t="shared" si="64"/>
        <v/>
      </c>
      <c r="O701" s="97"/>
      <c r="P701" s="98"/>
      <c r="Q701" s="99"/>
      <c r="R701" s="100"/>
      <c r="S701" s="86"/>
      <c r="U701" s="48" t="str">
        <f t="shared" si="65"/>
        <v/>
      </c>
      <c r="V701" s="16"/>
      <c r="W701" s="34"/>
      <c r="X701" s="35"/>
    </row>
    <row r="702" spans="11:24">
      <c r="K702" s="85"/>
      <c r="L702" s="54" t="str">
        <f t="shared" si="63"/>
        <v>F</v>
      </c>
      <c r="M702" s="38" t="str">
        <f t="shared" si="66"/>
        <v/>
      </c>
      <c r="N702" s="69" t="str">
        <f t="shared" si="64"/>
        <v/>
      </c>
      <c r="O702" s="97"/>
      <c r="P702" s="98"/>
      <c r="Q702" s="99"/>
      <c r="R702" s="100"/>
      <c r="S702" s="86"/>
      <c r="U702" s="48" t="str">
        <f t="shared" si="65"/>
        <v/>
      </c>
      <c r="V702" s="16"/>
      <c r="W702" s="34"/>
      <c r="X702" s="35"/>
    </row>
    <row r="703" spans="11:24">
      <c r="K703" s="85"/>
      <c r="L703" s="54" t="str">
        <f t="shared" si="63"/>
        <v>F</v>
      </c>
      <c r="M703" s="38" t="str">
        <f t="shared" si="66"/>
        <v/>
      </c>
      <c r="N703" s="69" t="str">
        <f t="shared" si="64"/>
        <v/>
      </c>
      <c r="O703" s="97"/>
      <c r="P703" s="98"/>
      <c r="Q703" s="99"/>
      <c r="R703" s="100"/>
      <c r="S703" s="86"/>
      <c r="U703" s="48" t="str">
        <f t="shared" si="65"/>
        <v/>
      </c>
      <c r="V703" s="16"/>
      <c r="W703" s="34"/>
      <c r="X703" s="35"/>
    </row>
    <row r="704" spans="11:24">
      <c r="K704" s="85"/>
      <c r="L704" s="54" t="str">
        <f t="shared" si="63"/>
        <v>F</v>
      </c>
      <c r="M704" s="38" t="str">
        <f t="shared" si="66"/>
        <v/>
      </c>
      <c r="N704" s="69" t="str">
        <f t="shared" si="64"/>
        <v/>
      </c>
      <c r="O704" s="97"/>
      <c r="P704" s="98"/>
      <c r="Q704" s="99"/>
      <c r="R704" s="100"/>
      <c r="S704" s="86"/>
      <c r="U704" s="48" t="str">
        <f t="shared" si="65"/>
        <v/>
      </c>
      <c r="V704" s="16"/>
      <c r="W704" s="34"/>
      <c r="X704" s="35"/>
    </row>
    <row r="705" spans="11:24">
      <c r="K705" s="85"/>
      <c r="L705" s="54" t="str">
        <f t="shared" si="63"/>
        <v>F</v>
      </c>
      <c r="M705" s="38" t="str">
        <f t="shared" si="66"/>
        <v/>
      </c>
      <c r="N705" s="69" t="str">
        <f t="shared" si="64"/>
        <v/>
      </c>
      <c r="O705" s="97"/>
      <c r="P705" s="98"/>
      <c r="Q705" s="99"/>
      <c r="R705" s="100"/>
      <c r="S705" s="86"/>
      <c r="U705" s="48" t="str">
        <f t="shared" si="65"/>
        <v/>
      </c>
      <c r="V705" s="16"/>
      <c r="W705" s="34"/>
      <c r="X705" s="35"/>
    </row>
    <row r="706" spans="11:24">
      <c r="K706" s="85"/>
      <c r="L706" s="54" t="str">
        <f t="shared" si="63"/>
        <v>F</v>
      </c>
      <c r="M706" s="38" t="str">
        <f t="shared" si="66"/>
        <v/>
      </c>
      <c r="N706" s="69" t="str">
        <f t="shared" si="64"/>
        <v/>
      </c>
      <c r="O706" s="97"/>
      <c r="P706" s="98"/>
      <c r="Q706" s="99"/>
      <c r="R706" s="100"/>
      <c r="S706" s="86"/>
      <c r="U706" s="48" t="str">
        <f t="shared" si="65"/>
        <v/>
      </c>
      <c r="V706" s="16"/>
      <c r="W706" s="34"/>
      <c r="X706" s="35"/>
    </row>
    <row r="707" spans="11:24">
      <c r="K707" s="85"/>
      <c r="L707" s="54" t="str">
        <f t="shared" si="63"/>
        <v>F</v>
      </c>
      <c r="M707" s="38" t="str">
        <f t="shared" si="66"/>
        <v/>
      </c>
      <c r="N707" s="69" t="str">
        <f t="shared" si="64"/>
        <v/>
      </c>
      <c r="O707" s="97"/>
      <c r="P707" s="98"/>
      <c r="Q707" s="99"/>
      <c r="R707" s="100"/>
      <c r="S707" s="86"/>
      <c r="U707" s="48" t="str">
        <f t="shared" si="65"/>
        <v/>
      </c>
      <c r="V707" s="16"/>
      <c r="W707" s="34"/>
      <c r="X707" s="35"/>
    </row>
    <row r="708" spans="11:24">
      <c r="K708" s="85"/>
      <c r="L708" s="54" t="str">
        <f t="shared" si="63"/>
        <v>F</v>
      </c>
      <c r="M708" s="38" t="str">
        <f t="shared" si="66"/>
        <v/>
      </c>
      <c r="N708" s="69" t="str">
        <f t="shared" si="64"/>
        <v/>
      </c>
      <c r="O708" s="97"/>
      <c r="P708" s="98"/>
      <c r="Q708" s="99"/>
      <c r="R708" s="100"/>
      <c r="S708" s="86"/>
      <c r="U708" s="48" t="str">
        <f t="shared" si="65"/>
        <v/>
      </c>
      <c r="V708" s="16"/>
      <c r="W708" s="34"/>
      <c r="X708" s="35"/>
    </row>
    <row r="709" spans="11:24">
      <c r="K709" s="85"/>
      <c r="L709" s="54" t="str">
        <f t="shared" si="63"/>
        <v>F</v>
      </c>
      <c r="M709" s="38" t="str">
        <f t="shared" si="66"/>
        <v/>
      </c>
      <c r="N709" s="69" t="str">
        <f t="shared" si="64"/>
        <v/>
      </c>
      <c r="O709" s="97"/>
      <c r="P709" s="98"/>
      <c r="Q709" s="99"/>
      <c r="R709" s="100"/>
      <c r="S709" s="86"/>
      <c r="U709" s="48" t="str">
        <f t="shared" si="65"/>
        <v/>
      </c>
      <c r="V709" s="16"/>
      <c r="W709" s="34"/>
      <c r="X709" s="35"/>
    </row>
    <row r="710" spans="11:24">
      <c r="K710" s="85"/>
      <c r="L710" s="54" t="str">
        <f t="shared" si="63"/>
        <v>F</v>
      </c>
      <c r="M710" s="38" t="str">
        <f t="shared" si="66"/>
        <v/>
      </c>
      <c r="N710" s="69" t="str">
        <f t="shared" si="64"/>
        <v/>
      </c>
      <c r="O710" s="97"/>
      <c r="P710" s="98"/>
      <c r="Q710" s="99"/>
      <c r="R710" s="100"/>
      <c r="S710" s="86"/>
      <c r="U710" s="48" t="str">
        <f t="shared" si="65"/>
        <v/>
      </c>
      <c r="V710" s="16"/>
      <c r="W710" s="34"/>
      <c r="X710" s="35"/>
    </row>
    <row r="711" spans="11:24">
      <c r="K711" s="85"/>
      <c r="L711" s="54" t="str">
        <f t="shared" si="63"/>
        <v>F</v>
      </c>
      <c r="M711" s="38" t="str">
        <f t="shared" si="66"/>
        <v/>
      </c>
      <c r="N711" s="69" t="str">
        <f t="shared" si="64"/>
        <v/>
      </c>
      <c r="O711" s="97"/>
      <c r="P711" s="98"/>
      <c r="Q711" s="99"/>
      <c r="R711" s="100"/>
      <c r="S711" s="86"/>
      <c r="U711" s="48" t="str">
        <f t="shared" si="65"/>
        <v/>
      </c>
      <c r="V711" s="16"/>
      <c r="W711" s="34"/>
      <c r="X711" s="35"/>
    </row>
    <row r="712" spans="11:24">
      <c r="K712" s="85"/>
      <c r="L712" s="54" t="str">
        <f t="shared" si="63"/>
        <v>F</v>
      </c>
      <c r="M712" s="38" t="str">
        <f t="shared" si="66"/>
        <v/>
      </c>
      <c r="N712" s="69" t="str">
        <f t="shared" si="64"/>
        <v/>
      </c>
      <c r="O712" s="97"/>
      <c r="P712" s="98"/>
      <c r="Q712" s="99"/>
      <c r="R712" s="100"/>
      <c r="S712" s="86"/>
      <c r="U712" s="48" t="str">
        <f t="shared" si="65"/>
        <v/>
      </c>
      <c r="V712" s="16"/>
      <c r="W712" s="34"/>
      <c r="X712" s="35"/>
    </row>
    <row r="713" spans="11:24">
      <c r="K713" s="85"/>
      <c r="L713" s="54" t="str">
        <f t="shared" ref="L713:L776" si="67">IF(UPPER(P713)="EQU","E",IF(P713="DB","D",IF(O713&lt;&gt;"","L",IF(N713="","F",""))))</f>
        <v>F</v>
      </c>
      <c r="M713" s="38" t="str">
        <f t="shared" si="66"/>
        <v/>
      </c>
      <c r="N713" s="69" t="str">
        <f t="shared" ref="N713:N776" si="68">IFERROR(IF(N712+1&lt;=HEX2DEC(MemSize)+HEX2DEC(MemStart),N712+1,""),"")</f>
        <v/>
      </c>
      <c r="O713" s="97"/>
      <c r="P713" s="98"/>
      <c r="Q713" s="99"/>
      <c r="R713" s="100"/>
      <c r="S713" s="86"/>
      <c r="U713" s="48" t="str">
        <f t="shared" ref="U713:U776" si="69">IF(V713&gt;0,RIGHT("0000"&amp;DEC2HEX(V713),4),"")</f>
        <v/>
      </c>
      <c r="V713" s="16"/>
      <c r="W713" s="34"/>
      <c r="X713" s="35"/>
    </row>
    <row r="714" spans="11:24">
      <c r="K714" s="85"/>
      <c r="L714" s="54" t="str">
        <f t="shared" si="67"/>
        <v>F</v>
      </c>
      <c r="M714" s="38" t="str">
        <f t="shared" si="66"/>
        <v/>
      </c>
      <c r="N714" s="69" t="str">
        <f t="shared" si="68"/>
        <v/>
      </c>
      <c r="O714" s="97"/>
      <c r="P714" s="98"/>
      <c r="Q714" s="99"/>
      <c r="R714" s="100"/>
      <c r="S714" s="86"/>
      <c r="U714" s="48" t="str">
        <f t="shared" si="69"/>
        <v/>
      </c>
      <c r="V714" s="16"/>
      <c r="W714" s="34"/>
      <c r="X714" s="35"/>
    </row>
    <row r="715" spans="11:24">
      <c r="K715" s="85"/>
      <c r="L715" s="54" t="str">
        <f t="shared" si="67"/>
        <v>F</v>
      </c>
      <c r="M715" s="38" t="str">
        <f t="shared" si="66"/>
        <v/>
      </c>
      <c r="N715" s="69" t="str">
        <f t="shared" si="68"/>
        <v/>
      </c>
      <c r="O715" s="97"/>
      <c r="P715" s="98"/>
      <c r="Q715" s="99"/>
      <c r="R715" s="100"/>
      <c r="S715" s="86"/>
      <c r="U715" s="48" t="str">
        <f t="shared" si="69"/>
        <v/>
      </c>
      <c r="V715" s="16"/>
      <c r="W715" s="34"/>
      <c r="X715" s="35"/>
    </row>
    <row r="716" spans="11:24">
      <c r="K716" s="85"/>
      <c r="L716" s="54" t="str">
        <f t="shared" si="67"/>
        <v>F</v>
      </c>
      <c r="M716" s="38" t="str">
        <f t="shared" si="66"/>
        <v/>
      </c>
      <c r="N716" s="69" t="str">
        <f t="shared" si="68"/>
        <v/>
      </c>
      <c r="O716" s="97"/>
      <c r="P716" s="98"/>
      <c r="Q716" s="99"/>
      <c r="R716" s="100"/>
      <c r="S716" s="86"/>
      <c r="U716" s="48" t="str">
        <f t="shared" si="69"/>
        <v/>
      </c>
      <c r="V716" s="16"/>
      <c r="W716" s="34"/>
      <c r="X716" s="35"/>
    </row>
    <row r="717" spans="11:24">
      <c r="K717" s="85"/>
      <c r="L717" s="54" t="str">
        <f t="shared" si="67"/>
        <v>F</v>
      </c>
      <c r="M717" s="38" t="str">
        <f t="shared" si="66"/>
        <v/>
      </c>
      <c r="N717" s="69" t="str">
        <f t="shared" si="68"/>
        <v/>
      </c>
      <c r="O717" s="97"/>
      <c r="P717" s="98"/>
      <c r="Q717" s="99"/>
      <c r="R717" s="100"/>
      <c r="S717" s="86"/>
      <c r="U717" s="48" t="str">
        <f t="shared" si="69"/>
        <v/>
      </c>
      <c r="V717" s="16"/>
      <c r="W717" s="34"/>
      <c r="X717" s="35"/>
    </row>
    <row r="718" spans="11:24">
      <c r="K718" s="85"/>
      <c r="L718" s="54" t="str">
        <f t="shared" si="67"/>
        <v>F</v>
      </c>
      <c r="M718" s="38" t="str">
        <f t="shared" si="66"/>
        <v/>
      </c>
      <c r="N718" s="69" t="str">
        <f t="shared" si="68"/>
        <v/>
      </c>
      <c r="O718" s="97"/>
      <c r="P718" s="98"/>
      <c r="Q718" s="99"/>
      <c r="R718" s="100"/>
      <c r="S718" s="86"/>
      <c r="U718" s="48" t="str">
        <f t="shared" si="69"/>
        <v/>
      </c>
      <c r="V718" s="16"/>
      <c r="W718" s="34"/>
      <c r="X718" s="35"/>
    </row>
    <row r="719" spans="11:24">
      <c r="K719" s="85"/>
      <c r="L719" s="54" t="str">
        <f t="shared" si="67"/>
        <v>F</v>
      </c>
      <c r="M719" s="38" t="str">
        <f t="shared" si="66"/>
        <v/>
      </c>
      <c r="N719" s="69" t="str">
        <f t="shared" si="68"/>
        <v/>
      </c>
      <c r="O719" s="97"/>
      <c r="P719" s="98"/>
      <c r="Q719" s="99"/>
      <c r="R719" s="100"/>
      <c r="S719" s="86"/>
      <c r="U719" s="48" t="str">
        <f t="shared" si="69"/>
        <v/>
      </c>
      <c r="V719" s="16"/>
      <c r="W719" s="34"/>
      <c r="X719" s="35"/>
    </row>
    <row r="720" spans="11:24">
      <c r="K720" s="85"/>
      <c r="L720" s="54" t="str">
        <f t="shared" si="67"/>
        <v>F</v>
      </c>
      <c r="M720" s="38" t="str">
        <f t="shared" si="66"/>
        <v/>
      </c>
      <c r="N720" s="69" t="str">
        <f t="shared" si="68"/>
        <v/>
      </c>
      <c r="O720" s="97"/>
      <c r="P720" s="98"/>
      <c r="Q720" s="99"/>
      <c r="R720" s="100"/>
      <c r="S720" s="86"/>
      <c r="U720" s="48" t="str">
        <f t="shared" si="69"/>
        <v/>
      </c>
      <c r="V720" s="16"/>
      <c r="W720" s="34"/>
      <c r="X720" s="35"/>
    </row>
    <row r="721" spans="11:24">
      <c r="K721" s="85"/>
      <c r="L721" s="54" t="str">
        <f t="shared" si="67"/>
        <v>F</v>
      </c>
      <c r="M721" s="38" t="str">
        <f t="shared" si="66"/>
        <v/>
      </c>
      <c r="N721" s="69" t="str">
        <f t="shared" si="68"/>
        <v/>
      </c>
      <c r="O721" s="97"/>
      <c r="P721" s="98"/>
      <c r="Q721" s="99"/>
      <c r="R721" s="100"/>
      <c r="S721" s="86"/>
      <c r="U721" s="48" t="str">
        <f t="shared" si="69"/>
        <v/>
      </c>
      <c r="V721" s="16"/>
      <c r="W721" s="34"/>
      <c r="X721" s="35"/>
    </row>
    <row r="722" spans="11:24">
      <c r="K722" s="85"/>
      <c r="L722" s="54" t="str">
        <f t="shared" si="67"/>
        <v>F</v>
      </c>
      <c r="M722" s="38" t="str">
        <f t="shared" si="66"/>
        <v/>
      </c>
      <c r="N722" s="69" t="str">
        <f t="shared" si="68"/>
        <v/>
      </c>
      <c r="O722" s="97"/>
      <c r="P722" s="98"/>
      <c r="Q722" s="99"/>
      <c r="R722" s="100"/>
      <c r="S722" s="86"/>
      <c r="U722" s="48" t="str">
        <f t="shared" si="69"/>
        <v/>
      </c>
      <c r="V722" s="16"/>
      <c r="W722" s="34"/>
      <c r="X722" s="35"/>
    </row>
    <row r="723" spans="11:24">
      <c r="K723" s="85"/>
      <c r="L723" s="54" t="str">
        <f t="shared" si="67"/>
        <v>F</v>
      </c>
      <c r="M723" s="38" t="str">
        <f t="shared" si="66"/>
        <v/>
      </c>
      <c r="N723" s="69" t="str">
        <f t="shared" si="68"/>
        <v/>
      </c>
      <c r="O723" s="97"/>
      <c r="P723" s="98"/>
      <c r="Q723" s="99"/>
      <c r="R723" s="100"/>
      <c r="S723" s="86"/>
      <c r="U723" s="48" t="str">
        <f t="shared" si="69"/>
        <v/>
      </c>
      <c r="V723" s="16"/>
      <c r="W723" s="34"/>
      <c r="X723" s="35"/>
    </row>
    <row r="724" spans="11:24">
      <c r="K724" s="85"/>
      <c r="L724" s="54" t="str">
        <f t="shared" si="67"/>
        <v>F</v>
      </c>
      <c r="M724" s="38" t="str">
        <f t="shared" si="66"/>
        <v/>
      </c>
      <c r="N724" s="69" t="str">
        <f t="shared" si="68"/>
        <v/>
      </c>
      <c r="O724" s="97"/>
      <c r="P724" s="98"/>
      <c r="Q724" s="99"/>
      <c r="R724" s="100"/>
      <c r="S724" s="86"/>
      <c r="U724" s="48" t="str">
        <f t="shared" si="69"/>
        <v/>
      </c>
      <c r="V724" s="16"/>
      <c r="W724" s="34"/>
      <c r="X724" s="35"/>
    </row>
    <row r="725" spans="11:24">
      <c r="K725" s="85"/>
      <c r="L725" s="54" t="str">
        <f t="shared" si="67"/>
        <v>F</v>
      </c>
      <c r="M725" s="38" t="str">
        <f t="shared" si="66"/>
        <v/>
      </c>
      <c r="N725" s="69" t="str">
        <f t="shared" si="68"/>
        <v/>
      </c>
      <c r="O725" s="97"/>
      <c r="P725" s="98"/>
      <c r="Q725" s="99"/>
      <c r="R725" s="100"/>
      <c r="S725" s="86"/>
      <c r="U725" s="48" t="str">
        <f t="shared" si="69"/>
        <v/>
      </c>
      <c r="V725" s="16"/>
      <c r="W725" s="34"/>
      <c r="X725" s="35"/>
    </row>
    <row r="726" spans="11:24">
      <c r="K726" s="85"/>
      <c r="L726" s="54" t="str">
        <f t="shared" si="67"/>
        <v>F</v>
      </c>
      <c r="M726" s="38" t="str">
        <f t="shared" si="66"/>
        <v/>
      </c>
      <c r="N726" s="69" t="str">
        <f t="shared" si="68"/>
        <v/>
      </c>
      <c r="O726" s="97"/>
      <c r="P726" s="98"/>
      <c r="Q726" s="99"/>
      <c r="R726" s="100"/>
      <c r="S726" s="86"/>
      <c r="U726" s="48" t="str">
        <f t="shared" si="69"/>
        <v/>
      </c>
      <c r="V726" s="16"/>
      <c r="W726" s="34"/>
      <c r="X726" s="35"/>
    </row>
    <row r="727" spans="11:24">
      <c r="K727" s="85"/>
      <c r="L727" s="54" t="str">
        <f t="shared" si="67"/>
        <v>F</v>
      </c>
      <c r="M727" s="38" t="str">
        <f t="shared" si="66"/>
        <v/>
      </c>
      <c r="N727" s="69" t="str">
        <f t="shared" si="68"/>
        <v/>
      </c>
      <c r="O727" s="97"/>
      <c r="P727" s="98"/>
      <c r="Q727" s="99"/>
      <c r="R727" s="100"/>
      <c r="S727" s="86"/>
      <c r="U727" s="48" t="str">
        <f t="shared" si="69"/>
        <v/>
      </c>
      <c r="V727" s="16"/>
      <c r="W727" s="34"/>
      <c r="X727" s="35"/>
    </row>
    <row r="728" spans="11:24">
      <c r="K728" s="85"/>
      <c r="L728" s="54" t="str">
        <f t="shared" si="67"/>
        <v>F</v>
      </c>
      <c r="M728" s="38" t="str">
        <f t="shared" si="66"/>
        <v/>
      </c>
      <c r="N728" s="69" t="str">
        <f t="shared" si="68"/>
        <v/>
      </c>
      <c r="O728" s="97"/>
      <c r="P728" s="98"/>
      <c r="Q728" s="99"/>
      <c r="R728" s="100"/>
      <c r="S728" s="86"/>
      <c r="U728" s="48" t="str">
        <f t="shared" si="69"/>
        <v/>
      </c>
      <c r="V728" s="16"/>
      <c r="W728" s="34"/>
      <c r="X728" s="35"/>
    </row>
    <row r="729" spans="11:24">
      <c r="K729" s="85"/>
      <c r="L729" s="54" t="str">
        <f t="shared" si="67"/>
        <v>F</v>
      </c>
      <c r="M729" s="38" t="str">
        <f t="shared" si="66"/>
        <v/>
      </c>
      <c r="N729" s="69" t="str">
        <f t="shared" si="68"/>
        <v/>
      </c>
      <c r="O729" s="97"/>
      <c r="P729" s="98"/>
      <c r="Q729" s="99"/>
      <c r="R729" s="100"/>
      <c r="S729" s="86"/>
      <c r="U729" s="48" t="str">
        <f t="shared" si="69"/>
        <v/>
      </c>
      <c r="V729" s="16"/>
      <c r="W729" s="34"/>
      <c r="X729" s="35"/>
    </row>
    <row r="730" spans="11:24">
      <c r="K730" s="85"/>
      <c r="L730" s="54" t="str">
        <f t="shared" si="67"/>
        <v>F</v>
      </c>
      <c r="M730" s="38" t="str">
        <f t="shared" si="66"/>
        <v/>
      </c>
      <c r="N730" s="69" t="str">
        <f t="shared" si="68"/>
        <v/>
      </c>
      <c r="O730" s="97"/>
      <c r="P730" s="98"/>
      <c r="Q730" s="99"/>
      <c r="R730" s="100"/>
      <c r="S730" s="86"/>
      <c r="U730" s="48" t="str">
        <f t="shared" si="69"/>
        <v/>
      </c>
      <c r="V730" s="16"/>
      <c r="W730" s="34"/>
      <c r="X730" s="35"/>
    </row>
    <row r="731" spans="11:24">
      <c r="K731" s="85"/>
      <c r="L731" s="54" t="str">
        <f t="shared" si="67"/>
        <v>F</v>
      </c>
      <c r="M731" s="38" t="str">
        <f t="shared" si="66"/>
        <v/>
      </c>
      <c r="N731" s="69" t="str">
        <f t="shared" si="68"/>
        <v/>
      </c>
      <c r="O731" s="97"/>
      <c r="P731" s="98"/>
      <c r="Q731" s="99"/>
      <c r="R731" s="100"/>
      <c r="S731" s="86"/>
      <c r="U731" s="48" t="str">
        <f t="shared" si="69"/>
        <v/>
      </c>
      <c r="V731" s="16"/>
      <c r="W731" s="34"/>
      <c r="X731" s="35"/>
    </row>
    <row r="732" spans="11:24">
      <c r="K732" s="85"/>
      <c r="L732" s="54" t="str">
        <f t="shared" si="67"/>
        <v>F</v>
      </c>
      <c r="M732" s="38" t="str">
        <f t="shared" si="66"/>
        <v/>
      </c>
      <c r="N732" s="69" t="str">
        <f t="shared" si="68"/>
        <v/>
      </c>
      <c r="O732" s="97"/>
      <c r="P732" s="98"/>
      <c r="Q732" s="99"/>
      <c r="R732" s="100"/>
      <c r="S732" s="86"/>
      <c r="U732" s="48" t="str">
        <f t="shared" si="69"/>
        <v/>
      </c>
      <c r="V732" s="16"/>
      <c r="W732" s="34"/>
      <c r="X732" s="35"/>
    </row>
    <row r="733" spans="11:24">
      <c r="K733" s="85"/>
      <c r="L733" s="54" t="str">
        <f t="shared" si="67"/>
        <v>F</v>
      </c>
      <c r="M733" s="38" t="str">
        <f t="shared" ref="M733:M796" si="70">IFERROR(RIGHT("0000"&amp;DEC2HEX(N733),4),"")</f>
        <v/>
      </c>
      <c r="N733" s="69" t="str">
        <f t="shared" si="68"/>
        <v/>
      </c>
      <c r="O733" s="97"/>
      <c r="P733" s="98"/>
      <c r="Q733" s="99"/>
      <c r="R733" s="100"/>
      <c r="S733" s="86"/>
      <c r="U733" s="48" t="str">
        <f t="shared" si="69"/>
        <v/>
      </c>
      <c r="V733" s="16"/>
      <c r="W733" s="34"/>
      <c r="X733" s="35"/>
    </row>
    <row r="734" spans="11:24">
      <c r="K734" s="85"/>
      <c r="L734" s="54" t="str">
        <f t="shared" si="67"/>
        <v>F</v>
      </c>
      <c r="M734" s="38" t="str">
        <f t="shared" si="70"/>
        <v/>
      </c>
      <c r="N734" s="69" t="str">
        <f t="shared" si="68"/>
        <v/>
      </c>
      <c r="O734" s="97"/>
      <c r="P734" s="98"/>
      <c r="Q734" s="99"/>
      <c r="R734" s="100"/>
      <c r="S734" s="86"/>
      <c r="U734" s="48" t="str">
        <f t="shared" si="69"/>
        <v/>
      </c>
      <c r="V734" s="16"/>
      <c r="W734" s="34"/>
      <c r="X734" s="35"/>
    </row>
    <row r="735" spans="11:24">
      <c r="K735" s="85"/>
      <c r="L735" s="54" t="str">
        <f t="shared" si="67"/>
        <v>F</v>
      </c>
      <c r="M735" s="38" t="str">
        <f t="shared" si="70"/>
        <v/>
      </c>
      <c r="N735" s="69" t="str">
        <f t="shared" si="68"/>
        <v/>
      </c>
      <c r="O735" s="97"/>
      <c r="P735" s="98"/>
      <c r="Q735" s="99"/>
      <c r="R735" s="100"/>
      <c r="S735" s="86"/>
      <c r="U735" s="48" t="str">
        <f t="shared" si="69"/>
        <v/>
      </c>
      <c r="V735" s="16"/>
      <c r="W735" s="34"/>
      <c r="X735" s="35"/>
    </row>
    <row r="736" spans="11:24">
      <c r="K736" s="85"/>
      <c r="L736" s="54" t="str">
        <f t="shared" si="67"/>
        <v>F</v>
      </c>
      <c r="M736" s="38" t="str">
        <f t="shared" si="70"/>
        <v/>
      </c>
      <c r="N736" s="69" t="str">
        <f t="shared" si="68"/>
        <v/>
      </c>
      <c r="O736" s="97"/>
      <c r="P736" s="98"/>
      <c r="Q736" s="99"/>
      <c r="R736" s="100"/>
      <c r="S736" s="86"/>
      <c r="U736" s="48" t="str">
        <f t="shared" si="69"/>
        <v/>
      </c>
      <c r="V736" s="16"/>
      <c r="W736" s="34"/>
      <c r="X736" s="35"/>
    </row>
    <row r="737" spans="11:24">
      <c r="K737" s="85"/>
      <c r="L737" s="54" t="str">
        <f t="shared" si="67"/>
        <v>F</v>
      </c>
      <c r="M737" s="38" t="str">
        <f t="shared" si="70"/>
        <v/>
      </c>
      <c r="N737" s="69" t="str">
        <f t="shared" si="68"/>
        <v/>
      </c>
      <c r="O737" s="97"/>
      <c r="P737" s="98"/>
      <c r="Q737" s="99"/>
      <c r="R737" s="100"/>
      <c r="S737" s="86"/>
      <c r="U737" s="48" t="str">
        <f t="shared" si="69"/>
        <v/>
      </c>
      <c r="V737" s="16"/>
      <c r="W737" s="34"/>
      <c r="X737" s="35"/>
    </row>
    <row r="738" spans="11:24">
      <c r="K738" s="85"/>
      <c r="L738" s="54" t="str">
        <f t="shared" si="67"/>
        <v>F</v>
      </c>
      <c r="M738" s="38" t="str">
        <f t="shared" si="70"/>
        <v/>
      </c>
      <c r="N738" s="69" t="str">
        <f t="shared" si="68"/>
        <v/>
      </c>
      <c r="O738" s="97"/>
      <c r="P738" s="98"/>
      <c r="Q738" s="99"/>
      <c r="R738" s="100"/>
      <c r="S738" s="86"/>
      <c r="U738" s="48" t="str">
        <f t="shared" si="69"/>
        <v/>
      </c>
      <c r="V738" s="16"/>
      <c r="W738" s="34"/>
      <c r="X738" s="35"/>
    </row>
    <row r="739" spans="11:24">
      <c r="K739" s="85"/>
      <c r="L739" s="54" t="str">
        <f t="shared" si="67"/>
        <v>F</v>
      </c>
      <c r="M739" s="38" t="str">
        <f t="shared" si="70"/>
        <v/>
      </c>
      <c r="N739" s="69" t="str">
        <f t="shared" si="68"/>
        <v/>
      </c>
      <c r="O739" s="97"/>
      <c r="P739" s="98"/>
      <c r="Q739" s="99"/>
      <c r="R739" s="100"/>
      <c r="S739" s="86"/>
      <c r="U739" s="48" t="str">
        <f t="shared" si="69"/>
        <v/>
      </c>
      <c r="V739" s="16"/>
      <c r="W739" s="34"/>
      <c r="X739" s="35"/>
    </row>
    <row r="740" spans="11:24">
      <c r="K740" s="85"/>
      <c r="L740" s="54" t="str">
        <f t="shared" si="67"/>
        <v>F</v>
      </c>
      <c r="M740" s="38" t="str">
        <f t="shared" si="70"/>
        <v/>
      </c>
      <c r="N740" s="69" t="str">
        <f t="shared" si="68"/>
        <v/>
      </c>
      <c r="O740" s="97"/>
      <c r="P740" s="98"/>
      <c r="Q740" s="99"/>
      <c r="R740" s="100"/>
      <c r="S740" s="86"/>
      <c r="U740" s="48" t="str">
        <f t="shared" si="69"/>
        <v/>
      </c>
      <c r="V740" s="16"/>
      <c r="W740" s="34"/>
      <c r="X740" s="35"/>
    </row>
    <row r="741" spans="11:24">
      <c r="K741" s="85"/>
      <c r="L741" s="54" t="str">
        <f t="shared" si="67"/>
        <v>F</v>
      </c>
      <c r="M741" s="38" t="str">
        <f t="shared" si="70"/>
        <v/>
      </c>
      <c r="N741" s="69" t="str">
        <f t="shared" si="68"/>
        <v/>
      </c>
      <c r="O741" s="97"/>
      <c r="P741" s="98"/>
      <c r="Q741" s="99"/>
      <c r="R741" s="100"/>
      <c r="S741" s="86"/>
      <c r="U741" s="48" t="str">
        <f t="shared" si="69"/>
        <v/>
      </c>
      <c r="V741" s="16"/>
      <c r="W741" s="34"/>
      <c r="X741" s="35"/>
    </row>
    <row r="742" spans="11:24">
      <c r="K742" s="85"/>
      <c r="L742" s="54" t="str">
        <f t="shared" si="67"/>
        <v>F</v>
      </c>
      <c r="M742" s="38" t="str">
        <f t="shared" si="70"/>
        <v/>
      </c>
      <c r="N742" s="69" t="str">
        <f t="shared" si="68"/>
        <v/>
      </c>
      <c r="O742" s="97"/>
      <c r="P742" s="98"/>
      <c r="Q742" s="99"/>
      <c r="R742" s="100"/>
      <c r="S742" s="86"/>
      <c r="U742" s="48" t="str">
        <f t="shared" si="69"/>
        <v/>
      </c>
      <c r="V742" s="16"/>
      <c r="W742" s="34"/>
      <c r="X742" s="35"/>
    </row>
    <row r="743" spans="11:24">
      <c r="K743" s="85"/>
      <c r="L743" s="54" t="str">
        <f t="shared" si="67"/>
        <v>F</v>
      </c>
      <c r="M743" s="38" t="str">
        <f t="shared" si="70"/>
        <v/>
      </c>
      <c r="N743" s="69" t="str">
        <f t="shared" si="68"/>
        <v/>
      </c>
      <c r="O743" s="97"/>
      <c r="P743" s="98"/>
      <c r="Q743" s="99"/>
      <c r="R743" s="100"/>
      <c r="S743" s="86"/>
      <c r="U743" s="48" t="str">
        <f t="shared" si="69"/>
        <v/>
      </c>
      <c r="V743" s="16"/>
      <c r="W743" s="34"/>
      <c r="X743" s="35"/>
    </row>
    <row r="744" spans="11:24">
      <c r="K744" s="85"/>
      <c r="L744" s="54" t="str">
        <f t="shared" si="67"/>
        <v>F</v>
      </c>
      <c r="M744" s="38" t="str">
        <f t="shared" si="70"/>
        <v/>
      </c>
      <c r="N744" s="69" t="str">
        <f t="shared" si="68"/>
        <v/>
      </c>
      <c r="O744" s="97"/>
      <c r="P744" s="98"/>
      <c r="Q744" s="99"/>
      <c r="R744" s="100"/>
      <c r="S744" s="86"/>
      <c r="U744" s="48" t="str">
        <f t="shared" si="69"/>
        <v/>
      </c>
      <c r="V744" s="16"/>
      <c r="W744" s="34"/>
      <c r="X744" s="35"/>
    </row>
    <row r="745" spans="11:24">
      <c r="K745" s="85"/>
      <c r="L745" s="54" t="str">
        <f t="shared" si="67"/>
        <v>F</v>
      </c>
      <c r="M745" s="38" t="str">
        <f t="shared" si="70"/>
        <v/>
      </c>
      <c r="N745" s="69" t="str">
        <f t="shared" si="68"/>
        <v/>
      </c>
      <c r="O745" s="97"/>
      <c r="P745" s="98"/>
      <c r="Q745" s="99"/>
      <c r="R745" s="100"/>
      <c r="S745" s="86"/>
      <c r="U745" s="48" t="str">
        <f t="shared" si="69"/>
        <v/>
      </c>
      <c r="V745" s="16"/>
      <c r="W745" s="34"/>
      <c r="X745" s="35"/>
    </row>
    <row r="746" spans="11:24">
      <c r="K746" s="85"/>
      <c r="L746" s="54" t="str">
        <f t="shared" si="67"/>
        <v>F</v>
      </c>
      <c r="M746" s="38" t="str">
        <f t="shared" si="70"/>
        <v/>
      </c>
      <c r="N746" s="69" t="str">
        <f t="shared" si="68"/>
        <v/>
      </c>
      <c r="O746" s="97"/>
      <c r="P746" s="98"/>
      <c r="Q746" s="99"/>
      <c r="R746" s="100"/>
      <c r="S746" s="86"/>
      <c r="U746" s="48" t="str">
        <f t="shared" si="69"/>
        <v/>
      </c>
      <c r="V746" s="16"/>
      <c r="W746" s="34"/>
      <c r="X746" s="35"/>
    </row>
    <row r="747" spans="11:24">
      <c r="K747" s="85"/>
      <c r="L747" s="54" t="str">
        <f t="shared" si="67"/>
        <v>F</v>
      </c>
      <c r="M747" s="38" t="str">
        <f t="shared" si="70"/>
        <v/>
      </c>
      <c r="N747" s="69" t="str">
        <f t="shared" si="68"/>
        <v/>
      </c>
      <c r="O747" s="97"/>
      <c r="P747" s="98"/>
      <c r="Q747" s="99"/>
      <c r="R747" s="100"/>
      <c r="S747" s="86"/>
      <c r="U747" s="48" t="str">
        <f t="shared" si="69"/>
        <v/>
      </c>
      <c r="V747" s="16"/>
      <c r="W747" s="34"/>
      <c r="X747" s="35"/>
    </row>
    <row r="748" spans="11:24">
      <c r="K748" s="85"/>
      <c r="L748" s="54" t="str">
        <f t="shared" si="67"/>
        <v>F</v>
      </c>
      <c r="M748" s="38" t="str">
        <f t="shared" si="70"/>
        <v/>
      </c>
      <c r="N748" s="69" t="str">
        <f t="shared" si="68"/>
        <v/>
      </c>
      <c r="O748" s="97"/>
      <c r="P748" s="98"/>
      <c r="Q748" s="99"/>
      <c r="R748" s="100"/>
      <c r="S748" s="86"/>
      <c r="U748" s="48" t="str">
        <f t="shared" si="69"/>
        <v/>
      </c>
      <c r="V748" s="16"/>
      <c r="W748" s="34"/>
      <c r="X748" s="35"/>
    </row>
    <row r="749" spans="11:24">
      <c r="K749" s="85"/>
      <c r="L749" s="54" t="str">
        <f t="shared" si="67"/>
        <v>F</v>
      </c>
      <c r="M749" s="38" t="str">
        <f t="shared" si="70"/>
        <v/>
      </c>
      <c r="N749" s="69" t="str">
        <f t="shared" si="68"/>
        <v/>
      </c>
      <c r="O749" s="97"/>
      <c r="P749" s="98"/>
      <c r="Q749" s="99"/>
      <c r="R749" s="100"/>
      <c r="S749" s="86"/>
      <c r="U749" s="48" t="str">
        <f t="shared" si="69"/>
        <v/>
      </c>
      <c r="V749" s="16"/>
      <c r="W749" s="34"/>
      <c r="X749" s="35"/>
    </row>
    <row r="750" spans="11:24">
      <c r="K750" s="85"/>
      <c r="L750" s="54" t="str">
        <f t="shared" si="67"/>
        <v>F</v>
      </c>
      <c r="M750" s="38" t="str">
        <f t="shared" si="70"/>
        <v/>
      </c>
      <c r="N750" s="69" t="str">
        <f t="shared" si="68"/>
        <v/>
      </c>
      <c r="O750" s="97"/>
      <c r="P750" s="98"/>
      <c r="Q750" s="99"/>
      <c r="R750" s="100"/>
      <c r="S750" s="86"/>
      <c r="U750" s="48" t="str">
        <f t="shared" si="69"/>
        <v/>
      </c>
      <c r="V750" s="16"/>
      <c r="W750" s="34"/>
      <c r="X750" s="35"/>
    </row>
    <row r="751" spans="11:24">
      <c r="K751" s="85"/>
      <c r="L751" s="54" t="str">
        <f t="shared" si="67"/>
        <v>F</v>
      </c>
      <c r="M751" s="38" t="str">
        <f t="shared" si="70"/>
        <v/>
      </c>
      <c r="N751" s="69" t="str">
        <f t="shared" si="68"/>
        <v/>
      </c>
      <c r="O751" s="97"/>
      <c r="P751" s="98"/>
      <c r="Q751" s="99"/>
      <c r="R751" s="100"/>
      <c r="S751" s="86"/>
      <c r="U751" s="48" t="str">
        <f t="shared" si="69"/>
        <v/>
      </c>
      <c r="V751" s="16"/>
      <c r="W751" s="34"/>
      <c r="X751" s="35"/>
    </row>
    <row r="752" spans="11:24">
      <c r="K752" s="85"/>
      <c r="L752" s="54" t="str">
        <f t="shared" si="67"/>
        <v>F</v>
      </c>
      <c r="M752" s="38" t="str">
        <f t="shared" si="70"/>
        <v/>
      </c>
      <c r="N752" s="69" t="str">
        <f t="shared" si="68"/>
        <v/>
      </c>
      <c r="O752" s="97"/>
      <c r="P752" s="98"/>
      <c r="Q752" s="99"/>
      <c r="R752" s="100"/>
      <c r="S752" s="86"/>
      <c r="U752" s="48" t="str">
        <f t="shared" si="69"/>
        <v/>
      </c>
      <c r="V752" s="16"/>
      <c r="W752" s="34"/>
      <c r="X752" s="35"/>
    </row>
    <row r="753" spans="11:24">
      <c r="K753" s="85"/>
      <c r="L753" s="54" t="str">
        <f t="shared" si="67"/>
        <v>F</v>
      </c>
      <c r="M753" s="38" t="str">
        <f t="shared" si="70"/>
        <v/>
      </c>
      <c r="N753" s="69" t="str">
        <f t="shared" si="68"/>
        <v/>
      </c>
      <c r="O753" s="97"/>
      <c r="P753" s="98"/>
      <c r="Q753" s="99"/>
      <c r="R753" s="100"/>
      <c r="S753" s="86"/>
      <c r="U753" s="48" t="str">
        <f t="shared" si="69"/>
        <v/>
      </c>
      <c r="V753" s="16"/>
      <c r="W753" s="34"/>
      <c r="X753" s="35"/>
    </row>
    <row r="754" spans="11:24">
      <c r="K754" s="85"/>
      <c r="L754" s="54" t="str">
        <f t="shared" si="67"/>
        <v>F</v>
      </c>
      <c r="M754" s="38" t="str">
        <f t="shared" si="70"/>
        <v/>
      </c>
      <c r="N754" s="69" t="str">
        <f t="shared" si="68"/>
        <v/>
      </c>
      <c r="O754" s="97"/>
      <c r="P754" s="98"/>
      <c r="Q754" s="99"/>
      <c r="R754" s="100"/>
      <c r="S754" s="86"/>
      <c r="U754" s="48" t="str">
        <f t="shared" si="69"/>
        <v/>
      </c>
      <c r="V754" s="16"/>
      <c r="W754" s="34"/>
      <c r="X754" s="35"/>
    </row>
    <row r="755" spans="11:24">
      <c r="K755" s="85"/>
      <c r="L755" s="54" t="str">
        <f t="shared" si="67"/>
        <v>F</v>
      </c>
      <c r="M755" s="38" t="str">
        <f t="shared" si="70"/>
        <v/>
      </c>
      <c r="N755" s="69" t="str">
        <f t="shared" si="68"/>
        <v/>
      </c>
      <c r="O755" s="97"/>
      <c r="P755" s="98"/>
      <c r="Q755" s="99"/>
      <c r="R755" s="100"/>
      <c r="S755" s="86"/>
      <c r="U755" s="48" t="str">
        <f t="shared" si="69"/>
        <v/>
      </c>
      <c r="V755" s="16"/>
      <c r="W755" s="34"/>
      <c r="X755" s="35"/>
    </row>
    <row r="756" spans="11:24">
      <c r="K756" s="85"/>
      <c r="L756" s="54" t="str">
        <f t="shared" si="67"/>
        <v>F</v>
      </c>
      <c r="M756" s="38" t="str">
        <f t="shared" si="70"/>
        <v/>
      </c>
      <c r="N756" s="69" t="str">
        <f t="shared" si="68"/>
        <v/>
      </c>
      <c r="O756" s="97"/>
      <c r="P756" s="98"/>
      <c r="Q756" s="99"/>
      <c r="R756" s="100"/>
      <c r="S756" s="86"/>
      <c r="U756" s="48" t="str">
        <f t="shared" si="69"/>
        <v/>
      </c>
      <c r="V756" s="16"/>
      <c r="W756" s="34"/>
      <c r="X756" s="35"/>
    </row>
    <row r="757" spans="11:24">
      <c r="K757" s="85"/>
      <c r="L757" s="54" t="str">
        <f t="shared" si="67"/>
        <v>F</v>
      </c>
      <c r="M757" s="38" t="str">
        <f t="shared" si="70"/>
        <v/>
      </c>
      <c r="N757" s="69" t="str">
        <f t="shared" si="68"/>
        <v/>
      </c>
      <c r="O757" s="97"/>
      <c r="P757" s="98"/>
      <c r="Q757" s="99"/>
      <c r="R757" s="100"/>
      <c r="S757" s="86"/>
      <c r="U757" s="48" t="str">
        <f t="shared" si="69"/>
        <v/>
      </c>
      <c r="V757" s="16"/>
      <c r="W757" s="34"/>
      <c r="X757" s="35"/>
    </row>
    <row r="758" spans="11:24">
      <c r="K758" s="85"/>
      <c r="L758" s="54" t="str">
        <f t="shared" si="67"/>
        <v>F</v>
      </c>
      <c r="M758" s="38" t="str">
        <f t="shared" si="70"/>
        <v/>
      </c>
      <c r="N758" s="69" t="str">
        <f t="shared" si="68"/>
        <v/>
      </c>
      <c r="O758" s="97"/>
      <c r="P758" s="98"/>
      <c r="Q758" s="99"/>
      <c r="R758" s="100"/>
      <c r="S758" s="86"/>
      <c r="U758" s="48" t="str">
        <f t="shared" si="69"/>
        <v/>
      </c>
      <c r="V758" s="16"/>
      <c r="W758" s="34"/>
      <c r="X758" s="35"/>
    </row>
    <row r="759" spans="11:24">
      <c r="K759" s="85"/>
      <c r="L759" s="54" t="str">
        <f t="shared" si="67"/>
        <v>F</v>
      </c>
      <c r="M759" s="38" t="str">
        <f t="shared" si="70"/>
        <v/>
      </c>
      <c r="N759" s="69" t="str">
        <f t="shared" si="68"/>
        <v/>
      </c>
      <c r="O759" s="97"/>
      <c r="P759" s="98"/>
      <c r="Q759" s="99"/>
      <c r="R759" s="100"/>
      <c r="S759" s="86"/>
      <c r="U759" s="48" t="str">
        <f t="shared" si="69"/>
        <v/>
      </c>
      <c r="V759" s="16"/>
      <c r="W759" s="34"/>
      <c r="X759" s="35"/>
    </row>
    <row r="760" spans="11:24">
      <c r="K760" s="85"/>
      <c r="L760" s="54" t="str">
        <f t="shared" si="67"/>
        <v>F</v>
      </c>
      <c r="M760" s="38" t="str">
        <f t="shared" si="70"/>
        <v/>
      </c>
      <c r="N760" s="69" t="str">
        <f t="shared" si="68"/>
        <v/>
      </c>
      <c r="O760" s="97"/>
      <c r="P760" s="98"/>
      <c r="Q760" s="99"/>
      <c r="R760" s="100"/>
      <c r="S760" s="86"/>
      <c r="U760" s="48" t="str">
        <f t="shared" si="69"/>
        <v/>
      </c>
      <c r="V760" s="16"/>
      <c r="W760" s="34"/>
      <c r="X760" s="35"/>
    </row>
    <row r="761" spans="11:24">
      <c r="K761" s="85"/>
      <c r="L761" s="54" t="str">
        <f t="shared" si="67"/>
        <v>F</v>
      </c>
      <c r="M761" s="38" t="str">
        <f t="shared" si="70"/>
        <v/>
      </c>
      <c r="N761" s="69" t="str">
        <f t="shared" si="68"/>
        <v/>
      </c>
      <c r="O761" s="97"/>
      <c r="P761" s="98"/>
      <c r="Q761" s="99"/>
      <c r="R761" s="100"/>
      <c r="S761" s="86"/>
      <c r="U761" s="48" t="str">
        <f t="shared" si="69"/>
        <v/>
      </c>
      <c r="V761" s="16"/>
      <c r="W761" s="34"/>
      <c r="X761" s="35"/>
    </row>
    <row r="762" spans="11:24">
      <c r="K762" s="85"/>
      <c r="L762" s="54" t="str">
        <f t="shared" si="67"/>
        <v>F</v>
      </c>
      <c r="M762" s="38" t="str">
        <f t="shared" si="70"/>
        <v/>
      </c>
      <c r="N762" s="69" t="str">
        <f t="shared" si="68"/>
        <v/>
      </c>
      <c r="O762" s="97"/>
      <c r="P762" s="98"/>
      <c r="Q762" s="99"/>
      <c r="R762" s="100"/>
      <c r="S762" s="86"/>
      <c r="U762" s="48" t="str">
        <f t="shared" si="69"/>
        <v/>
      </c>
      <c r="V762" s="16"/>
      <c r="W762" s="34"/>
      <c r="X762" s="35"/>
    </row>
    <row r="763" spans="11:24">
      <c r="K763" s="85"/>
      <c r="L763" s="54" t="str">
        <f t="shared" si="67"/>
        <v>F</v>
      </c>
      <c r="M763" s="38" t="str">
        <f t="shared" si="70"/>
        <v/>
      </c>
      <c r="N763" s="69" t="str">
        <f t="shared" si="68"/>
        <v/>
      </c>
      <c r="O763" s="97"/>
      <c r="P763" s="98"/>
      <c r="Q763" s="99"/>
      <c r="R763" s="100"/>
      <c r="S763" s="86"/>
      <c r="U763" s="48" t="str">
        <f t="shared" si="69"/>
        <v/>
      </c>
      <c r="V763" s="16"/>
      <c r="W763" s="34"/>
      <c r="X763" s="35"/>
    </row>
    <row r="764" spans="11:24">
      <c r="K764" s="85"/>
      <c r="L764" s="54" t="str">
        <f t="shared" si="67"/>
        <v>F</v>
      </c>
      <c r="M764" s="38" t="str">
        <f t="shared" si="70"/>
        <v/>
      </c>
      <c r="N764" s="69" t="str">
        <f t="shared" si="68"/>
        <v/>
      </c>
      <c r="O764" s="97"/>
      <c r="P764" s="98"/>
      <c r="Q764" s="99"/>
      <c r="R764" s="100"/>
      <c r="S764" s="86"/>
      <c r="U764" s="48" t="str">
        <f t="shared" si="69"/>
        <v/>
      </c>
      <c r="V764" s="16"/>
      <c r="W764" s="34"/>
      <c r="X764" s="35"/>
    </row>
    <row r="765" spans="11:24">
      <c r="K765" s="85"/>
      <c r="L765" s="54" t="str">
        <f t="shared" si="67"/>
        <v>F</v>
      </c>
      <c r="M765" s="38" t="str">
        <f t="shared" si="70"/>
        <v/>
      </c>
      <c r="N765" s="69" t="str">
        <f t="shared" si="68"/>
        <v/>
      </c>
      <c r="O765" s="97"/>
      <c r="P765" s="98"/>
      <c r="Q765" s="99"/>
      <c r="R765" s="100"/>
      <c r="S765" s="86"/>
      <c r="U765" s="48" t="str">
        <f t="shared" si="69"/>
        <v/>
      </c>
      <c r="V765" s="16"/>
      <c r="W765" s="34"/>
      <c r="X765" s="35"/>
    </row>
    <row r="766" spans="11:24">
      <c r="K766" s="85"/>
      <c r="L766" s="54" t="str">
        <f t="shared" si="67"/>
        <v>F</v>
      </c>
      <c r="M766" s="38" t="str">
        <f t="shared" si="70"/>
        <v/>
      </c>
      <c r="N766" s="69" t="str">
        <f t="shared" si="68"/>
        <v/>
      </c>
      <c r="O766" s="97"/>
      <c r="P766" s="98"/>
      <c r="Q766" s="99"/>
      <c r="R766" s="100"/>
      <c r="S766" s="86"/>
      <c r="U766" s="48" t="str">
        <f t="shared" si="69"/>
        <v/>
      </c>
      <c r="V766" s="16"/>
      <c r="W766" s="34"/>
      <c r="X766" s="35"/>
    </row>
    <row r="767" spans="11:24">
      <c r="K767" s="85"/>
      <c r="L767" s="54" t="str">
        <f t="shared" si="67"/>
        <v>F</v>
      </c>
      <c r="M767" s="38" t="str">
        <f t="shared" si="70"/>
        <v/>
      </c>
      <c r="N767" s="69" t="str">
        <f t="shared" si="68"/>
        <v/>
      </c>
      <c r="O767" s="97"/>
      <c r="P767" s="98"/>
      <c r="Q767" s="99"/>
      <c r="R767" s="100"/>
      <c r="S767" s="86"/>
      <c r="U767" s="48" t="str">
        <f t="shared" si="69"/>
        <v/>
      </c>
      <c r="V767" s="16"/>
      <c r="W767" s="34"/>
      <c r="X767" s="35"/>
    </row>
    <row r="768" spans="11:24">
      <c r="K768" s="85"/>
      <c r="L768" s="54" t="str">
        <f t="shared" si="67"/>
        <v>F</v>
      </c>
      <c r="M768" s="38" t="str">
        <f t="shared" si="70"/>
        <v/>
      </c>
      <c r="N768" s="69" t="str">
        <f t="shared" si="68"/>
        <v/>
      </c>
      <c r="O768" s="97"/>
      <c r="P768" s="98"/>
      <c r="Q768" s="99"/>
      <c r="R768" s="100"/>
      <c r="S768" s="86"/>
      <c r="U768" s="48" t="str">
        <f t="shared" si="69"/>
        <v/>
      </c>
      <c r="V768" s="16"/>
      <c r="W768" s="34"/>
      <c r="X768" s="35"/>
    </row>
    <row r="769" spans="11:24">
      <c r="K769" s="85"/>
      <c r="L769" s="54" t="str">
        <f t="shared" si="67"/>
        <v>F</v>
      </c>
      <c r="M769" s="38" t="str">
        <f t="shared" si="70"/>
        <v/>
      </c>
      <c r="N769" s="69" t="str">
        <f t="shared" si="68"/>
        <v/>
      </c>
      <c r="O769" s="97"/>
      <c r="P769" s="98"/>
      <c r="Q769" s="99"/>
      <c r="R769" s="100"/>
      <c r="S769" s="86"/>
      <c r="U769" s="48" t="str">
        <f t="shared" si="69"/>
        <v/>
      </c>
      <c r="V769" s="16"/>
      <c r="W769" s="34"/>
      <c r="X769" s="35"/>
    </row>
    <row r="770" spans="11:24">
      <c r="K770" s="85"/>
      <c r="L770" s="54" t="str">
        <f t="shared" si="67"/>
        <v>F</v>
      </c>
      <c r="M770" s="38" t="str">
        <f t="shared" si="70"/>
        <v/>
      </c>
      <c r="N770" s="69" t="str">
        <f t="shared" si="68"/>
        <v/>
      </c>
      <c r="O770" s="97"/>
      <c r="P770" s="98"/>
      <c r="Q770" s="99"/>
      <c r="R770" s="100"/>
      <c r="S770" s="86"/>
      <c r="U770" s="48" t="str">
        <f t="shared" si="69"/>
        <v/>
      </c>
      <c r="V770" s="16"/>
      <c r="W770" s="34"/>
      <c r="X770" s="35"/>
    </row>
    <row r="771" spans="11:24">
      <c r="K771" s="85"/>
      <c r="L771" s="54" t="str">
        <f t="shared" si="67"/>
        <v>F</v>
      </c>
      <c r="M771" s="38" t="str">
        <f t="shared" si="70"/>
        <v/>
      </c>
      <c r="N771" s="69" t="str">
        <f t="shared" si="68"/>
        <v/>
      </c>
      <c r="O771" s="97"/>
      <c r="P771" s="98"/>
      <c r="Q771" s="99"/>
      <c r="R771" s="100"/>
      <c r="S771" s="86"/>
      <c r="U771" s="48" t="str">
        <f t="shared" si="69"/>
        <v/>
      </c>
      <c r="V771" s="16"/>
      <c r="W771" s="34"/>
      <c r="X771" s="35"/>
    </row>
    <row r="772" spans="11:24">
      <c r="K772" s="85"/>
      <c r="L772" s="54" t="str">
        <f t="shared" si="67"/>
        <v>F</v>
      </c>
      <c r="M772" s="38" t="str">
        <f t="shared" si="70"/>
        <v/>
      </c>
      <c r="N772" s="69" t="str">
        <f t="shared" si="68"/>
        <v/>
      </c>
      <c r="O772" s="97"/>
      <c r="P772" s="98"/>
      <c r="Q772" s="99"/>
      <c r="R772" s="100"/>
      <c r="S772" s="86"/>
      <c r="U772" s="48" t="str">
        <f t="shared" si="69"/>
        <v/>
      </c>
      <c r="V772" s="16"/>
      <c r="W772" s="34"/>
      <c r="X772" s="35"/>
    </row>
    <row r="773" spans="11:24">
      <c r="K773" s="85"/>
      <c r="L773" s="54" t="str">
        <f t="shared" si="67"/>
        <v>F</v>
      </c>
      <c r="M773" s="38" t="str">
        <f t="shared" si="70"/>
        <v/>
      </c>
      <c r="N773" s="69" t="str">
        <f t="shared" si="68"/>
        <v/>
      </c>
      <c r="O773" s="97"/>
      <c r="P773" s="98"/>
      <c r="Q773" s="99"/>
      <c r="R773" s="100"/>
      <c r="S773" s="86"/>
      <c r="U773" s="48" t="str">
        <f t="shared" si="69"/>
        <v/>
      </c>
      <c r="V773" s="16"/>
      <c r="W773" s="34"/>
      <c r="X773" s="35"/>
    </row>
    <row r="774" spans="11:24">
      <c r="K774" s="85"/>
      <c r="L774" s="54" t="str">
        <f t="shared" si="67"/>
        <v>F</v>
      </c>
      <c r="M774" s="38" t="str">
        <f t="shared" si="70"/>
        <v/>
      </c>
      <c r="N774" s="69" t="str">
        <f t="shared" si="68"/>
        <v/>
      </c>
      <c r="O774" s="97"/>
      <c r="P774" s="98"/>
      <c r="Q774" s="99"/>
      <c r="R774" s="100"/>
      <c r="S774" s="86"/>
      <c r="U774" s="48" t="str">
        <f t="shared" si="69"/>
        <v/>
      </c>
      <c r="V774" s="16"/>
      <c r="W774" s="34"/>
      <c r="X774" s="35"/>
    </row>
    <row r="775" spans="11:24">
      <c r="K775" s="85"/>
      <c r="L775" s="54" t="str">
        <f t="shared" si="67"/>
        <v>F</v>
      </c>
      <c r="M775" s="38" t="str">
        <f t="shared" si="70"/>
        <v/>
      </c>
      <c r="N775" s="69" t="str">
        <f t="shared" si="68"/>
        <v/>
      </c>
      <c r="O775" s="97"/>
      <c r="P775" s="98"/>
      <c r="Q775" s="99"/>
      <c r="R775" s="100"/>
      <c r="S775" s="86"/>
      <c r="U775" s="48" t="str">
        <f t="shared" si="69"/>
        <v/>
      </c>
      <c r="V775" s="16"/>
      <c r="W775" s="34"/>
      <c r="X775" s="35"/>
    </row>
    <row r="776" spans="11:24">
      <c r="K776" s="85"/>
      <c r="L776" s="54" t="str">
        <f t="shared" si="67"/>
        <v>F</v>
      </c>
      <c r="M776" s="38" t="str">
        <f t="shared" si="70"/>
        <v/>
      </c>
      <c r="N776" s="69" t="str">
        <f t="shared" si="68"/>
        <v/>
      </c>
      <c r="O776" s="97"/>
      <c r="P776" s="98"/>
      <c r="Q776" s="99"/>
      <c r="R776" s="100"/>
      <c r="S776" s="86"/>
      <c r="U776" s="48" t="str">
        <f t="shared" si="69"/>
        <v/>
      </c>
      <c r="V776" s="16"/>
      <c r="W776" s="34"/>
      <c r="X776" s="35"/>
    </row>
    <row r="777" spans="11:24">
      <c r="K777" s="85"/>
      <c r="L777" s="54" t="str">
        <f t="shared" ref="L777:L840" si="71">IF(UPPER(P777)="EQU","E",IF(P777="DB","D",IF(O777&lt;&gt;"","L",IF(N777="","F",""))))</f>
        <v>F</v>
      </c>
      <c r="M777" s="38" t="str">
        <f t="shared" si="70"/>
        <v/>
      </c>
      <c r="N777" s="69" t="str">
        <f t="shared" ref="N777:N840" si="72">IFERROR(IF(N776+1&lt;=HEX2DEC(MemSize)+HEX2DEC(MemStart),N776+1,""),"")</f>
        <v/>
      </c>
      <c r="O777" s="97"/>
      <c r="P777" s="98"/>
      <c r="Q777" s="99"/>
      <c r="R777" s="100"/>
      <c r="S777" s="86"/>
      <c r="U777" s="48" t="str">
        <f t="shared" ref="U777:U840" si="73">IF(V777&gt;0,RIGHT("0000"&amp;DEC2HEX(V777),4),"")</f>
        <v/>
      </c>
      <c r="V777" s="16"/>
      <c r="W777" s="34"/>
      <c r="X777" s="35"/>
    </row>
    <row r="778" spans="11:24">
      <c r="K778" s="85"/>
      <c r="L778" s="54" t="str">
        <f t="shared" si="71"/>
        <v>F</v>
      </c>
      <c r="M778" s="38" t="str">
        <f t="shared" si="70"/>
        <v/>
      </c>
      <c r="N778" s="69" t="str">
        <f t="shared" si="72"/>
        <v/>
      </c>
      <c r="O778" s="97"/>
      <c r="P778" s="98"/>
      <c r="Q778" s="99"/>
      <c r="R778" s="100"/>
      <c r="S778" s="86"/>
      <c r="U778" s="48" t="str">
        <f t="shared" si="73"/>
        <v/>
      </c>
      <c r="V778" s="16"/>
      <c r="W778" s="34"/>
      <c r="X778" s="35"/>
    </row>
    <row r="779" spans="11:24">
      <c r="K779" s="85"/>
      <c r="L779" s="54" t="str">
        <f t="shared" si="71"/>
        <v>F</v>
      </c>
      <c r="M779" s="38" t="str">
        <f t="shared" si="70"/>
        <v/>
      </c>
      <c r="N779" s="69" t="str">
        <f t="shared" si="72"/>
        <v/>
      </c>
      <c r="O779" s="97"/>
      <c r="P779" s="98"/>
      <c r="Q779" s="99"/>
      <c r="R779" s="100"/>
      <c r="S779" s="86"/>
      <c r="U779" s="48" t="str">
        <f t="shared" si="73"/>
        <v/>
      </c>
      <c r="V779" s="16"/>
      <c r="W779" s="34"/>
      <c r="X779" s="35"/>
    </row>
    <row r="780" spans="11:24">
      <c r="K780" s="85"/>
      <c r="L780" s="54" t="str">
        <f t="shared" si="71"/>
        <v>F</v>
      </c>
      <c r="M780" s="38" t="str">
        <f t="shared" si="70"/>
        <v/>
      </c>
      <c r="N780" s="69" t="str">
        <f t="shared" si="72"/>
        <v/>
      </c>
      <c r="O780" s="97"/>
      <c r="P780" s="98"/>
      <c r="Q780" s="99"/>
      <c r="R780" s="100"/>
      <c r="S780" s="86"/>
      <c r="U780" s="48" t="str">
        <f t="shared" si="73"/>
        <v/>
      </c>
      <c r="V780" s="16"/>
      <c r="W780" s="34"/>
      <c r="X780" s="35"/>
    </row>
    <row r="781" spans="11:24">
      <c r="K781" s="85"/>
      <c r="L781" s="54" t="str">
        <f t="shared" si="71"/>
        <v>F</v>
      </c>
      <c r="M781" s="38" t="str">
        <f t="shared" si="70"/>
        <v/>
      </c>
      <c r="N781" s="69" t="str">
        <f t="shared" si="72"/>
        <v/>
      </c>
      <c r="O781" s="97"/>
      <c r="P781" s="98"/>
      <c r="Q781" s="99"/>
      <c r="R781" s="100"/>
      <c r="S781" s="86"/>
      <c r="U781" s="48" t="str">
        <f t="shared" si="73"/>
        <v/>
      </c>
      <c r="V781" s="16"/>
      <c r="W781" s="34"/>
      <c r="X781" s="35"/>
    </row>
    <row r="782" spans="11:24">
      <c r="K782" s="85"/>
      <c r="L782" s="54" t="str">
        <f t="shared" si="71"/>
        <v>F</v>
      </c>
      <c r="M782" s="38" t="str">
        <f t="shared" si="70"/>
        <v/>
      </c>
      <c r="N782" s="69" t="str">
        <f t="shared" si="72"/>
        <v/>
      </c>
      <c r="O782" s="97"/>
      <c r="P782" s="98"/>
      <c r="Q782" s="99"/>
      <c r="R782" s="100"/>
      <c r="S782" s="86"/>
      <c r="U782" s="48" t="str">
        <f t="shared" si="73"/>
        <v/>
      </c>
      <c r="V782" s="16"/>
      <c r="W782" s="34"/>
      <c r="X782" s="35"/>
    </row>
    <row r="783" spans="11:24">
      <c r="K783" s="85"/>
      <c r="L783" s="54" t="str">
        <f t="shared" si="71"/>
        <v>F</v>
      </c>
      <c r="M783" s="38" t="str">
        <f t="shared" si="70"/>
        <v/>
      </c>
      <c r="N783" s="69" t="str">
        <f t="shared" si="72"/>
        <v/>
      </c>
      <c r="O783" s="97"/>
      <c r="P783" s="98"/>
      <c r="Q783" s="99"/>
      <c r="R783" s="100"/>
      <c r="S783" s="86"/>
      <c r="U783" s="48" t="str">
        <f t="shared" si="73"/>
        <v/>
      </c>
      <c r="V783" s="16"/>
      <c r="W783" s="34"/>
      <c r="X783" s="35"/>
    </row>
    <row r="784" spans="11:24">
      <c r="K784" s="85"/>
      <c r="L784" s="54" t="str">
        <f t="shared" si="71"/>
        <v>F</v>
      </c>
      <c r="M784" s="38" t="str">
        <f t="shared" si="70"/>
        <v/>
      </c>
      <c r="N784" s="69" t="str">
        <f t="shared" si="72"/>
        <v/>
      </c>
      <c r="O784" s="97"/>
      <c r="P784" s="98"/>
      <c r="Q784" s="99"/>
      <c r="R784" s="100"/>
      <c r="S784" s="86"/>
      <c r="U784" s="48" t="str">
        <f t="shared" si="73"/>
        <v/>
      </c>
      <c r="V784" s="16"/>
      <c r="W784" s="34"/>
      <c r="X784" s="35"/>
    </row>
    <row r="785" spans="11:24">
      <c r="K785" s="85"/>
      <c r="L785" s="54" t="str">
        <f t="shared" si="71"/>
        <v>F</v>
      </c>
      <c r="M785" s="38" t="str">
        <f t="shared" si="70"/>
        <v/>
      </c>
      <c r="N785" s="69" t="str">
        <f t="shared" si="72"/>
        <v/>
      </c>
      <c r="O785" s="97"/>
      <c r="P785" s="98"/>
      <c r="Q785" s="99"/>
      <c r="R785" s="100"/>
      <c r="S785" s="86"/>
      <c r="U785" s="48" t="str">
        <f t="shared" si="73"/>
        <v/>
      </c>
      <c r="V785" s="16"/>
      <c r="W785" s="34"/>
      <c r="X785" s="35"/>
    </row>
    <row r="786" spans="11:24">
      <c r="K786" s="85"/>
      <c r="L786" s="54" t="str">
        <f t="shared" si="71"/>
        <v>F</v>
      </c>
      <c r="M786" s="38" t="str">
        <f t="shared" si="70"/>
        <v/>
      </c>
      <c r="N786" s="69" t="str">
        <f t="shared" si="72"/>
        <v/>
      </c>
      <c r="O786" s="97"/>
      <c r="P786" s="98"/>
      <c r="Q786" s="99"/>
      <c r="R786" s="100"/>
      <c r="S786" s="86"/>
      <c r="U786" s="48" t="str">
        <f t="shared" si="73"/>
        <v/>
      </c>
      <c r="V786" s="16"/>
      <c r="W786" s="34"/>
      <c r="X786" s="35"/>
    </row>
    <row r="787" spans="11:24">
      <c r="K787" s="85"/>
      <c r="L787" s="54" t="str">
        <f t="shared" si="71"/>
        <v>F</v>
      </c>
      <c r="M787" s="38" t="str">
        <f t="shared" si="70"/>
        <v/>
      </c>
      <c r="N787" s="69" t="str">
        <f t="shared" si="72"/>
        <v/>
      </c>
      <c r="O787" s="97"/>
      <c r="P787" s="98"/>
      <c r="Q787" s="99"/>
      <c r="R787" s="100"/>
      <c r="S787" s="86"/>
      <c r="U787" s="48" t="str">
        <f t="shared" si="73"/>
        <v/>
      </c>
      <c r="V787" s="16"/>
      <c r="W787" s="34"/>
      <c r="X787" s="35"/>
    </row>
    <row r="788" spans="11:24">
      <c r="K788" s="85"/>
      <c r="L788" s="54" t="str">
        <f t="shared" si="71"/>
        <v>F</v>
      </c>
      <c r="M788" s="38" t="str">
        <f t="shared" si="70"/>
        <v/>
      </c>
      <c r="N788" s="69" t="str">
        <f t="shared" si="72"/>
        <v/>
      </c>
      <c r="O788" s="97"/>
      <c r="P788" s="98"/>
      <c r="Q788" s="99"/>
      <c r="R788" s="100"/>
      <c r="S788" s="86"/>
      <c r="U788" s="48" t="str">
        <f t="shared" si="73"/>
        <v/>
      </c>
      <c r="V788" s="16"/>
      <c r="W788" s="34"/>
      <c r="X788" s="35"/>
    </row>
    <row r="789" spans="11:24">
      <c r="K789" s="85"/>
      <c r="L789" s="54" t="str">
        <f t="shared" si="71"/>
        <v>F</v>
      </c>
      <c r="M789" s="38" t="str">
        <f t="shared" si="70"/>
        <v/>
      </c>
      <c r="N789" s="69" t="str">
        <f t="shared" si="72"/>
        <v/>
      </c>
      <c r="O789" s="97"/>
      <c r="P789" s="98"/>
      <c r="Q789" s="99"/>
      <c r="R789" s="100"/>
      <c r="S789" s="86"/>
      <c r="U789" s="48" t="str">
        <f t="shared" si="73"/>
        <v/>
      </c>
      <c r="V789" s="16"/>
      <c r="W789" s="34"/>
      <c r="X789" s="35"/>
    </row>
    <row r="790" spans="11:24">
      <c r="K790" s="85"/>
      <c r="L790" s="54" t="str">
        <f t="shared" si="71"/>
        <v>F</v>
      </c>
      <c r="M790" s="38" t="str">
        <f t="shared" si="70"/>
        <v/>
      </c>
      <c r="N790" s="69" t="str">
        <f t="shared" si="72"/>
        <v/>
      </c>
      <c r="O790" s="97"/>
      <c r="P790" s="98"/>
      <c r="Q790" s="99"/>
      <c r="R790" s="100"/>
      <c r="S790" s="86"/>
      <c r="U790" s="48" t="str">
        <f t="shared" si="73"/>
        <v/>
      </c>
      <c r="V790" s="16"/>
      <c r="W790" s="34"/>
      <c r="X790" s="35"/>
    </row>
    <row r="791" spans="11:24">
      <c r="K791" s="85"/>
      <c r="L791" s="54" t="str">
        <f t="shared" si="71"/>
        <v>F</v>
      </c>
      <c r="M791" s="38" t="str">
        <f t="shared" si="70"/>
        <v/>
      </c>
      <c r="N791" s="69" t="str">
        <f t="shared" si="72"/>
        <v/>
      </c>
      <c r="O791" s="97"/>
      <c r="P791" s="98"/>
      <c r="Q791" s="99"/>
      <c r="R791" s="100"/>
      <c r="S791" s="86"/>
      <c r="U791" s="48" t="str">
        <f t="shared" si="73"/>
        <v/>
      </c>
      <c r="V791" s="16"/>
      <c r="W791" s="34"/>
      <c r="X791" s="35"/>
    </row>
    <row r="792" spans="11:24">
      <c r="K792" s="85"/>
      <c r="L792" s="54" t="str">
        <f t="shared" si="71"/>
        <v>F</v>
      </c>
      <c r="M792" s="38" t="str">
        <f t="shared" si="70"/>
        <v/>
      </c>
      <c r="N792" s="69" t="str">
        <f t="shared" si="72"/>
        <v/>
      </c>
      <c r="O792" s="97"/>
      <c r="P792" s="98"/>
      <c r="Q792" s="99"/>
      <c r="R792" s="100"/>
      <c r="S792" s="86"/>
      <c r="U792" s="48" t="str">
        <f t="shared" si="73"/>
        <v/>
      </c>
      <c r="V792" s="16"/>
      <c r="W792" s="34"/>
      <c r="X792" s="35"/>
    </row>
    <row r="793" spans="11:24">
      <c r="K793" s="85"/>
      <c r="L793" s="54" t="str">
        <f t="shared" si="71"/>
        <v>F</v>
      </c>
      <c r="M793" s="38" t="str">
        <f t="shared" si="70"/>
        <v/>
      </c>
      <c r="N793" s="69" t="str">
        <f t="shared" si="72"/>
        <v/>
      </c>
      <c r="O793" s="97"/>
      <c r="P793" s="98"/>
      <c r="Q793" s="99"/>
      <c r="R793" s="100"/>
      <c r="S793" s="86"/>
      <c r="U793" s="48" t="str">
        <f t="shared" si="73"/>
        <v/>
      </c>
      <c r="V793" s="16"/>
      <c r="W793" s="34"/>
      <c r="X793" s="35"/>
    </row>
    <row r="794" spans="11:24">
      <c r="K794" s="85"/>
      <c r="L794" s="54" t="str">
        <f t="shared" si="71"/>
        <v>F</v>
      </c>
      <c r="M794" s="38" t="str">
        <f t="shared" si="70"/>
        <v/>
      </c>
      <c r="N794" s="69" t="str">
        <f t="shared" si="72"/>
        <v/>
      </c>
      <c r="O794" s="97"/>
      <c r="P794" s="98"/>
      <c r="Q794" s="99"/>
      <c r="R794" s="100"/>
      <c r="S794" s="86"/>
      <c r="U794" s="48" t="str">
        <f t="shared" si="73"/>
        <v/>
      </c>
      <c r="V794" s="16"/>
      <c r="W794" s="34"/>
      <c r="X794" s="35"/>
    </row>
    <row r="795" spans="11:24">
      <c r="K795" s="85"/>
      <c r="L795" s="54" t="str">
        <f t="shared" si="71"/>
        <v>F</v>
      </c>
      <c r="M795" s="38" t="str">
        <f t="shared" si="70"/>
        <v/>
      </c>
      <c r="N795" s="69" t="str">
        <f t="shared" si="72"/>
        <v/>
      </c>
      <c r="O795" s="97"/>
      <c r="P795" s="98"/>
      <c r="Q795" s="99"/>
      <c r="R795" s="100"/>
      <c r="S795" s="86"/>
      <c r="U795" s="48" t="str">
        <f t="shared" si="73"/>
        <v/>
      </c>
      <c r="V795" s="16"/>
      <c r="W795" s="34"/>
      <c r="X795" s="35"/>
    </row>
    <row r="796" spans="11:24">
      <c r="K796" s="85"/>
      <c r="L796" s="54" t="str">
        <f t="shared" si="71"/>
        <v>F</v>
      </c>
      <c r="M796" s="38" t="str">
        <f t="shared" si="70"/>
        <v/>
      </c>
      <c r="N796" s="69" t="str">
        <f t="shared" si="72"/>
        <v/>
      </c>
      <c r="O796" s="97"/>
      <c r="P796" s="98"/>
      <c r="Q796" s="99"/>
      <c r="R796" s="100"/>
      <c r="S796" s="86"/>
      <c r="U796" s="48" t="str">
        <f t="shared" si="73"/>
        <v/>
      </c>
      <c r="V796" s="16"/>
      <c r="W796" s="34"/>
      <c r="X796" s="35"/>
    </row>
    <row r="797" spans="11:24">
      <c r="K797" s="85"/>
      <c r="L797" s="54" t="str">
        <f t="shared" si="71"/>
        <v>F</v>
      </c>
      <c r="M797" s="38" t="str">
        <f t="shared" ref="M797:M860" si="74">IFERROR(RIGHT("0000"&amp;DEC2HEX(N797),4),"")</f>
        <v/>
      </c>
      <c r="N797" s="69" t="str">
        <f t="shared" si="72"/>
        <v/>
      </c>
      <c r="O797" s="97"/>
      <c r="P797" s="98"/>
      <c r="Q797" s="99"/>
      <c r="R797" s="100"/>
      <c r="S797" s="86"/>
      <c r="U797" s="48" t="str">
        <f t="shared" si="73"/>
        <v/>
      </c>
      <c r="V797" s="16"/>
      <c r="W797" s="34"/>
      <c r="X797" s="35"/>
    </row>
    <row r="798" spans="11:24">
      <c r="K798" s="85"/>
      <c r="L798" s="54" t="str">
        <f t="shared" si="71"/>
        <v>F</v>
      </c>
      <c r="M798" s="38" t="str">
        <f t="shared" si="74"/>
        <v/>
      </c>
      <c r="N798" s="69" t="str">
        <f t="shared" si="72"/>
        <v/>
      </c>
      <c r="O798" s="97"/>
      <c r="P798" s="98"/>
      <c r="Q798" s="99"/>
      <c r="R798" s="100"/>
      <c r="S798" s="86"/>
      <c r="U798" s="48" t="str">
        <f t="shared" si="73"/>
        <v/>
      </c>
      <c r="V798" s="16"/>
      <c r="W798" s="34"/>
      <c r="X798" s="35"/>
    </row>
    <row r="799" spans="11:24">
      <c r="K799" s="85"/>
      <c r="L799" s="54" t="str">
        <f t="shared" si="71"/>
        <v>F</v>
      </c>
      <c r="M799" s="38" t="str">
        <f t="shared" si="74"/>
        <v/>
      </c>
      <c r="N799" s="69" t="str">
        <f t="shared" si="72"/>
        <v/>
      </c>
      <c r="O799" s="97"/>
      <c r="P799" s="98"/>
      <c r="Q799" s="99"/>
      <c r="R799" s="100"/>
      <c r="S799" s="86"/>
      <c r="U799" s="48" t="str">
        <f t="shared" si="73"/>
        <v/>
      </c>
      <c r="V799" s="16"/>
      <c r="W799" s="34"/>
      <c r="X799" s="35"/>
    </row>
    <row r="800" spans="11:24">
      <c r="K800" s="85"/>
      <c r="L800" s="54" t="str">
        <f t="shared" si="71"/>
        <v>F</v>
      </c>
      <c r="M800" s="38" t="str">
        <f t="shared" si="74"/>
        <v/>
      </c>
      <c r="N800" s="69" t="str">
        <f t="shared" si="72"/>
        <v/>
      </c>
      <c r="O800" s="97"/>
      <c r="P800" s="98"/>
      <c r="Q800" s="99"/>
      <c r="R800" s="100"/>
      <c r="S800" s="86"/>
      <c r="U800" s="48" t="str">
        <f t="shared" si="73"/>
        <v/>
      </c>
      <c r="V800" s="16"/>
      <c r="W800" s="34"/>
      <c r="X800" s="35"/>
    </row>
    <row r="801" spans="11:24">
      <c r="K801" s="85"/>
      <c r="L801" s="54" t="str">
        <f t="shared" si="71"/>
        <v>F</v>
      </c>
      <c r="M801" s="38" t="str">
        <f t="shared" si="74"/>
        <v/>
      </c>
      <c r="N801" s="69" t="str">
        <f t="shared" si="72"/>
        <v/>
      </c>
      <c r="O801" s="97"/>
      <c r="P801" s="98"/>
      <c r="Q801" s="99"/>
      <c r="R801" s="100"/>
      <c r="S801" s="86"/>
      <c r="U801" s="48" t="str">
        <f t="shared" si="73"/>
        <v/>
      </c>
      <c r="V801" s="16"/>
      <c r="W801" s="34"/>
      <c r="X801" s="35"/>
    </row>
    <row r="802" spans="11:24">
      <c r="K802" s="85"/>
      <c r="L802" s="54" t="str">
        <f t="shared" si="71"/>
        <v>F</v>
      </c>
      <c r="M802" s="38" t="str">
        <f t="shared" si="74"/>
        <v/>
      </c>
      <c r="N802" s="69" t="str">
        <f t="shared" si="72"/>
        <v/>
      </c>
      <c r="O802" s="97"/>
      <c r="P802" s="98"/>
      <c r="Q802" s="99"/>
      <c r="R802" s="100"/>
      <c r="S802" s="86"/>
      <c r="U802" s="48" t="str">
        <f t="shared" si="73"/>
        <v/>
      </c>
      <c r="V802" s="16"/>
      <c r="W802" s="34"/>
      <c r="X802" s="35"/>
    </row>
    <row r="803" spans="11:24">
      <c r="K803" s="85"/>
      <c r="L803" s="54" t="str">
        <f t="shared" si="71"/>
        <v>F</v>
      </c>
      <c r="M803" s="38" t="str">
        <f t="shared" si="74"/>
        <v/>
      </c>
      <c r="N803" s="69" t="str">
        <f t="shared" si="72"/>
        <v/>
      </c>
      <c r="O803" s="97"/>
      <c r="P803" s="98"/>
      <c r="Q803" s="99"/>
      <c r="R803" s="100"/>
      <c r="S803" s="86"/>
      <c r="U803" s="48" t="str">
        <f t="shared" si="73"/>
        <v/>
      </c>
      <c r="V803" s="16"/>
      <c r="W803" s="34"/>
      <c r="X803" s="35"/>
    </row>
    <row r="804" spans="11:24">
      <c r="K804" s="85"/>
      <c r="L804" s="54" t="str">
        <f t="shared" si="71"/>
        <v>F</v>
      </c>
      <c r="M804" s="38" t="str">
        <f t="shared" si="74"/>
        <v/>
      </c>
      <c r="N804" s="69" t="str">
        <f t="shared" si="72"/>
        <v/>
      </c>
      <c r="O804" s="97"/>
      <c r="P804" s="98"/>
      <c r="Q804" s="99"/>
      <c r="R804" s="100"/>
      <c r="S804" s="86"/>
      <c r="U804" s="48" t="str">
        <f t="shared" si="73"/>
        <v/>
      </c>
      <c r="V804" s="16"/>
      <c r="W804" s="34"/>
      <c r="X804" s="35"/>
    </row>
    <row r="805" spans="11:24">
      <c r="K805" s="85"/>
      <c r="L805" s="54" t="str">
        <f t="shared" si="71"/>
        <v>F</v>
      </c>
      <c r="M805" s="38" t="str">
        <f t="shared" si="74"/>
        <v/>
      </c>
      <c r="N805" s="69" t="str">
        <f t="shared" si="72"/>
        <v/>
      </c>
      <c r="O805" s="97"/>
      <c r="P805" s="98"/>
      <c r="Q805" s="99"/>
      <c r="R805" s="100"/>
      <c r="S805" s="86"/>
      <c r="U805" s="48" t="str">
        <f t="shared" si="73"/>
        <v/>
      </c>
      <c r="V805" s="16"/>
      <c r="W805" s="34"/>
      <c r="X805" s="35"/>
    </row>
    <row r="806" spans="11:24">
      <c r="K806" s="85"/>
      <c r="L806" s="54" t="str">
        <f t="shared" si="71"/>
        <v>F</v>
      </c>
      <c r="M806" s="38" t="str">
        <f t="shared" si="74"/>
        <v/>
      </c>
      <c r="N806" s="69" t="str">
        <f t="shared" si="72"/>
        <v/>
      </c>
      <c r="O806" s="97"/>
      <c r="P806" s="98"/>
      <c r="Q806" s="99"/>
      <c r="R806" s="100"/>
      <c r="S806" s="86"/>
      <c r="U806" s="48" t="str">
        <f t="shared" si="73"/>
        <v/>
      </c>
      <c r="V806" s="16"/>
      <c r="W806" s="34"/>
      <c r="X806" s="35"/>
    </row>
    <row r="807" spans="11:24">
      <c r="K807" s="85"/>
      <c r="L807" s="54" t="str">
        <f t="shared" si="71"/>
        <v>F</v>
      </c>
      <c r="M807" s="38" t="str">
        <f t="shared" si="74"/>
        <v/>
      </c>
      <c r="N807" s="69" t="str">
        <f t="shared" si="72"/>
        <v/>
      </c>
      <c r="O807" s="97"/>
      <c r="P807" s="98"/>
      <c r="Q807" s="99"/>
      <c r="R807" s="100"/>
      <c r="S807" s="86"/>
      <c r="U807" s="48" t="str">
        <f t="shared" si="73"/>
        <v/>
      </c>
      <c r="V807" s="16"/>
      <c r="W807" s="34"/>
      <c r="X807" s="35"/>
    </row>
    <row r="808" spans="11:24">
      <c r="K808" s="85"/>
      <c r="L808" s="54" t="str">
        <f t="shared" si="71"/>
        <v>F</v>
      </c>
      <c r="M808" s="38" t="str">
        <f t="shared" si="74"/>
        <v/>
      </c>
      <c r="N808" s="69" t="str">
        <f t="shared" si="72"/>
        <v/>
      </c>
      <c r="O808" s="97"/>
      <c r="P808" s="98"/>
      <c r="Q808" s="99"/>
      <c r="R808" s="100"/>
      <c r="S808" s="86"/>
      <c r="U808" s="48" t="str">
        <f t="shared" si="73"/>
        <v/>
      </c>
      <c r="V808" s="16"/>
      <c r="W808" s="34"/>
      <c r="X808" s="35"/>
    </row>
    <row r="809" spans="11:24">
      <c r="K809" s="85"/>
      <c r="L809" s="54" t="str">
        <f t="shared" si="71"/>
        <v>F</v>
      </c>
      <c r="M809" s="38" t="str">
        <f t="shared" si="74"/>
        <v/>
      </c>
      <c r="N809" s="69" t="str">
        <f t="shared" si="72"/>
        <v/>
      </c>
      <c r="O809" s="97"/>
      <c r="P809" s="98"/>
      <c r="Q809" s="99"/>
      <c r="R809" s="100"/>
      <c r="S809" s="86"/>
      <c r="U809" s="48" t="str">
        <f t="shared" si="73"/>
        <v/>
      </c>
      <c r="V809" s="16"/>
      <c r="W809" s="34"/>
      <c r="X809" s="35"/>
    </row>
    <row r="810" spans="11:24">
      <c r="K810" s="85"/>
      <c r="L810" s="54" t="str">
        <f t="shared" si="71"/>
        <v>F</v>
      </c>
      <c r="M810" s="38" t="str">
        <f t="shared" si="74"/>
        <v/>
      </c>
      <c r="N810" s="69" t="str">
        <f t="shared" si="72"/>
        <v/>
      </c>
      <c r="O810" s="97"/>
      <c r="P810" s="98"/>
      <c r="Q810" s="99"/>
      <c r="R810" s="100"/>
      <c r="S810" s="86"/>
      <c r="U810" s="48" t="str">
        <f t="shared" si="73"/>
        <v/>
      </c>
      <c r="V810" s="16"/>
      <c r="W810" s="34"/>
      <c r="X810" s="35"/>
    </row>
    <row r="811" spans="11:24">
      <c r="K811" s="85"/>
      <c r="L811" s="54" t="str">
        <f t="shared" si="71"/>
        <v>F</v>
      </c>
      <c r="M811" s="38" t="str">
        <f t="shared" si="74"/>
        <v/>
      </c>
      <c r="N811" s="69" t="str">
        <f t="shared" si="72"/>
        <v/>
      </c>
      <c r="O811" s="97"/>
      <c r="P811" s="98"/>
      <c r="Q811" s="99"/>
      <c r="R811" s="100"/>
      <c r="S811" s="86"/>
      <c r="U811" s="48" t="str">
        <f t="shared" si="73"/>
        <v/>
      </c>
      <c r="V811" s="16"/>
      <c r="W811" s="34"/>
      <c r="X811" s="35"/>
    </row>
    <row r="812" spans="11:24">
      <c r="K812" s="85"/>
      <c r="L812" s="54" t="str">
        <f t="shared" si="71"/>
        <v>F</v>
      </c>
      <c r="M812" s="38" t="str">
        <f t="shared" si="74"/>
        <v/>
      </c>
      <c r="N812" s="69" t="str">
        <f t="shared" si="72"/>
        <v/>
      </c>
      <c r="O812" s="97"/>
      <c r="P812" s="98"/>
      <c r="Q812" s="99"/>
      <c r="R812" s="100"/>
      <c r="S812" s="86"/>
      <c r="U812" s="48" t="str">
        <f t="shared" si="73"/>
        <v/>
      </c>
      <c r="V812" s="16"/>
      <c r="W812" s="34"/>
      <c r="X812" s="35"/>
    </row>
    <row r="813" spans="11:24">
      <c r="K813" s="85"/>
      <c r="L813" s="54" t="str">
        <f t="shared" si="71"/>
        <v>F</v>
      </c>
      <c r="M813" s="38" t="str">
        <f t="shared" si="74"/>
        <v/>
      </c>
      <c r="N813" s="69" t="str">
        <f t="shared" si="72"/>
        <v/>
      </c>
      <c r="O813" s="97"/>
      <c r="P813" s="98"/>
      <c r="Q813" s="99"/>
      <c r="R813" s="100"/>
      <c r="S813" s="86"/>
      <c r="U813" s="48" t="str">
        <f t="shared" si="73"/>
        <v/>
      </c>
      <c r="V813" s="16"/>
      <c r="W813" s="34"/>
      <c r="X813" s="35"/>
    </row>
    <row r="814" spans="11:24">
      <c r="K814" s="85"/>
      <c r="L814" s="54" t="str">
        <f t="shared" si="71"/>
        <v>F</v>
      </c>
      <c r="M814" s="38" t="str">
        <f t="shared" si="74"/>
        <v/>
      </c>
      <c r="N814" s="69" t="str">
        <f t="shared" si="72"/>
        <v/>
      </c>
      <c r="O814" s="97"/>
      <c r="P814" s="98"/>
      <c r="Q814" s="99"/>
      <c r="R814" s="100"/>
      <c r="S814" s="86"/>
      <c r="U814" s="48" t="str">
        <f t="shared" si="73"/>
        <v/>
      </c>
      <c r="V814" s="16"/>
      <c r="W814" s="34"/>
      <c r="X814" s="35"/>
    </row>
    <row r="815" spans="11:24">
      <c r="K815" s="85"/>
      <c r="L815" s="54" t="str">
        <f t="shared" si="71"/>
        <v>F</v>
      </c>
      <c r="M815" s="38" t="str">
        <f t="shared" si="74"/>
        <v/>
      </c>
      <c r="N815" s="69" t="str">
        <f t="shared" si="72"/>
        <v/>
      </c>
      <c r="O815" s="97"/>
      <c r="P815" s="98"/>
      <c r="Q815" s="99"/>
      <c r="R815" s="100"/>
      <c r="S815" s="86"/>
      <c r="U815" s="48" t="str">
        <f t="shared" si="73"/>
        <v/>
      </c>
      <c r="V815" s="16"/>
      <c r="W815" s="34"/>
      <c r="X815" s="35"/>
    </row>
    <row r="816" spans="11:24">
      <c r="K816" s="85"/>
      <c r="L816" s="54" t="str">
        <f t="shared" si="71"/>
        <v>F</v>
      </c>
      <c r="M816" s="38" t="str">
        <f t="shared" si="74"/>
        <v/>
      </c>
      <c r="N816" s="69" t="str">
        <f t="shared" si="72"/>
        <v/>
      </c>
      <c r="O816" s="97"/>
      <c r="P816" s="98"/>
      <c r="Q816" s="99"/>
      <c r="R816" s="100"/>
      <c r="S816" s="86"/>
      <c r="U816" s="48" t="str">
        <f t="shared" si="73"/>
        <v/>
      </c>
      <c r="V816" s="16"/>
      <c r="W816" s="34"/>
      <c r="X816" s="35"/>
    </row>
    <row r="817" spans="11:24">
      <c r="K817" s="85"/>
      <c r="L817" s="54" t="str">
        <f t="shared" si="71"/>
        <v>F</v>
      </c>
      <c r="M817" s="38" t="str">
        <f t="shared" si="74"/>
        <v/>
      </c>
      <c r="N817" s="69" t="str">
        <f t="shared" si="72"/>
        <v/>
      </c>
      <c r="O817" s="97"/>
      <c r="P817" s="98"/>
      <c r="Q817" s="99"/>
      <c r="R817" s="100"/>
      <c r="S817" s="86"/>
      <c r="U817" s="48" t="str">
        <f t="shared" si="73"/>
        <v/>
      </c>
      <c r="V817" s="16"/>
      <c r="W817" s="34"/>
      <c r="X817" s="35"/>
    </row>
    <row r="818" spans="11:24">
      <c r="K818" s="85"/>
      <c r="L818" s="54" t="str">
        <f t="shared" si="71"/>
        <v>F</v>
      </c>
      <c r="M818" s="38" t="str">
        <f t="shared" si="74"/>
        <v/>
      </c>
      <c r="N818" s="69" t="str">
        <f t="shared" si="72"/>
        <v/>
      </c>
      <c r="O818" s="97"/>
      <c r="P818" s="98"/>
      <c r="Q818" s="99"/>
      <c r="R818" s="100"/>
      <c r="S818" s="86"/>
      <c r="U818" s="48" t="str">
        <f t="shared" si="73"/>
        <v/>
      </c>
      <c r="V818" s="16"/>
      <c r="W818" s="34"/>
      <c r="X818" s="35"/>
    </row>
    <row r="819" spans="11:24">
      <c r="K819" s="85"/>
      <c r="L819" s="54" t="str">
        <f t="shared" si="71"/>
        <v>F</v>
      </c>
      <c r="M819" s="38" t="str">
        <f t="shared" si="74"/>
        <v/>
      </c>
      <c r="N819" s="69" t="str">
        <f t="shared" si="72"/>
        <v/>
      </c>
      <c r="O819" s="97"/>
      <c r="P819" s="98"/>
      <c r="Q819" s="99"/>
      <c r="R819" s="100"/>
      <c r="S819" s="86"/>
      <c r="U819" s="48" t="str">
        <f t="shared" si="73"/>
        <v/>
      </c>
      <c r="V819" s="16"/>
      <c r="W819" s="34"/>
      <c r="X819" s="35"/>
    </row>
    <row r="820" spans="11:24">
      <c r="K820" s="85"/>
      <c r="L820" s="54" t="str">
        <f t="shared" si="71"/>
        <v>F</v>
      </c>
      <c r="M820" s="38" t="str">
        <f t="shared" si="74"/>
        <v/>
      </c>
      <c r="N820" s="69" t="str">
        <f t="shared" si="72"/>
        <v/>
      </c>
      <c r="O820" s="97"/>
      <c r="P820" s="98"/>
      <c r="Q820" s="99"/>
      <c r="R820" s="100"/>
      <c r="S820" s="86"/>
      <c r="U820" s="48" t="str">
        <f t="shared" si="73"/>
        <v/>
      </c>
      <c r="V820" s="16"/>
      <c r="W820" s="34"/>
      <c r="X820" s="35"/>
    </row>
    <row r="821" spans="11:24">
      <c r="K821" s="85"/>
      <c r="L821" s="54" t="str">
        <f t="shared" si="71"/>
        <v>F</v>
      </c>
      <c r="M821" s="38" t="str">
        <f t="shared" si="74"/>
        <v/>
      </c>
      <c r="N821" s="69" t="str">
        <f t="shared" si="72"/>
        <v/>
      </c>
      <c r="O821" s="97"/>
      <c r="P821" s="98"/>
      <c r="Q821" s="99"/>
      <c r="R821" s="100"/>
      <c r="S821" s="86"/>
      <c r="U821" s="48" t="str">
        <f t="shared" si="73"/>
        <v/>
      </c>
      <c r="V821" s="16"/>
      <c r="W821" s="34"/>
      <c r="X821" s="35"/>
    </row>
    <row r="822" spans="11:24">
      <c r="K822" s="85"/>
      <c r="L822" s="54" t="str">
        <f t="shared" si="71"/>
        <v>F</v>
      </c>
      <c r="M822" s="38" t="str">
        <f t="shared" si="74"/>
        <v/>
      </c>
      <c r="N822" s="69" t="str">
        <f t="shared" si="72"/>
        <v/>
      </c>
      <c r="O822" s="97"/>
      <c r="P822" s="98"/>
      <c r="Q822" s="99"/>
      <c r="R822" s="100"/>
      <c r="S822" s="86"/>
      <c r="U822" s="48" t="str">
        <f t="shared" si="73"/>
        <v/>
      </c>
      <c r="V822" s="16"/>
      <c r="W822" s="34"/>
      <c r="X822" s="35"/>
    </row>
    <row r="823" spans="11:24">
      <c r="K823" s="85"/>
      <c r="L823" s="54" t="str">
        <f t="shared" si="71"/>
        <v>F</v>
      </c>
      <c r="M823" s="38" t="str">
        <f t="shared" si="74"/>
        <v/>
      </c>
      <c r="N823" s="69" t="str">
        <f t="shared" si="72"/>
        <v/>
      </c>
      <c r="O823" s="97"/>
      <c r="P823" s="98"/>
      <c r="Q823" s="99"/>
      <c r="R823" s="100"/>
      <c r="S823" s="86"/>
      <c r="U823" s="48" t="str">
        <f t="shared" si="73"/>
        <v/>
      </c>
      <c r="V823" s="16"/>
      <c r="W823" s="34"/>
      <c r="X823" s="35"/>
    </row>
    <row r="824" spans="11:24">
      <c r="K824" s="85"/>
      <c r="L824" s="54" t="str">
        <f t="shared" si="71"/>
        <v>F</v>
      </c>
      <c r="M824" s="38" t="str">
        <f t="shared" si="74"/>
        <v/>
      </c>
      <c r="N824" s="69" t="str">
        <f t="shared" si="72"/>
        <v/>
      </c>
      <c r="O824" s="97"/>
      <c r="P824" s="98"/>
      <c r="Q824" s="99"/>
      <c r="R824" s="100"/>
      <c r="S824" s="86"/>
      <c r="U824" s="48" t="str">
        <f t="shared" si="73"/>
        <v/>
      </c>
      <c r="V824" s="16"/>
      <c r="W824" s="34"/>
      <c r="X824" s="35"/>
    </row>
    <row r="825" spans="11:24">
      <c r="K825" s="85"/>
      <c r="L825" s="54" t="str">
        <f t="shared" si="71"/>
        <v>F</v>
      </c>
      <c r="M825" s="38" t="str">
        <f t="shared" si="74"/>
        <v/>
      </c>
      <c r="N825" s="69" t="str">
        <f t="shared" si="72"/>
        <v/>
      </c>
      <c r="O825" s="97"/>
      <c r="P825" s="98"/>
      <c r="Q825" s="99"/>
      <c r="R825" s="100"/>
      <c r="S825" s="86"/>
      <c r="U825" s="48" t="str">
        <f t="shared" si="73"/>
        <v/>
      </c>
      <c r="V825" s="16"/>
      <c r="W825" s="34"/>
      <c r="X825" s="35"/>
    </row>
    <row r="826" spans="11:24">
      <c r="K826" s="85"/>
      <c r="L826" s="54" t="str">
        <f t="shared" si="71"/>
        <v>F</v>
      </c>
      <c r="M826" s="38" t="str">
        <f t="shared" si="74"/>
        <v/>
      </c>
      <c r="N826" s="69" t="str">
        <f t="shared" si="72"/>
        <v/>
      </c>
      <c r="O826" s="97"/>
      <c r="P826" s="98"/>
      <c r="Q826" s="99"/>
      <c r="R826" s="100"/>
      <c r="S826" s="86"/>
      <c r="U826" s="48" t="str">
        <f t="shared" si="73"/>
        <v/>
      </c>
      <c r="V826" s="16"/>
      <c r="W826" s="34"/>
      <c r="X826" s="35"/>
    </row>
    <row r="827" spans="11:24">
      <c r="K827" s="85"/>
      <c r="L827" s="54" t="str">
        <f t="shared" si="71"/>
        <v>F</v>
      </c>
      <c r="M827" s="38" t="str">
        <f t="shared" si="74"/>
        <v/>
      </c>
      <c r="N827" s="69" t="str">
        <f t="shared" si="72"/>
        <v/>
      </c>
      <c r="O827" s="97"/>
      <c r="P827" s="98"/>
      <c r="Q827" s="99"/>
      <c r="R827" s="100"/>
      <c r="S827" s="86"/>
      <c r="U827" s="48" t="str">
        <f t="shared" si="73"/>
        <v/>
      </c>
      <c r="V827" s="16"/>
      <c r="W827" s="34"/>
      <c r="X827" s="35"/>
    </row>
    <row r="828" spans="11:24">
      <c r="K828" s="85"/>
      <c r="L828" s="54" t="str">
        <f t="shared" si="71"/>
        <v>F</v>
      </c>
      <c r="M828" s="38" t="str">
        <f t="shared" si="74"/>
        <v/>
      </c>
      <c r="N828" s="69" t="str">
        <f t="shared" si="72"/>
        <v/>
      </c>
      <c r="O828" s="97"/>
      <c r="P828" s="98"/>
      <c r="Q828" s="99"/>
      <c r="R828" s="100"/>
      <c r="S828" s="86"/>
      <c r="U828" s="48" t="str">
        <f t="shared" si="73"/>
        <v/>
      </c>
      <c r="V828" s="16"/>
      <c r="W828" s="34"/>
      <c r="X828" s="35"/>
    </row>
    <row r="829" spans="11:24">
      <c r="K829" s="85"/>
      <c r="L829" s="54" t="str">
        <f t="shared" si="71"/>
        <v>F</v>
      </c>
      <c r="M829" s="38" t="str">
        <f t="shared" si="74"/>
        <v/>
      </c>
      <c r="N829" s="69" t="str">
        <f t="shared" si="72"/>
        <v/>
      </c>
      <c r="O829" s="97"/>
      <c r="P829" s="98"/>
      <c r="Q829" s="99"/>
      <c r="R829" s="100"/>
      <c r="S829" s="86"/>
      <c r="U829" s="48" t="str">
        <f t="shared" si="73"/>
        <v/>
      </c>
      <c r="V829" s="16"/>
      <c r="W829" s="34"/>
      <c r="X829" s="35"/>
    </row>
    <row r="830" spans="11:24">
      <c r="K830" s="85"/>
      <c r="L830" s="54" t="str">
        <f t="shared" si="71"/>
        <v>F</v>
      </c>
      <c r="M830" s="38" t="str">
        <f t="shared" si="74"/>
        <v/>
      </c>
      <c r="N830" s="69" t="str">
        <f t="shared" si="72"/>
        <v/>
      </c>
      <c r="O830" s="97"/>
      <c r="P830" s="98"/>
      <c r="Q830" s="99"/>
      <c r="R830" s="100"/>
      <c r="S830" s="86"/>
      <c r="U830" s="48" t="str">
        <f t="shared" si="73"/>
        <v/>
      </c>
      <c r="V830" s="16"/>
      <c r="W830" s="34"/>
      <c r="X830" s="35"/>
    </row>
    <row r="831" spans="11:24">
      <c r="K831" s="85"/>
      <c r="L831" s="54" t="str">
        <f t="shared" si="71"/>
        <v>F</v>
      </c>
      <c r="M831" s="38" t="str">
        <f t="shared" si="74"/>
        <v/>
      </c>
      <c r="N831" s="69" t="str">
        <f t="shared" si="72"/>
        <v/>
      </c>
      <c r="O831" s="97"/>
      <c r="P831" s="98"/>
      <c r="Q831" s="99"/>
      <c r="R831" s="100"/>
      <c r="S831" s="86"/>
      <c r="U831" s="48" t="str">
        <f t="shared" si="73"/>
        <v/>
      </c>
      <c r="V831" s="16"/>
      <c r="W831" s="34"/>
      <c r="X831" s="35"/>
    </row>
    <row r="832" spans="11:24">
      <c r="K832" s="85"/>
      <c r="L832" s="54" t="str">
        <f t="shared" si="71"/>
        <v>F</v>
      </c>
      <c r="M832" s="38" t="str">
        <f t="shared" si="74"/>
        <v/>
      </c>
      <c r="N832" s="69" t="str">
        <f t="shared" si="72"/>
        <v/>
      </c>
      <c r="O832" s="97"/>
      <c r="P832" s="98"/>
      <c r="Q832" s="99"/>
      <c r="R832" s="100"/>
      <c r="S832" s="86"/>
      <c r="U832" s="48" t="str">
        <f t="shared" si="73"/>
        <v/>
      </c>
      <c r="V832" s="16"/>
      <c r="W832" s="34"/>
      <c r="X832" s="35"/>
    </row>
    <row r="833" spans="11:24">
      <c r="K833" s="85"/>
      <c r="L833" s="54" t="str">
        <f t="shared" si="71"/>
        <v>F</v>
      </c>
      <c r="M833" s="38" t="str">
        <f t="shared" si="74"/>
        <v/>
      </c>
      <c r="N833" s="69" t="str">
        <f t="shared" si="72"/>
        <v/>
      </c>
      <c r="O833" s="97"/>
      <c r="P833" s="98"/>
      <c r="Q833" s="99"/>
      <c r="R833" s="100"/>
      <c r="S833" s="86"/>
      <c r="U833" s="48" t="str">
        <f t="shared" si="73"/>
        <v/>
      </c>
      <c r="V833" s="16"/>
      <c r="W833" s="34"/>
      <c r="X833" s="35"/>
    </row>
    <row r="834" spans="11:24">
      <c r="K834" s="85"/>
      <c r="L834" s="54" t="str">
        <f t="shared" si="71"/>
        <v>F</v>
      </c>
      <c r="M834" s="38" t="str">
        <f t="shared" si="74"/>
        <v/>
      </c>
      <c r="N834" s="69" t="str">
        <f t="shared" si="72"/>
        <v/>
      </c>
      <c r="O834" s="97"/>
      <c r="P834" s="98"/>
      <c r="Q834" s="99"/>
      <c r="R834" s="100"/>
      <c r="S834" s="86"/>
      <c r="U834" s="48" t="str">
        <f t="shared" si="73"/>
        <v/>
      </c>
      <c r="V834" s="16"/>
      <c r="W834" s="34"/>
      <c r="X834" s="35"/>
    </row>
    <row r="835" spans="11:24">
      <c r="K835" s="85"/>
      <c r="L835" s="54" t="str">
        <f t="shared" si="71"/>
        <v>F</v>
      </c>
      <c r="M835" s="38" t="str">
        <f t="shared" si="74"/>
        <v/>
      </c>
      <c r="N835" s="69" t="str">
        <f t="shared" si="72"/>
        <v/>
      </c>
      <c r="O835" s="97"/>
      <c r="P835" s="98"/>
      <c r="Q835" s="99"/>
      <c r="R835" s="100"/>
      <c r="S835" s="86"/>
      <c r="U835" s="48" t="str">
        <f t="shared" si="73"/>
        <v/>
      </c>
      <c r="V835" s="16"/>
      <c r="W835" s="34"/>
      <c r="X835" s="35"/>
    </row>
    <row r="836" spans="11:24">
      <c r="K836" s="85"/>
      <c r="L836" s="54" t="str">
        <f t="shared" si="71"/>
        <v>F</v>
      </c>
      <c r="M836" s="38" t="str">
        <f t="shared" si="74"/>
        <v/>
      </c>
      <c r="N836" s="69" t="str">
        <f t="shared" si="72"/>
        <v/>
      </c>
      <c r="O836" s="97"/>
      <c r="P836" s="98"/>
      <c r="Q836" s="99"/>
      <c r="R836" s="100"/>
      <c r="S836" s="86"/>
      <c r="U836" s="48" t="str">
        <f t="shared" si="73"/>
        <v/>
      </c>
      <c r="V836" s="16"/>
      <c r="W836" s="34"/>
      <c r="X836" s="35"/>
    </row>
    <row r="837" spans="11:24">
      <c r="K837" s="85"/>
      <c r="L837" s="54" t="str">
        <f t="shared" si="71"/>
        <v>F</v>
      </c>
      <c r="M837" s="38" t="str">
        <f t="shared" si="74"/>
        <v/>
      </c>
      <c r="N837" s="69" t="str">
        <f t="shared" si="72"/>
        <v/>
      </c>
      <c r="O837" s="97"/>
      <c r="P837" s="98"/>
      <c r="Q837" s="99"/>
      <c r="R837" s="100"/>
      <c r="S837" s="86"/>
      <c r="U837" s="48" t="str">
        <f t="shared" si="73"/>
        <v/>
      </c>
      <c r="V837" s="16"/>
      <c r="W837" s="34"/>
      <c r="X837" s="35"/>
    </row>
    <row r="838" spans="11:24">
      <c r="K838" s="85"/>
      <c r="L838" s="54" t="str">
        <f t="shared" si="71"/>
        <v>F</v>
      </c>
      <c r="M838" s="38" t="str">
        <f t="shared" si="74"/>
        <v/>
      </c>
      <c r="N838" s="69" t="str">
        <f t="shared" si="72"/>
        <v/>
      </c>
      <c r="O838" s="97"/>
      <c r="P838" s="98"/>
      <c r="Q838" s="99"/>
      <c r="R838" s="100"/>
      <c r="S838" s="86"/>
      <c r="U838" s="48" t="str">
        <f t="shared" si="73"/>
        <v/>
      </c>
      <c r="V838" s="16"/>
      <c r="W838" s="34"/>
      <c r="X838" s="35"/>
    </row>
    <row r="839" spans="11:24">
      <c r="K839" s="85"/>
      <c r="L839" s="54" t="str">
        <f t="shared" si="71"/>
        <v>F</v>
      </c>
      <c r="M839" s="38" t="str">
        <f t="shared" si="74"/>
        <v/>
      </c>
      <c r="N839" s="69" t="str">
        <f t="shared" si="72"/>
        <v/>
      </c>
      <c r="O839" s="97"/>
      <c r="P839" s="98"/>
      <c r="Q839" s="99"/>
      <c r="R839" s="100"/>
      <c r="S839" s="86"/>
      <c r="U839" s="48" t="str">
        <f t="shared" si="73"/>
        <v/>
      </c>
      <c r="V839" s="16"/>
      <c r="W839" s="34"/>
      <c r="X839" s="35"/>
    </row>
    <row r="840" spans="11:24">
      <c r="K840" s="85"/>
      <c r="L840" s="54" t="str">
        <f t="shared" si="71"/>
        <v>F</v>
      </c>
      <c r="M840" s="38" t="str">
        <f t="shared" si="74"/>
        <v/>
      </c>
      <c r="N840" s="69" t="str">
        <f t="shared" si="72"/>
        <v/>
      </c>
      <c r="O840" s="97"/>
      <c r="P840" s="98"/>
      <c r="Q840" s="99"/>
      <c r="R840" s="100"/>
      <c r="S840" s="86"/>
      <c r="U840" s="48" t="str">
        <f t="shared" si="73"/>
        <v/>
      </c>
      <c r="V840" s="16"/>
      <c r="W840" s="34"/>
      <c r="X840" s="35"/>
    </row>
    <row r="841" spans="11:24">
      <c r="K841" s="85"/>
      <c r="L841" s="54" t="str">
        <f t="shared" ref="L841:L904" si="75">IF(UPPER(P841)="EQU","E",IF(P841="DB","D",IF(O841&lt;&gt;"","L",IF(N841="","F",""))))</f>
        <v>F</v>
      </c>
      <c r="M841" s="38" t="str">
        <f t="shared" si="74"/>
        <v/>
      </c>
      <c r="N841" s="69" t="str">
        <f t="shared" ref="N841:N904" si="76">IFERROR(IF(N840+1&lt;=HEX2DEC(MemSize)+HEX2DEC(MemStart),N840+1,""),"")</f>
        <v/>
      </c>
      <c r="O841" s="97"/>
      <c r="P841" s="98"/>
      <c r="Q841" s="99"/>
      <c r="R841" s="100"/>
      <c r="S841" s="86"/>
      <c r="U841" s="48" t="str">
        <f t="shared" ref="U841:U904" si="77">IF(V841&gt;0,RIGHT("0000"&amp;DEC2HEX(V841),4),"")</f>
        <v/>
      </c>
      <c r="V841" s="16"/>
      <c r="W841" s="34"/>
      <c r="X841" s="35"/>
    </row>
    <row r="842" spans="11:24">
      <c r="K842" s="85"/>
      <c r="L842" s="54" t="str">
        <f t="shared" si="75"/>
        <v>F</v>
      </c>
      <c r="M842" s="38" t="str">
        <f t="shared" si="74"/>
        <v/>
      </c>
      <c r="N842" s="69" t="str">
        <f t="shared" si="76"/>
        <v/>
      </c>
      <c r="O842" s="97"/>
      <c r="P842" s="98"/>
      <c r="Q842" s="99"/>
      <c r="R842" s="100"/>
      <c r="S842" s="86"/>
      <c r="U842" s="48" t="str">
        <f t="shared" si="77"/>
        <v/>
      </c>
      <c r="V842" s="16"/>
      <c r="W842" s="34"/>
      <c r="X842" s="35"/>
    </row>
    <row r="843" spans="11:24">
      <c r="K843" s="85"/>
      <c r="L843" s="54" t="str">
        <f t="shared" si="75"/>
        <v>F</v>
      </c>
      <c r="M843" s="38" t="str">
        <f t="shared" si="74"/>
        <v/>
      </c>
      <c r="N843" s="69" t="str">
        <f t="shared" si="76"/>
        <v/>
      </c>
      <c r="O843" s="97"/>
      <c r="P843" s="98"/>
      <c r="Q843" s="99"/>
      <c r="R843" s="100"/>
      <c r="S843" s="86"/>
      <c r="U843" s="48" t="str">
        <f t="shared" si="77"/>
        <v/>
      </c>
      <c r="V843" s="16"/>
      <c r="W843" s="34"/>
      <c r="X843" s="35"/>
    </row>
    <row r="844" spans="11:24">
      <c r="K844" s="85"/>
      <c r="L844" s="54" t="str">
        <f t="shared" si="75"/>
        <v>F</v>
      </c>
      <c r="M844" s="38" t="str">
        <f t="shared" si="74"/>
        <v/>
      </c>
      <c r="N844" s="69" t="str">
        <f t="shared" si="76"/>
        <v/>
      </c>
      <c r="O844" s="97"/>
      <c r="P844" s="98"/>
      <c r="Q844" s="99"/>
      <c r="R844" s="100"/>
      <c r="S844" s="86"/>
      <c r="U844" s="48" t="str">
        <f t="shared" si="77"/>
        <v/>
      </c>
      <c r="V844" s="16"/>
      <c r="W844" s="34"/>
      <c r="X844" s="35"/>
    </row>
    <row r="845" spans="11:24">
      <c r="K845" s="85"/>
      <c r="L845" s="54" t="str">
        <f t="shared" si="75"/>
        <v>F</v>
      </c>
      <c r="M845" s="38" t="str">
        <f t="shared" si="74"/>
        <v/>
      </c>
      <c r="N845" s="69" t="str">
        <f t="shared" si="76"/>
        <v/>
      </c>
      <c r="O845" s="97"/>
      <c r="P845" s="98"/>
      <c r="Q845" s="99"/>
      <c r="R845" s="100"/>
      <c r="S845" s="86"/>
      <c r="U845" s="48" t="str">
        <f t="shared" si="77"/>
        <v/>
      </c>
      <c r="V845" s="16"/>
      <c r="W845" s="34"/>
      <c r="X845" s="35"/>
    </row>
    <row r="846" spans="11:24">
      <c r="K846" s="85"/>
      <c r="L846" s="54" t="str">
        <f t="shared" si="75"/>
        <v>F</v>
      </c>
      <c r="M846" s="38" t="str">
        <f t="shared" si="74"/>
        <v/>
      </c>
      <c r="N846" s="69" t="str">
        <f t="shared" si="76"/>
        <v/>
      </c>
      <c r="O846" s="97"/>
      <c r="P846" s="98"/>
      <c r="Q846" s="99"/>
      <c r="R846" s="100"/>
      <c r="S846" s="86"/>
      <c r="U846" s="48" t="str">
        <f t="shared" si="77"/>
        <v/>
      </c>
      <c r="V846" s="16"/>
      <c r="W846" s="34"/>
      <c r="X846" s="35"/>
    </row>
    <row r="847" spans="11:24">
      <c r="K847" s="85"/>
      <c r="L847" s="54" t="str">
        <f t="shared" si="75"/>
        <v>F</v>
      </c>
      <c r="M847" s="38" t="str">
        <f t="shared" si="74"/>
        <v/>
      </c>
      <c r="N847" s="69" t="str">
        <f t="shared" si="76"/>
        <v/>
      </c>
      <c r="O847" s="97"/>
      <c r="P847" s="98"/>
      <c r="Q847" s="99"/>
      <c r="R847" s="100"/>
      <c r="S847" s="86"/>
      <c r="U847" s="48" t="str">
        <f t="shared" si="77"/>
        <v/>
      </c>
      <c r="V847" s="16"/>
      <c r="W847" s="34"/>
      <c r="X847" s="35"/>
    </row>
    <row r="848" spans="11:24">
      <c r="K848" s="85"/>
      <c r="L848" s="54" t="str">
        <f t="shared" si="75"/>
        <v>F</v>
      </c>
      <c r="M848" s="38" t="str">
        <f t="shared" si="74"/>
        <v/>
      </c>
      <c r="N848" s="69" t="str">
        <f t="shared" si="76"/>
        <v/>
      </c>
      <c r="O848" s="97"/>
      <c r="P848" s="98"/>
      <c r="Q848" s="99"/>
      <c r="R848" s="100"/>
      <c r="S848" s="86"/>
      <c r="U848" s="48" t="str">
        <f t="shared" si="77"/>
        <v/>
      </c>
      <c r="V848" s="16"/>
      <c r="W848" s="34"/>
      <c r="X848" s="35"/>
    </row>
    <row r="849" spans="11:24">
      <c r="K849" s="85"/>
      <c r="L849" s="54" t="str">
        <f t="shared" si="75"/>
        <v>F</v>
      </c>
      <c r="M849" s="38" t="str">
        <f t="shared" si="74"/>
        <v/>
      </c>
      <c r="N849" s="69" t="str">
        <f t="shared" si="76"/>
        <v/>
      </c>
      <c r="O849" s="97"/>
      <c r="P849" s="98"/>
      <c r="Q849" s="99"/>
      <c r="R849" s="100"/>
      <c r="S849" s="86"/>
      <c r="U849" s="48" t="str">
        <f t="shared" si="77"/>
        <v/>
      </c>
      <c r="V849" s="16"/>
      <c r="W849" s="34"/>
      <c r="X849" s="35"/>
    </row>
    <row r="850" spans="11:24">
      <c r="K850" s="85"/>
      <c r="L850" s="54" t="str">
        <f t="shared" si="75"/>
        <v>F</v>
      </c>
      <c r="M850" s="38" t="str">
        <f t="shared" si="74"/>
        <v/>
      </c>
      <c r="N850" s="69" t="str">
        <f t="shared" si="76"/>
        <v/>
      </c>
      <c r="O850" s="97"/>
      <c r="P850" s="98"/>
      <c r="Q850" s="99"/>
      <c r="R850" s="100"/>
      <c r="S850" s="86"/>
      <c r="U850" s="48" t="str">
        <f t="shared" si="77"/>
        <v/>
      </c>
      <c r="V850" s="16"/>
      <c r="W850" s="34"/>
      <c r="X850" s="35"/>
    </row>
    <row r="851" spans="11:24">
      <c r="K851" s="85"/>
      <c r="L851" s="54" t="str">
        <f t="shared" si="75"/>
        <v>F</v>
      </c>
      <c r="M851" s="38" t="str">
        <f t="shared" si="74"/>
        <v/>
      </c>
      <c r="N851" s="69" t="str">
        <f t="shared" si="76"/>
        <v/>
      </c>
      <c r="O851" s="97"/>
      <c r="P851" s="98"/>
      <c r="Q851" s="99"/>
      <c r="R851" s="100"/>
      <c r="S851" s="86"/>
      <c r="U851" s="48" t="str">
        <f t="shared" si="77"/>
        <v/>
      </c>
      <c r="V851" s="16"/>
      <c r="W851" s="34"/>
      <c r="X851" s="35"/>
    </row>
    <row r="852" spans="11:24">
      <c r="K852" s="85"/>
      <c r="L852" s="54" t="str">
        <f t="shared" si="75"/>
        <v>F</v>
      </c>
      <c r="M852" s="38" t="str">
        <f t="shared" si="74"/>
        <v/>
      </c>
      <c r="N852" s="69" t="str">
        <f t="shared" si="76"/>
        <v/>
      </c>
      <c r="O852" s="97"/>
      <c r="P852" s="98"/>
      <c r="Q852" s="99"/>
      <c r="R852" s="100"/>
      <c r="S852" s="86"/>
      <c r="U852" s="48" t="str">
        <f t="shared" si="77"/>
        <v/>
      </c>
      <c r="V852" s="16"/>
      <c r="W852" s="34"/>
      <c r="X852" s="35"/>
    </row>
    <row r="853" spans="11:24">
      <c r="K853" s="85"/>
      <c r="L853" s="54" t="str">
        <f t="shared" si="75"/>
        <v>F</v>
      </c>
      <c r="M853" s="38" t="str">
        <f t="shared" si="74"/>
        <v/>
      </c>
      <c r="N853" s="69" t="str">
        <f t="shared" si="76"/>
        <v/>
      </c>
      <c r="O853" s="97"/>
      <c r="P853" s="98"/>
      <c r="Q853" s="99"/>
      <c r="R853" s="100"/>
      <c r="S853" s="86"/>
      <c r="U853" s="48" t="str">
        <f t="shared" si="77"/>
        <v/>
      </c>
      <c r="V853" s="16"/>
      <c r="W853" s="34"/>
      <c r="X853" s="35"/>
    </row>
    <row r="854" spans="11:24">
      <c r="K854" s="85"/>
      <c r="L854" s="54" t="str">
        <f t="shared" si="75"/>
        <v>F</v>
      </c>
      <c r="M854" s="38" t="str">
        <f t="shared" si="74"/>
        <v/>
      </c>
      <c r="N854" s="69" t="str">
        <f t="shared" si="76"/>
        <v/>
      </c>
      <c r="O854" s="97"/>
      <c r="P854" s="98"/>
      <c r="Q854" s="99"/>
      <c r="R854" s="100"/>
      <c r="S854" s="86"/>
      <c r="U854" s="48" t="str">
        <f t="shared" si="77"/>
        <v/>
      </c>
      <c r="V854" s="16"/>
      <c r="W854" s="34"/>
      <c r="X854" s="35"/>
    </row>
    <row r="855" spans="11:24">
      <c r="K855" s="85"/>
      <c r="L855" s="54" t="str">
        <f t="shared" si="75"/>
        <v>F</v>
      </c>
      <c r="M855" s="38" t="str">
        <f t="shared" si="74"/>
        <v/>
      </c>
      <c r="N855" s="69" t="str">
        <f t="shared" si="76"/>
        <v/>
      </c>
      <c r="O855" s="97"/>
      <c r="P855" s="98"/>
      <c r="Q855" s="99"/>
      <c r="R855" s="100"/>
      <c r="S855" s="86"/>
      <c r="U855" s="48" t="str">
        <f t="shared" si="77"/>
        <v/>
      </c>
      <c r="V855" s="16"/>
      <c r="W855" s="34"/>
      <c r="X855" s="35"/>
    </row>
    <row r="856" spans="11:24">
      <c r="K856" s="85"/>
      <c r="L856" s="54" t="str">
        <f t="shared" si="75"/>
        <v>F</v>
      </c>
      <c r="M856" s="38" t="str">
        <f t="shared" si="74"/>
        <v/>
      </c>
      <c r="N856" s="69" t="str">
        <f t="shared" si="76"/>
        <v/>
      </c>
      <c r="O856" s="97"/>
      <c r="P856" s="98"/>
      <c r="Q856" s="99"/>
      <c r="R856" s="100"/>
      <c r="S856" s="86"/>
      <c r="U856" s="48" t="str">
        <f t="shared" si="77"/>
        <v/>
      </c>
      <c r="V856" s="16"/>
      <c r="W856" s="34"/>
      <c r="X856" s="35"/>
    </row>
    <row r="857" spans="11:24">
      <c r="K857" s="85"/>
      <c r="L857" s="54" t="str">
        <f t="shared" si="75"/>
        <v>F</v>
      </c>
      <c r="M857" s="38" t="str">
        <f t="shared" si="74"/>
        <v/>
      </c>
      <c r="N857" s="69" t="str">
        <f t="shared" si="76"/>
        <v/>
      </c>
      <c r="O857" s="97"/>
      <c r="P857" s="98"/>
      <c r="Q857" s="99"/>
      <c r="R857" s="100"/>
      <c r="S857" s="86"/>
      <c r="U857" s="48" t="str">
        <f t="shared" si="77"/>
        <v/>
      </c>
      <c r="V857" s="16"/>
      <c r="W857" s="34"/>
      <c r="X857" s="35"/>
    </row>
    <row r="858" spans="11:24">
      <c r="K858" s="85"/>
      <c r="L858" s="54" t="str">
        <f t="shared" si="75"/>
        <v>F</v>
      </c>
      <c r="M858" s="38" t="str">
        <f t="shared" si="74"/>
        <v/>
      </c>
      <c r="N858" s="69" t="str">
        <f t="shared" si="76"/>
        <v/>
      </c>
      <c r="O858" s="97"/>
      <c r="P858" s="98"/>
      <c r="Q858" s="99"/>
      <c r="R858" s="100"/>
      <c r="S858" s="86"/>
      <c r="U858" s="48" t="str">
        <f t="shared" si="77"/>
        <v/>
      </c>
      <c r="V858" s="16"/>
      <c r="W858" s="34"/>
      <c r="X858" s="35"/>
    </row>
    <row r="859" spans="11:24">
      <c r="K859" s="85"/>
      <c r="L859" s="54" t="str">
        <f t="shared" si="75"/>
        <v>F</v>
      </c>
      <c r="M859" s="38" t="str">
        <f t="shared" si="74"/>
        <v/>
      </c>
      <c r="N859" s="69" t="str">
        <f t="shared" si="76"/>
        <v/>
      </c>
      <c r="O859" s="97"/>
      <c r="P859" s="98"/>
      <c r="Q859" s="99"/>
      <c r="R859" s="100"/>
      <c r="S859" s="86"/>
      <c r="U859" s="48" t="str">
        <f t="shared" si="77"/>
        <v/>
      </c>
      <c r="V859" s="16"/>
      <c r="W859" s="34"/>
      <c r="X859" s="35"/>
    </row>
    <row r="860" spans="11:24">
      <c r="K860" s="85"/>
      <c r="L860" s="54" t="str">
        <f t="shared" si="75"/>
        <v>F</v>
      </c>
      <c r="M860" s="38" t="str">
        <f t="shared" si="74"/>
        <v/>
      </c>
      <c r="N860" s="69" t="str">
        <f t="shared" si="76"/>
        <v/>
      </c>
      <c r="O860" s="97"/>
      <c r="P860" s="98"/>
      <c r="Q860" s="99"/>
      <c r="R860" s="100"/>
      <c r="S860" s="86"/>
      <c r="U860" s="48" t="str">
        <f t="shared" si="77"/>
        <v/>
      </c>
      <c r="V860" s="16"/>
      <c r="W860" s="34"/>
      <c r="X860" s="35"/>
    </row>
    <row r="861" spans="11:24">
      <c r="K861" s="85"/>
      <c r="L861" s="54" t="str">
        <f t="shared" si="75"/>
        <v>F</v>
      </c>
      <c r="M861" s="38" t="str">
        <f t="shared" ref="M861:M924" si="78">IFERROR(RIGHT("0000"&amp;DEC2HEX(N861),4),"")</f>
        <v/>
      </c>
      <c r="N861" s="69" t="str">
        <f t="shared" si="76"/>
        <v/>
      </c>
      <c r="O861" s="97"/>
      <c r="P861" s="98"/>
      <c r="Q861" s="99"/>
      <c r="R861" s="100"/>
      <c r="S861" s="86"/>
      <c r="U861" s="48" t="str">
        <f t="shared" si="77"/>
        <v/>
      </c>
      <c r="V861" s="16"/>
      <c r="W861" s="34"/>
      <c r="X861" s="35"/>
    </row>
    <row r="862" spans="11:24">
      <c r="K862" s="85"/>
      <c r="L862" s="54" t="str">
        <f t="shared" si="75"/>
        <v>F</v>
      </c>
      <c r="M862" s="38" t="str">
        <f t="shared" si="78"/>
        <v/>
      </c>
      <c r="N862" s="69" t="str">
        <f t="shared" si="76"/>
        <v/>
      </c>
      <c r="O862" s="97"/>
      <c r="P862" s="98"/>
      <c r="Q862" s="99"/>
      <c r="R862" s="100"/>
      <c r="S862" s="86"/>
      <c r="U862" s="48" t="str">
        <f t="shared" si="77"/>
        <v/>
      </c>
      <c r="V862" s="16"/>
      <c r="W862" s="34"/>
      <c r="X862" s="35"/>
    </row>
    <row r="863" spans="11:24">
      <c r="K863" s="85"/>
      <c r="L863" s="54" t="str">
        <f t="shared" si="75"/>
        <v>F</v>
      </c>
      <c r="M863" s="38" t="str">
        <f t="shared" si="78"/>
        <v/>
      </c>
      <c r="N863" s="69" t="str">
        <f t="shared" si="76"/>
        <v/>
      </c>
      <c r="O863" s="97"/>
      <c r="P863" s="98"/>
      <c r="Q863" s="99"/>
      <c r="R863" s="100"/>
      <c r="S863" s="86"/>
      <c r="U863" s="48" t="str">
        <f t="shared" si="77"/>
        <v/>
      </c>
      <c r="V863" s="16"/>
      <c r="W863" s="34"/>
      <c r="X863" s="35"/>
    </row>
    <row r="864" spans="11:24">
      <c r="K864" s="85"/>
      <c r="L864" s="54" t="str">
        <f t="shared" si="75"/>
        <v>F</v>
      </c>
      <c r="M864" s="38" t="str">
        <f t="shared" si="78"/>
        <v/>
      </c>
      <c r="N864" s="69" t="str">
        <f t="shared" si="76"/>
        <v/>
      </c>
      <c r="O864" s="97"/>
      <c r="P864" s="98"/>
      <c r="Q864" s="99"/>
      <c r="R864" s="100"/>
      <c r="S864" s="86"/>
      <c r="U864" s="48" t="str">
        <f t="shared" si="77"/>
        <v/>
      </c>
      <c r="V864" s="16"/>
      <c r="W864" s="34"/>
      <c r="X864" s="35"/>
    </row>
    <row r="865" spans="11:24">
      <c r="K865" s="85"/>
      <c r="L865" s="54" t="str">
        <f t="shared" si="75"/>
        <v>F</v>
      </c>
      <c r="M865" s="38" t="str">
        <f t="shared" si="78"/>
        <v/>
      </c>
      <c r="N865" s="69" t="str">
        <f t="shared" si="76"/>
        <v/>
      </c>
      <c r="O865" s="97"/>
      <c r="P865" s="98"/>
      <c r="Q865" s="99"/>
      <c r="R865" s="100"/>
      <c r="S865" s="86"/>
      <c r="U865" s="48" t="str">
        <f t="shared" si="77"/>
        <v/>
      </c>
      <c r="V865" s="16"/>
      <c r="W865" s="34"/>
      <c r="X865" s="35"/>
    </row>
    <row r="866" spans="11:24">
      <c r="K866" s="85"/>
      <c r="L866" s="54" t="str">
        <f t="shared" si="75"/>
        <v>F</v>
      </c>
      <c r="M866" s="38" t="str">
        <f t="shared" si="78"/>
        <v/>
      </c>
      <c r="N866" s="69" t="str">
        <f t="shared" si="76"/>
        <v/>
      </c>
      <c r="O866" s="97"/>
      <c r="P866" s="98"/>
      <c r="Q866" s="99"/>
      <c r="R866" s="100"/>
      <c r="S866" s="86"/>
      <c r="U866" s="48" t="str">
        <f t="shared" si="77"/>
        <v/>
      </c>
      <c r="V866" s="16"/>
      <c r="W866" s="34"/>
      <c r="X866" s="35"/>
    </row>
    <row r="867" spans="11:24">
      <c r="K867" s="85"/>
      <c r="L867" s="54" t="str">
        <f t="shared" si="75"/>
        <v>F</v>
      </c>
      <c r="M867" s="38" t="str">
        <f t="shared" si="78"/>
        <v/>
      </c>
      <c r="N867" s="69" t="str">
        <f t="shared" si="76"/>
        <v/>
      </c>
      <c r="O867" s="97"/>
      <c r="P867" s="98"/>
      <c r="Q867" s="99"/>
      <c r="R867" s="100"/>
      <c r="S867" s="86"/>
      <c r="U867" s="48" t="str">
        <f t="shared" si="77"/>
        <v/>
      </c>
      <c r="V867" s="16"/>
      <c r="W867" s="34"/>
      <c r="X867" s="35"/>
    </row>
    <row r="868" spans="11:24">
      <c r="K868" s="85"/>
      <c r="L868" s="54" t="str">
        <f t="shared" si="75"/>
        <v>F</v>
      </c>
      <c r="M868" s="38" t="str">
        <f t="shared" si="78"/>
        <v/>
      </c>
      <c r="N868" s="69" t="str">
        <f t="shared" si="76"/>
        <v/>
      </c>
      <c r="O868" s="97"/>
      <c r="P868" s="98"/>
      <c r="Q868" s="99"/>
      <c r="R868" s="100"/>
      <c r="S868" s="86"/>
      <c r="U868" s="48" t="str">
        <f t="shared" si="77"/>
        <v/>
      </c>
      <c r="V868" s="16"/>
      <c r="W868" s="34"/>
      <c r="X868" s="35"/>
    </row>
    <row r="869" spans="11:24">
      <c r="K869" s="85"/>
      <c r="L869" s="54" t="str">
        <f t="shared" si="75"/>
        <v>F</v>
      </c>
      <c r="M869" s="38" t="str">
        <f t="shared" si="78"/>
        <v/>
      </c>
      <c r="N869" s="69" t="str">
        <f t="shared" si="76"/>
        <v/>
      </c>
      <c r="O869" s="97"/>
      <c r="P869" s="98"/>
      <c r="Q869" s="99"/>
      <c r="R869" s="100"/>
      <c r="S869" s="86"/>
      <c r="U869" s="48" t="str">
        <f t="shared" si="77"/>
        <v/>
      </c>
      <c r="V869" s="16"/>
      <c r="W869" s="34"/>
      <c r="X869" s="35"/>
    </row>
    <row r="870" spans="11:24">
      <c r="K870" s="85"/>
      <c r="L870" s="54" t="str">
        <f t="shared" si="75"/>
        <v>F</v>
      </c>
      <c r="M870" s="38" t="str">
        <f t="shared" si="78"/>
        <v/>
      </c>
      <c r="N870" s="69" t="str">
        <f t="shared" si="76"/>
        <v/>
      </c>
      <c r="O870" s="97"/>
      <c r="P870" s="98"/>
      <c r="Q870" s="99"/>
      <c r="R870" s="100"/>
      <c r="S870" s="86"/>
      <c r="U870" s="48" t="str">
        <f t="shared" si="77"/>
        <v/>
      </c>
      <c r="V870" s="16"/>
      <c r="W870" s="34"/>
      <c r="X870" s="35"/>
    </row>
    <row r="871" spans="11:24">
      <c r="K871" s="85"/>
      <c r="L871" s="54" t="str">
        <f t="shared" si="75"/>
        <v>F</v>
      </c>
      <c r="M871" s="38" t="str">
        <f t="shared" si="78"/>
        <v/>
      </c>
      <c r="N871" s="69" t="str">
        <f t="shared" si="76"/>
        <v/>
      </c>
      <c r="O871" s="97"/>
      <c r="P871" s="98"/>
      <c r="Q871" s="99"/>
      <c r="R871" s="100"/>
      <c r="S871" s="86"/>
      <c r="U871" s="48" t="str">
        <f t="shared" si="77"/>
        <v/>
      </c>
      <c r="V871" s="16"/>
      <c r="W871" s="34"/>
      <c r="X871" s="35"/>
    </row>
    <row r="872" spans="11:24">
      <c r="K872" s="85"/>
      <c r="L872" s="54" t="str">
        <f t="shared" si="75"/>
        <v>F</v>
      </c>
      <c r="M872" s="38" t="str">
        <f t="shared" si="78"/>
        <v/>
      </c>
      <c r="N872" s="69" t="str">
        <f t="shared" si="76"/>
        <v/>
      </c>
      <c r="O872" s="97"/>
      <c r="P872" s="98"/>
      <c r="Q872" s="99"/>
      <c r="R872" s="100"/>
      <c r="S872" s="86"/>
      <c r="U872" s="48" t="str">
        <f t="shared" si="77"/>
        <v/>
      </c>
      <c r="V872" s="16"/>
      <c r="W872" s="34"/>
      <c r="X872" s="35"/>
    </row>
    <row r="873" spans="11:24">
      <c r="K873" s="85"/>
      <c r="L873" s="54" t="str">
        <f t="shared" si="75"/>
        <v>F</v>
      </c>
      <c r="M873" s="38" t="str">
        <f t="shared" si="78"/>
        <v/>
      </c>
      <c r="N873" s="69" t="str">
        <f t="shared" si="76"/>
        <v/>
      </c>
      <c r="O873" s="97"/>
      <c r="P873" s="98"/>
      <c r="Q873" s="99"/>
      <c r="R873" s="100"/>
      <c r="S873" s="86"/>
      <c r="U873" s="48" t="str">
        <f t="shared" si="77"/>
        <v/>
      </c>
      <c r="V873" s="16"/>
      <c r="W873" s="34"/>
      <c r="X873" s="35"/>
    </row>
    <row r="874" spans="11:24">
      <c r="K874" s="85"/>
      <c r="L874" s="54" t="str">
        <f t="shared" si="75"/>
        <v>F</v>
      </c>
      <c r="M874" s="38" t="str">
        <f t="shared" si="78"/>
        <v/>
      </c>
      <c r="N874" s="69" t="str">
        <f t="shared" si="76"/>
        <v/>
      </c>
      <c r="O874" s="97"/>
      <c r="P874" s="98"/>
      <c r="Q874" s="99"/>
      <c r="R874" s="100"/>
      <c r="S874" s="86"/>
      <c r="U874" s="48" t="str">
        <f t="shared" si="77"/>
        <v/>
      </c>
      <c r="V874" s="16"/>
      <c r="W874" s="34"/>
      <c r="X874" s="35"/>
    </row>
    <row r="875" spans="11:24">
      <c r="K875" s="85"/>
      <c r="L875" s="54" t="str">
        <f t="shared" si="75"/>
        <v>F</v>
      </c>
      <c r="M875" s="38" t="str">
        <f t="shared" si="78"/>
        <v/>
      </c>
      <c r="N875" s="69" t="str">
        <f t="shared" si="76"/>
        <v/>
      </c>
      <c r="O875" s="97"/>
      <c r="P875" s="98"/>
      <c r="Q875" s="99"/>
      <c r="R875" s="100"/>
      <c r="S875" s="86"/>
      <c r="U875" s="48" t="str">
        <f t="shared" si="77"/>
        <v/>
      </c>
      <c r="V875" s="16"/>
      <c r="W875" s="34"/>
      <c r="X875" s="35"/>
    </row>
    <row r="876" spans="11:24">
      <c r="K876" s="85"/>
      <c r="L876" s="54" t="str">
        <f t="shared" si="75"/>
        <v>F</v>
      </c>
      <c r="M876" s="38" t="str">
        <f t="shared" si="78"/>
        <v/>
      </c>
      <c r="N876" s="69" t="str">
        <f t="shared" si="76"/>
        <v/>
      </c>
      <c r="O876" s="97"/>
      <c r="P876" s="98"/>
      <c r="Q876" s="99"/>
      <c r="R876" s="100"/>
      <c r="S876" s="86"/>
      <c r="U876" s="48" t="str">
        <f t="shared" si="77"/>
        <v/>
      </c>
      <c r="V876" s="16"/>
      <c r="W876" s="34"/>
      <c r="X876" s="35"/>
    </row>
    <row r="877" spans="11:24">
      <c r="K877" s="85"/>
      <c r="L877" s="54" t="str">
        <f t="shared" si="75"/>
        <v>F</v>
      </c>
      <c r="M877" s="38" t="str">
        <f t="shared" si="78"/>
        <v/>
      </c>
      <c r="N877" s="69" t="str">
        <f t="shared" si="76"/>
        <v/>
      </c>
      <c r="O877" s="97"/>
      <c r="P877" s="98"/>
      <c r="Q877" s="99"/>
      <c r="R877" s="100"/>
      <c r="S877" s="86"/>
      <c r="U877" s="48" t="str">
        <f t="shared" si="77"/>
        <v/>
      </c>
      <c r="V877" s="16"/>
      <c r="W877" s="34"/>
      <c r="X877" s="35"/>
    </row>
    <row r="878" spans="11:24">
      <c r="K878" s="85"/>
      <c r="L878" s="54" t="str">
        <f t="shared" si="75"/>
        <v>F</v>
      </c>
      <c r="M878" s="38" t="str">
        <f t="shared" si="78"/>
        <v/>
      </c>
      <c r="N878" s="69" t="str">
        <f t="shared" si="76"/>
        <v/>
      </c>
      <c r="O878" s="97"/>
      <c r="P878" s="98"/>
      <c r="Q878" s="99"/>
      <c r="R878" s="100"/>
      <c r="S878" s="86"/>
      <c r="U878" s="48" t="str">
        <f t="shared" si="77"/>
        <v/>
      </c>
      <c r="V878" s="16"/>
      <c r="W878" s="34"/>
      <c r="X878" s="35"/>
    </row>
    <row r="879" spans="11:24">
      <c r="K879" s="85"/>
      <c r="L879" s="54" t="str">
        <f t="shared" si="75"/>
        <v>F</v>
      </c>
      <c r="M879" s="38" t="str">
        <f t="shared" si="78"/>
        <v/>
      </c>
      <c r="N879" s="69" t="str">
        <f t="shared" si="76"/>
        <v/>
      </c>
      <c r="O879" s="97"/>
      <c r="P879" s="98"/>
      <c r="Q879" s="99"/>
      <c r="R879" s="100"/>
      <c r="S879" s="86"/>
      <c r="U879" s="48" t="str">
        <f t="shared" si="77"/>
        <v/>
      </c>
      <c r="V879" s="16"/>
      <c r="W879" s="34"/>
      <c r="X879" s="35"/>
    </row>
    <row r="880" spans="11:24">
      <c r="K880" s="85"/>
      <c r="L880" s="54" t="str">
        <f t="shared" si="75"/>
        <v>F</v>
      </c>
      <c r="M880" s="38" t="str">
        <f t="shared" si="78"/>
        <v/>
      </c>
      <c r="N880" s="69" t="str">
        <f t="shared" si="76"/>
        <v/>
      </c>
      <c r="O880" s="97"/>
      <c r="P880" s="98"/>
      <c r="Q880" s="99"/>
      <c r="R880" s="100"/>
      <c r="S880" s="86"/>
      <c r="U880" s="48" t="str">
        <f t="shared" si="77"/>
        <v/>
      </c>
      <c r="V880" s="16"/>
      <c r="W880" s="34"/>
      <c r="X880" s="35"/>
    </row>
    <row r="881" spans="11:24">
      <c r="K881" s="85"/>
      <c r="L881" s="54" t="str">
        <f t="shared" si="75"/>
        <v>F</v>
      </c>
      <c r="M881" s="38" t="str">
        <f t="shared" si="78"/>
        <v/>
      </c>
      <c r="N881" s="69" t="str">
        <f t="shared" si="76"/>
        <v/>
      </c>
      <c r="O881" s="97"/>
      <c r="P881" s="98"/>
      <c r="Q881" s="99"/>
      <c r="R881" s="100"/>
      <c r="S881" s="86"/>
      <c r="U881" s="48" t="str">
        <f t="shared" si="77"/>
        <v/>
      </c>
      <c r="V881" s="16"/>
      <c r="W881" s="34"/>
      <c r="X881" s="35"/>
    </row>
    <row r="882" spans="11:24">
      <c r="K882" s="85"/>
      <c r="L882" s="54" t="str">
        <f t="shared" si="75"/>
        <v>F</v>
      </c>
      <c r="M882" s="38" t="str">
        <f t="shared" si="78"/>
        <v/>
      </c>
      <c r="N882" s="69" t="str">
        <f t="shared" si="76"/>
        <v/>
      </c>
      <c r="O882" s="97"/>
      <c r="P882" s="98"/>
      <c r="Q882" s="99"/>
      <c r="R882" s="100"/>
      <c r="S882" s="86"/>
      <c r="U882" s="48" t="str">
        <f t="shared" si="77"/>
        <v/>
      </c>
      <c r="V882" s="16"/>
      <c r="W882" s="34"/>
      <c r="X882" s="35"/>
    </row>
    <row r="883" spans="11:24">
      <c r="K883" s="85"/>
      <c r="L883" s="54" t="str">
        <f t="shared" si="75"/>
        <v>F</v>
      </c>
      <c r="M883" s="38" t="str">
        <f t="shared" si="78"/>
        <v/>
      </c>
      <c r="N883" s="69" t="str">
        <f t="shared" si="76"/>
        <v/>
      </c>
      <c r="O883" s="97"/>
      <c r="P883" s="98"/>
      <c r="Q883" s="99"/>
      <c r="R883" s="100"/>
      <c r="S883" s="86"/>
      <c r="U883" s="48" t="str">
        <f t="shared" si="77"/>
        <v/>
      </c>
      <c r="V883" s="16"/>
      <c r="W883" s="34"/>
      <c r="X883" s="35"/>
    </row>
    <row r="884" spans="11:24">
      <c r="K884" s="85"/>
      <c r="L884" s="54" t="str">
        <f t="shared" si="75"/>
        <v>F</v>
      </c>
      <c r="M884" s="38" t="str">
        <f t="shared" si="78"/>
        <v/>
      </c>
      <c r="N884" s="69" t="str">
        <f t="shared" si="76"/>
        <v/>
      </c>
      <c r="O884" s="97"/>
      <c r="P884" s="98"/>
      <c r="Q884" s="99"/>
      <c r="R884" s="100"/>
      <c r="S884" s="86"/>
      <c r="U884" s="48" t="str">
        <f t="shared" si="77"/>
        <v/>
      </c>
      <c r="V884" s="16"/>
      <c r="W884" s="34"/>
      <c r="X884" s="35"/>
    </row>
    <row r="885" spans="11:24">
      <c r="K885" s="85"/>
      <c r="L885" s="54" t="str">
        <f t="shared" si="75"/>
        <v>F</v>
      </c>
      <c r="M885" s="38" t="str">
        <f t="shared" si="78"/>
        <v/>
      </c>
      <c r="N885" s="69" t="str">
        <f t="shared" si="76"/>
        <v/>
      </c>
      <c r="O885" s="97"/>
      <c r="P885" s="98"/>
      <c r="Q885" s="99"/>
      <c r="R885" s="100"/>
      <c r="S885" s="86"/>
      <c r="U885" s="48" t="str">
        <f t="shared" si="77"/>
        <v/>
      </c>
      <c r="V885" s="16"/>
      <c r="W885" s="34"/>
      <c r="X885" s="35"/>
    </row>
    <row r="886" spans="11:24">
      <c r="K886" s="85"/>
      <c r="L886" s="54" t="str">
        <f t="shared" si="75"/>
        <v>F</v>
      </c>
      <c r="M886" s="38" t="str">
        <f t="shared" si="78"/>
        <v/>
      </c>
      <c r="N886" s="69" t="str">
        <f t="shared" si="76"/>
        <v/>
      </c>
      <c r="O886" s="97"/>
      <c r="P886" s="98"/>
      <c r="Q886" s="99"/>
      <c r="R886" s="100"/>
      <c r="S886" s="86"/>
      <c r="U886" s="48" t="str">
        <f t="shared" si="77"/>
        <v/>
      </c>
      <c r="V886" s="16"/>
      <c r="W886" s="34"/>
      <c r="X886" s="35"/>
    </row>
    <row r="887" spans="11:24">
      <c r="K887" s="85"/>
      <c r="L887" s="54" t="str">
        <f t="shared" si="75"/>
        <v>F</v>
      </c>
      <c r="M887" s="38" t="str">
        <f t="shared" si="78"/>
        <v/>
      </c>
      <c r="N887" s="69" t="str">
        <f t="shared" si="76"/>
        <v/>
      </c>
      <c r="O887" s="97"/>
      <c r="P887" s="98"/>
      <c r="Q887" s="99"/>
      <c r="R887" s="100"/>
      <c r="S887" s="86"/>
      <c r="U887" s="48" t="str">
        <f t="shared" si="77"/>
        <v/>
      </c>
      <c r="V887" s="16"/>
      <c r="W887" s="34"/>
      <c r="X887" s="35"/>
    </row>
    <row r="888" spans="11:24">
      <c r="K888" s="85"/>
      <c r="L888" s="54" t="str">
        <f t="shared" si="75"/>
        <v>F</v>
      </c>
      <c r="M888" s="38" t="str">
        <f t="shared" si="78"/>
        <v/>
      </c>
      <c r="N888" s="69" t="str">
        <f t="shared" si="76"/>
        <v/>
      </c>
      <c r="O888" s="97"/>
      <c r="P888" s="98"/>
      <c r="Q888" s="99"/>
      <c r="R888" s="100"/>
      <c r="S888" s="86"/>
      <c r="U888" s="48" t="str">
        <f t="shared" si="77"/>
        <v/>
      </c>
      <c r="V888" s="16"/>
      <c r="W888" s="34"/>
      <c r="X888" s="35"/>
    </row>
    <row r="889" spans="11:24">
      <c r="K889" s="85"/>
      <c r="L889" s="54" t="str">
        <f t="shared" si="75"/>
        <v>F</v>
      </c>
      <c r="M889" s="38" t="str">
        <f t="shared" si="78"/>
        <v/>
      </c>
      <c r="N889" s="69" t="str">
        <f t="shared" si="76"/>
        <v/>
      </c>
      <c r="O889" s="97"/>
      <c r="P889" s="98"/>
      <c r="Q889" s="99"/>
      <c r="R889" s="100"/>
      <c r="S889" s="86"/>
      <c r="U889" s="48" t="str">
        <f t="shared" si="77"/>
        <v/>
      </c>
      <c r="V889" s="16"/>
      <c r="W889" s="34"/>
      <c r="X889" s="35"/>
    </row>
    <row r="890" spans="11:24">
      <c r="K890" s="85"/>
      <c r="L890" s="54" t="str">
        <f t="shared" si="75"/>
        <v>F</v>
      </c>
      <c r="M890" s="38" t="str">
        <f t="shared" si="78"/>
        <v/>
      </c>
      <c r="N890" s="69" t="str">
        <f t="shared" si="76"/>
        <v/>
      </c>
      <c r="O890" s="97"/>
      <c r="P890" s="98"/>
      <c r="Q890" s="99"/>
      <c r="R890" s="100"/>
      <c r="S890" s="86"/>
      <c r="U890" s="48" t="str">
        <f t="shared" si="77"/>
        <v/>
      </c>
      <c r="V890" s="16"/>
      <c r="W890" s="34"/>
      <c r="X890" s="35"/>
    </row>
    <row r="891" spans="11:24">
      <c r="K891" s="85"/>
      <c r="L891" s="54" t="str">
        <f t="shared" si="75"/>
        <v>F</v>
      </c>
      <c r="M891" s="38" t="str">
        <f t="shared" si="78"/>
        <v/>
      </c>
      <c r="N891" s="69" t="str">
        <f t="shared" si="76"/>
        <v/>
      </c>
      <c r="O891" s="97"/>
      <c r="P891" s="98"/>
      <c r="Q891" s="99"/>
      <c r="R891" s="100"/>
      <c r="S891" s="86"/>
      <c r="U891" s="48" t="str">
        <f t="shared" si="77"/>
        <v/>
      </c>
      <c r="V891" s="16"/>
      <c r="W891" s="34"/>
      <c r="X891" s="35"/>
    </row>
    <row r="892" spans="11:24">
      <c r="K892" s="85"/>
      <c r="L892" s="54" t="str">
        <f t="shared" si="75"/>
        <v>F</v>
      </c>
      <c r="M892" s="38" t="str">
        <f t="shared" si="78"/>
        <v/>
      </c>
      <c r="N892" s="69" t="str">
        <f t="shared" si="76"/>
        <v/>
      </c>
      <c r="O892" s="97"/>
      <c r="P892" s="98"/>
      <c r="Q892" s="99"/>
      <c r="R892" s="100"/>
      <c r="S892" s="86"/>
      <c r="U892" s="48" t="str">
        <f t="shared" si="77"/>
        <v/>
      </c>
      <c r="V892" s="16"/>
      <c r="W892" s="34"/>
      <c r="X892" s="35"/>
    </row>
    <row r="893" spans="11:24">
      <c r="K893" s="85"/>
      <c r="L893" s="54" t="str">
        <f t="shared" si="75"/>
        <v>F</v>
      </c>
      <c r="M893" s="38" t="str">
        <f t="shared" si="78"/>
        <v/>
      </c>
      <c r="N893" s="69" t="str">
        <f t="shared" si="76"/>
        <v/>
      </c>
      <c r="O893" s="97"/>
      <c r="P893" s="98"/>
      <c r="Q893" s="99"/>
      <c r="R893" s="100"/>
      <c r="S893" s="86"/>
      <c r="U893" s="48" t="str">
        <f t="shared" si="77"/>
        <v/>
      </c>
      <c r="V893" s="16"/>
      <c r="W893" s="34"/>
      <c r="X893" s="35"/>
    </row>
    <row r="894" spans="11:24">
      <c r="K894" s="85"/>
      <c r="L894" s="54" t="str">
        <f t="shared" si="75"/>
        <v>F</v>
      </c>
      <c r="M894" s="38" t="str">
        <f t="shared" si="78"/>
        <v/>
      </c>
      <c r="N894" s="69" t="str">
        <f t="shared" si="76"/>
        <v/>
      </c>
      <c r="O894" s="97"/>
      <c r="P894" s="98"/>
      <c r="Q894" s="99"/>
      <c r="R894" s="100"/>
      <c r="S894" s="86"/>
      <c r="U894" s="48" t="str">
        <f t="shared" si="77"/>
        <v/>
      </c>
      <c r="V894" s="16"/>
      <c r="W894" s="34"/>
      <c r="X894" s="35"/>
    </row>
    <row r="895" spans="11:24">
      <c r="K895" s="85"/>
      <c r="L895" s="54" t="str">
        <f t="shared" si="75"/>
        <v>F</v>
      </c>
      <c r="M895" s="38" t="str">
        <f t="shared" si="78"/>
        <v/>
      </c>
      <c r="N895" s="69" t="str">
        <f t="shared" si="76"/>
        <v/>
      </c>
      <c r="O895" s="97"/>
      <c r="P895" s="98"/>
      <c r="Q895" s="99"/>
      <c r="R895" s="100"/>
      <c r="S895" s="86"/>
      <c r="U895" s="48" t="str">
        <f t="shared" si="77"/>
        <v/>
      </c>
      <c r="V895" s="16"/>
      <c r="W895" s="34"/>
      <c r="X895" s="35"/>
    </row>
    <row r="896" spans="11:24">
      <c r="K896" s="85"/>
      <c r="L896" s="54" t="str">
        <f t="shared" si="75"/>
        <v>F</v>
      </c>
      <c r="M896" s="38" t="str">
        <f t="shared" si="78"/>
        <v/>
      </c>
      <c r="N896" s="69" t="str">
        <f t="shared" si="76"/>
        <v/>
      </c>
      <c r="O896" s="97"/>
      <c r="P896" s="98"/>
      <c r="Q896" s="99"/>
      <c r="R896" s="100"/>
      <c r="S896" s="86"/>
      <c r="U896" s="48" t="str">
        <f t="shared" si="77"/>
        <v/>
      </c>
      <c r="V896" s="16"/>
      <c r="W896" s="34"/>
      <c r="X896" s="35"/>
    </row>
    <row r="897" spans="11:24">
      <c r="K897" s="85"/>
      <c r="L897" s="54" t="str">
        <f t="shared" si="75"/>
        <v>F</v>
      </c>
      <c r="M897" s="38" t="str">
        <f t="shared" si="78"/>
        <v/>
      </c>
      <c r="N897" s="69" t="str">
        <f t="shared" si="76"/>
        <v/>
      </c>
      <c r="O897" s="97"/>
      <c r="P897" s="98"/>
      <c r="Q897" s="99"/>
      <c r="R897" s="100"/>
      <c r="S897" s="86"/>
      <c r="U897" s="48" t="str">
        <f t="shared" si="77"/>
        <v/>
      </c>
      <c r="V897" s="16"/>
      <c r="W897" s="34"/>
      <c r="X897" s="35"/>
    </row>
    <row r="898" spans="11:24">
      <c r="K898" s="85"/>
      <c r="L898" s="54" t="str">
        <f t="shared" si="75"/>
        <v>F</v>
      </c>
      <c r="M898" s="38" t="str">
        <f t="shared" si="78"/>
        <v/>
      </c>
      <c r="N898" s="69" t="str">
        <f t="shared" si="76"/>
        <v/>
      </c>
      <c r="O898" s="97"/>
      <c r="P898" s="98"/>
      <c r="Q898" s="99"/>
      <c r="R898" s="100"/>
      <c r="S898" s="86"/>
      <c r="U898" s="48" t="str">
        <f t="shared" si="77"/>
        <v/>
      </c>
      <c r="V898" s="16"/>
      <c r="W898" s="34"/>
      <c r="X898" s="35"/>
    </row>
    <row r="899" spans="11:24">
      <c r="K899" s="85"/>
      <c r="L899" s="54" t="str">
        <f t="shared" si="75"/>
        <v>F</v>
      </c>
      <c r="M899" s="38" t="str">
        <f t="shared" si="78"/>
        <v/>
      </c>
      <c r="N899" s="69" t="str">
        <f t="shared" si="76"/>
        <v/>
      </c>
      <c r="O899" s="97"/>
      <c r="P899" s="98"/>
      <c r="Q899" s="99"/>
      <c r="R899" s="100"/>
      <c r="S899" s="86"/>
      <c r="U899" s="48" t="str">
        <f t="shared" si="77"/>
        <v/>
      </c>
      <c r="V899" s="16"/>
      <c r="W899" s="34"/>
      <c r="X899" s="35"/>
    </row>
    <row r="900" spans="11:24">
      <c r="K900" s="85"/>
      <c r="L900" s="54" t="str">
        <f t="shared" si="75"/>
        <v>F</v>
      </c>
      <c r="M900" s="38" t="str">
        <f t="shared" si="78"/>
        <v/>
      </c>
      <c r="N900" s="69" t="str">
        <f t="shared" si="76"/>
        <v/>
      </c>
      <c r="O900" s="97"/>
      <c r="P900" s="98"/>
      <c r="Q900" s="99"/>
      <c r="R900" s="100"/>
      <c r="S900" s="86"/>
      <c r="U900" s="48" t="str">
        <f t="shared" si="77"/>
        <v/>
      </c>
      <c r="V900" s="16"/>
      <c r="W900" s="34"/>
      <c r="X900" s="35"/>
    </row>
    <row r="901" spans="11:24">
      <c r="K901" s="85"/>
      <c r="L901" s="54" t="str">
        <f t="shared" si="75"/>
        <v>F</v>
      </c>
      <c r="M901" s="38" t="str">
        <f t="shared" si="78"/>
        <v/>
      </c>
      <c r="N901" s="69" t="str">
        <f t="shared" si="76"/>
        <v/>
      </c>
      <c r="O901" s="97"/>
      <c r="P901" s="98"/>
      <c r="Q901" s="99"/>
      <c r="R901" s="100"/>
      <c r="S901" s="86"/>
      <c r="U901" s="48" t="str">
        <f t="shared" si="77"/>
        <v/>
      </c>
      <c r="V901" s="16"/>
      <c r="W901" s="34"/>
      <c r="X901" s="35"/>
    </row>
    <row r="902" spans="11:24">
      <c r="K902" s="85"/>
      <c r="L902" s="54" t="str">
        <f t="shared" si="75"/>
        <v>F</v>
      </c>
      <c r="M902" s="38" t="str">
        <f t="shared" si="78"/>
        <v/>
      </c>
      <c r="N902" s="69" t="str">
        <f t="shared" si="76"/>
        <v/>
      </c>
      <c r="O902" s="97"/>
      <c r="P902" s="98"/>
      <c r="Q902" s="99"/>
      <c r="R902" s="100"/>
      <c r="S902" s="86"/>
      <c r="U902" s="48" t="str">
        <f t="shared" si="77"/>
        <v/>
      </c>
      <c r="V902" s="16"/>
      <c r="W902" s="34"/>
      <c r="X902" s="35"/>
    </row>
    <row r="903" spans="11:24">
      <c r="K903" s="85"/>
      <c r="L903" s="54" t="str">
        <f t="shared" si="75"/>
        <v>F</v>
      </c>
      <c r="M903" s="38" t="str">
        <f t="shared" si="78"/>
        <v/>
      </c>
      <c r="N903" s="69" t="str">
        <f t="shared" si="76"/>
        <v/>
      </c>
      <c r="O903" s="97"/>
      <c r="P903" s="98"/>
      <c r="Q903" s="99"/>
      <c r="R903" s="100"/>
      <c r="S903" s="86"/>
      <c r="U903" s="48" t="str">
        <f t="shared" si="77"/>
        <v/>
      </c>
      <c r="V903" s="16"/>
      <c r="W903" s="34"/>
      <c r="X903" s="35"/>
    </row>
    <row r="904" spans="11:24">
      <c r="K904" s="85"/>
      <c r="L904" s="54" t="str">
        <f t="shared" si="75"/>
        <v>F</v>
      </c>
      <c r="M904" s="38" t="str">
        <f t="shared" si="78"/>
        <v/>
      </c>
      <c r="N904" s="69" t="str">
        <f t="shared" si="76"/>
        <v/>
      </c>
      <c r="O904" s="97"/>
      <c r="P904" s="98"/>
      <c r="Q904" s="99"/>
      <c r="R904" s="100"/>
      <c r="S904" s="86"/>
      <c r="U904" s="48" t="str">
        <f t="shared" si="77"/>
        <v/>
      </c>
      <c r="V904" s="16"/>
      <c r="W904" s="34"/>
      <c r="X904" s="35"/>
    </row>
    <row r="905" spans="11:24">
      <c r="K905" s="85"/>
      <c r="L905" s="54" t="str">
        <f t="shared" ref="L905:L968" si="79">IF(UPPER(P905)="EQU","E",IF(P905="DB","D",IF(O905&lt;&gt;"","L",IF(N905="","F",""))))</f>
        <v>F</v>
      </c>
      <c r="M905" s="38" t="str">
        <f t="shared" si="78"/>
        <v/>
      </c>
      <c r="N905" s="69" t="str">
        <f t="shared" ref="N905:N968" si="80">IFERROR(IF(N904+1&lt;=HEX2DEC(MemSize)+HEX2DEC(MemStart),N904+1,""),"")</f>
        <v/>
      </c>
      <c r="O905" s="97"/>
      <c r="P905" s="98"/>
      <c r="Q905" s="99"/>
      <c r="R905" s="100"/>
      <c r="S905" s="86"/>
      <c r="U905" s="48" t="str">
        <f t="shared" ref="U905:U968" si="81">IF(V905&gt;0,RIGHT("0000"&amp;DEC2HEX(V905),4),"")</f>
        <v/>
      </c>
      <c r="V905" s="16"/>
      <c r="W905" s="34"/>
      <c r="X905" s="35"/>
    </row>
    <row r="906" spans="11:24">
      <c r="K906" s="85"/>
      <c r="L906" s="54" t="str">
        <f t="shared" si="79"/>
        <v>F</v>
      </c>
      <c r="M906" s="38" t="str">
        <f t="shared" si="78"/>
        <v/>
      </c>
      <c r="N906" s="69" t="str">
        <f t="shared" si="80"/>
        <v/>
      </c>
      <c r="O906" s="97"/>
      <c r="P906" s="98"/>
      <c r="Q906" s="99"/>
      <c r="R906" s="100"/>
      <c r="S906" s="86"/>
      <c r="U906" s="48" t="str">
        <f t="shared" si="81"/>
        <v/>
      </c>
      <c r="V906" s="16"/>
      <c r="W906" s="34"/>
      <c r="X906" s="35"/>
    </row>
    <row r="907" spans="11:24">
      <c r="K907" s="85"/>
      <c r="L907" s="54" t="str">
        <f t="shared" si="79"/>
        <v>F</v>
      </c>
      <c r="M907" s="38" t="str">
        <f t="shared" si="78"/>
        <v/>
      </c>
      <c r="N907" s="69" t="str">
        <f t="shared" si="80"/>
        <v/>
      </c>
      <c r="O907" s="97"/>
      <c r="P907" s="98"/>
      <c r="Q907" s="99"/>
      <c r="R907" s="100"/>
      <c r="S907" s="86"/>
      <c r="U907" s="48" t="str">
        <f t="shared" si="81"/>
        <v/>
      </c>
      <c r="V907" s="16"/>
      <c r="W907" s="34"/>
      <c r="X907" s="35"/>
    </row>
    <row r="908" spans="11:24">
      <c r="K908" s="85"/>
      <c r="L908" s="54" t="str">
        <f t="shared" si="79"/>
        <v>F</v>
      </c>
      <c r="M908" s="38" t="str">
        <f t="shared" si="78"/>
        <v/>
      </c>
      <c r="N908" s="69" t="str">
        <f t="shared" si="80"/>
        <v/>
      </c>
      <c r="O908" s="97"/>
      <c r="P908" s="98"/>
      <c r="Q908" s="99"/>
      <c r="R908" s="100"/>
      <c r="S908" s="86"/>
      <c r="U908" s="48" t="str">
        <f t="shared" si="81"/>
        <v/>
      </c>
      <c r="V908" s="16"/>
      <c r="W908" s="34"/>
      <c r="X908" s="35"/>
    </row>
    <row r="909" spans="11:24">
      <c r="K909" s="85"/>
      <c r="L909" s="54" t="str">
        <f t="shared" si="79"/>
        <v>F</v>
      </c>
      <c r="M909" s="38" t="str">
        <f t="shared" si="78"/>
        <v/>
      </c>
      <c r="N909" s="69" t="str">
        <f t="shared" si="80"/>
        <v/>
      </c>
      <c r="O909" s="97"/>
      <c r="P909" s="98"/>
      <c r="Q909" s="99"/>
      <c r="R909" s="100"/>
      <c r="S909" s="86"/>
      <c r="U909" s="48" t="str">
        <f t="shared" si="81"/>
        <v/>
      </c>
      <c r="V909" s="16"/>
      <c r="W909" s="34"/>
      <c r="X909" s="35"/>
    </row>
    <row r="910" spans="11:24">
      <c r="K910" s="85"/>
      <c r="L910" s="54" t="str">
        <f t="shared" si="79"/>
        <v>F</v>
      </c>
      <c r="M910" s="38" t="str">
        <f t="shared" si="78"/>
        <v/>
      </c>
      <c r="N910" s="69" t="str">
        <f t="shared" si="80"/>
        <v/>
      </c>
      <c r="O910" s="97"/>
      <c r="P910" s="98"/>
      <c r="Q910" s="99"/>
      <c r="R910" s="100"/>
      <c r="S910" s="86"/>
      <c r="U910" s="48" t="str">
        <f t="shared" si="81"/>
        <v/>
      </c>
      <c r="V910" s="16"/>
      <c r="W910" s="34"/>
      <c r="X910" s="35"/>
    </row>
    <row r="911" spans="11:24">
      <c r="K911" s="85"/>
      <c r="L911" s="54" t="str">
        <f t="shared" si="79"/>
        <v>F</v>
      </c>
      <c r="M911" s="38" t="str">
        <f t="shared" si="78"/>
        <v/>
      </c>
      <c r="N911" s="69" t="str">
        <f t="shared" si="80"/>
        <v/>
      </c>
      <c r="O911" s="97"/>
      <c r="P911" s="98"/>
      <c r="Q911" s="99"/>
      <c r="R911" s="100"/>
      <c r="S911" s="86"/>
      <c r="U911" s="48" t="str">
        <f t="shared" si="81"/>
        <v/>
      </c>
      <c r="V911" s="16"/>
      <c r="W911" s="34"/>
      <c r="X911" s="35"/>
    </row>
    <row r="912" spans="11:24">
      <c r="K912" s="85"/>
      <c r="L912" s="54" t="str">
        <f t="shared" si="79"/>
        <v>F</v>
      </c>
      <c r="M912" s="38" t="str">
        <f t="shared" si="78"/>
        <v/>
      </c>
      <c r="N912" s="69" t="str">
        <f t="shared" si="80"/>
        <v/>
      </c>
      <c r="O912" s="97"/>
      <c r="P912" s="98"/>
      <c r="Q912" s="99"/>
      <c r="R912" s="100"/>
      <c r="S912" s="86"/>
      <c r="U912" s="48" t="str">
        <f t="shared" si="81"/>
        <v/>
      </c>
      <c r="V912" s="16"/>
      <c r="W912" s="34"/>
      <c r="X912" s="35"/>
    </row>
    <row r="913" spans="11:24">
      <c r="K913" s="85"/>
      <c r="L913" s="54" t="str">
        <f t="shared" si="79"/>
        <v>F</v>
      </c>
      <c r="M913" s="38" t="str">
        <f t="shared" si="78"/>
        <v/>
      </c>
      <c r="N913" s="69" t="str">
        <f t="shared" si="80"/>
        <v/>
      </c>
      <c r="O913" s="97"/>
      <c r="P913" s="98"/>
      <c r="Q913" s="99"/>
      <c r="R913" s="100"/>
      <c r="S913" s="86"/>
      <c r="U913" s="48" t="str">
        <f t="shared" si="81"/>
        <v/>
      </c>
      <c r="V913" s="16"/>
      <c r="W913" s="34"/>
      <c r="X913" s="35"/>
    </row>
    <row r="914" spans="11:24">
      <c r="K914" s="85"/>
      <c r="L914" s="54" t="str">
        <f t="shared" si="79"/>
        <v>F</v>
      </c>
      <c r="M914" s="38" t="str">
        <f t="shared" si="78"/>
        <v/>
      </c>
      <c r="N914" s="69" t="str">
        <f t="shared" si="80"/>
        <v/>
      </c>
      <c r="O914" s="97"/>
      <c r="P914" s="98"/>
      <c r="Q914" s="99"/>
      <c r="R914" s="100"/>
      <c r="S914" s="86"/>
      <c r="U914" s="48" t="str">
        <f t="shared" si="81"/>
        <v/>
      </c>
      <c r="V914" s="16"/>
      <c r="W914" s="34"/>
      <c r="X914" s="35"/>
    </row>
    <row r="915" spans="11:24">
      <c r="K915" s="85"/>
      <c r="L915" s="54" t="str">
        <f t="shared" si="79"/>
        <v>F</v>
      </c>
      <c r="M915" s="38" t="str">
        <f t="shared" si="78"/>
        <v/>
      </c>
      <c r="N915" s="69" t="str">
        <f t="shared" si="80"/>
        <v/>
      </c>
      <c r="O915" s="97"/>
      <c r="P915" s="98"/>
      <c r="Q915" s="99"/>
      <c r="R915" s="100"/>
      <c r="S915" s="86"/>
      <c r="U915" s="48" t="str">
        <f t="shared" si="81"/>
        <v/>
      </c>
      <c r="V915" s="16"/>
      <c r="W915" s="34"/>
      <c r="X915" s="35"/>
    </row>
    <row r="916" spans="11:24">
      <c r="K916" s="85"/>
      <c r="L916" s="54" t="str">
        <f t="shared" si="79"/>
        <v>F</v>
      </c>
      <c r="M916" s="38" t="str">
        <f t="shared" si="78"/>
        <v/>
      </c>
      <c r="N916" s="69" t="str">
        <f t="shared" si="80"/>
        <v/>
      </c>
      <c r="O916" s="97"/>
      <c r="P916" s="98"/>
      <c r="Q916" s="99"/>
      <c r="R916" s="100"/>
      <c r="S916" s="86"/>
      <c r="U916" s="48" t="str">
        <f t="shared" si="81"/>
        <v/>
      </c>
      <c r="V916" s="16"/>
      <c r="W916" s="34"/>
      <c r="X916" s="35"/>
    </row>
    <row r="917" spans="11:24">
      <c r="K917" s="85"/>
      <c r="L917" s="54" t="str">
        <f t="shared" si="79"/>
        <v>F</v>
      </c>
      <c r="M917" s="38" t="str">
        <f t="shared" si="78"/>
        <v/>
      </c>
      <c r="N917" s="69" t="str">
        <f t="shared" si="80"/>
        <v/>
      </c>
      <c r="O917" s="97"/>
      <c r="P917" s="98"/>
      <c r="Q917" s="99"/>
      <c r="R917" s="100"/>
      <c r="S917" s="86"/>
      <c r="U917" s="48" t="str">
        <f t="shared" si="81"/>
        <v/>
      </c>
      <c r="V917" s="16"/>
      <c r="W917" s="34"/>
      <c r="X917" s="35"/>
    </row>
    <row r="918" spans="11:24">
      <c r="K918" s="85"/>
      <c r="L918" s="54" t="str">
        <f t="shared" si="79"/>
        <v>F</v>
      </c>
      <c r="M918" s="38" t="str">
        <f t="shared" si="78"/>
        <v/>
      </c>
      <c r="N918" s="69" t="str">
        <f t="shared" si="80"/>
        <v/>
      </c>
      <c r="O918" s="97"/>
      <c r="P918" s="98"/>
      <c r="Q918" s="99"/>
      <c r="R918" s="100"/>
      <c r="S918" s="86"/>
      <c r="U918" s="48" t="str">
        <f t="shared" si="81"/>
        <v/>
      </c>
      <c r="V918" s="16"/>
      <c r="W918" s="34"/>
      <c r="X918" s="35"/>
    </row>
    <row r="919" spans="11:24">
      <c r="K919" s="85"/>
      <c r="L919" s="54" t="str">
        <f t="shared" si="79"/>
        <v>F</v>
      </c>
      <c r="M919" s="38" t="str">
        <f t="shared" si="78"/>
        <v/>
      </c>
      <c r="N919" s="69" t="str">
        <f t="shared" si="80"/>
        <v/>
      </c>
      <c r="O919" s="97"/>
      <c r="P919" s="98"/>
      <c r="Q919" s="99"/>
      <c r="R919" s="100"/>
      <c r="S919" s="86"/>
      <c r="U919" s="48" t="str">
        <f t="shared" si="81"/>
        <v/>
      </c>
      <c r="V919" s="16"/>
      <c r="W919" s="34"/>
      <c r="X919" s="35"/>
    </row>
    <row r="920" spans="11:24">
      <c r="K920" s="85"/>
      <c r="L920" s="54" t="str">
        <f t="shared" si="79"/>
        <v>F</v>
      </c>
      <c r="M920" s="38" t="str">
        <f t="shared" si="78"/>
        <v/>
      </c>
      <c r="N920" s="69" t="str">
        <f t="shared" si="80"/>
        <v/>
      </c>
      <c r="O920" s="97"/>
      <c r="P920" s="98"/>
      <c r="Q920" s="99"/>
      <c r="R920" s="100"/>
      <c r="S920" s="86"/>
      <c r="U920" s="48" t="str">
        <f t="shared" si="81"/>
        <v/>
      </c>
      <c r="V920" s="16"/>
      <c r="W920" s="34"/>
      <c r="X920" s="35"/>
    </row>
    <row r="921" spans="11:24">
      <c r="K921" s="85"/>
      <c r="L921" s="54" t="str">
        <f t="shared" si="79"/>
        <v>F</v>
      </c>
      <c r="M921" s="38" t="str">
        <f t="shared" si="78"/>
        <v/>
      </c>
      <c r="N921" s="69" t="str">
        <f t="shared" si="80"/>
        <v/>
      </c>
      <c r="O921" s="97"/>
      <c r="P921" s="98"/>
      <c r="Q921" s="99"/>
      <c r="R921" s="100"/>
      <c r="S921" s="86"/>
      <c r="U921" s="48" t="str">
        <f t="shared" si="81"/>
        <v/>
      </c>
      <c r="V921" s="16"/>
      <c r="W921" s="34"/>
      <c r="X921" s="35"/>
    </row>
    <row r="922" spans="11:24">
      <c r="K922" s="85"/>
      <c r="L922" s="54" t="str">
        <f t="shared" si="79"/>
        <v>F</v>
      </c>
      <c r="M922" s="38" t="str">
        <f t="shared" si="78"/>
        <v/>
      </c>
      <c r="N922" s="69" t="str">
        <f t="shared" si="80"/>
        <v/>
      </c>
      <c r="O922" s="97"/>
      <c r="P922" s="98"/>
      <c r="Q922" s="99"/>
      <c r="R922" s="100"/>
      <c r="S922" s="86"/>
      <c r="U922" s="48" t="str">
        <f t="shared" si="81"/>
        <v/>
      </c>
      <c r="V922" s="16"/>
      <c r="W922" s="34"/>
      <c r="X922" s="35"/>
    </row>
    <row r="923" spans="11:24">
      <c r="K923" s="85"/>
      <c r="L923" s="54" t="str">
        <f t="shared" si="79"/>
        <v>F</v>
      </c>
      <c r="M923" s="38" t="str">
        <f t="shared" si="78"/>
        <v/>
      </c>
      <c r="N923" s="69" t="str">
        <f t="shared" si="80"/>
        <v/>
      </c>
      <c r="O923" s="97"/>
      <c r="P923" s="98"/>
      <c r="Q923" s="99"/>
      <c r="R923" s="100"/>
      <c r="S923" s="86"/>
      <c r="U923" s="48" t="str">
        <f t="shared" si="81"/>
        <v/>
      </c>
      <c r="V923" s="16"/>
      <c r="W923" s="34"/>
      <c r="X923" s="35"/>
    </row>
    <row r="924" spans="11:24">
      <c r="K924" s="85"/>
      <c r="L924" s="54" t="str">
        <f t="shared" si="79"/>
        <v>F</v>
      </c>
      <c r="M924" s="38" t="str">
        <f t="shared" si="78"/>
        <v/>
      </c>
      <c r="N924" s="69" t="str">
        <f t="shared" si="80"/>
        <v/>
      </c>
      <c r="O924" s="97"/>
      <c r="P924" s="98"/>
      <c r="Q924" s="99"/>
      <c r="R924" s="100"/>
      <c r="S924" s="86"/>
      <c r="U924" s="48" t="str">
        <f t="shared" si="81"/>
        <v/>
      </c>
      <c r="V924" s="16"/>
      <c r="W924" s="34"/>
      <c r="X924" s="35"/>
    </row>
    <row r="925" spans="11:24">
      <c r="K925" s="85"/>
      <c r="L925" s="54" t="str">
        <f t="shared" si="79"/>
        <v>F</v>
      </c>
      <c r="M925" s="38" t="str">
        <f t="shared" ref="M925:M988" si="82">IFERROR(RIGHT("0000"&amp;DEC2HEX(N925),4),"")</f>
        <v/>
      </c>
      <c r="N925" s="69" t="str">
        <f t="shared" si="80"/>
        <v/>
      </c>
      <c r="O925" s="97"/>
      <c r="P925" s="98"/>
      <c r="Q925" s="99"/>
      <c r="R925" s="100"/>
      <c r="S925" s="86"/>
      <c r="U925" s="48" t="str">
        <f t="shared" si="81"/>
        <v/>
      </c>
      <c r="V925" s="16"/>
      <c r="W925" s="34"/>
      <c r="X925" s="35"/>
    </row>
    <row r="926" spans="11:24">
      <c r="K926" s="85"/>
      <c r="L926" s="54" t="str">
        <f t="shared" si="79"/>
        <v>F</v>
      </c>
      <c r="M926" s="38" t="str">
        <f t="shared" si="82"/>
        <v/>
      </c>
      <c r="N926" s="69" t="str">
        <f t="shared" si="80"/>
        <v/>
      </c>
      <c r="O926" s="97"/>
      <c r="P926" s="98"/>
      <c r="Q926" s="99"/>
      <c r="R926" s="100"/>
      <c r="S926" s="86"/>
      <c r="U926" s="48" t="str">
        <f t="shared" si="81"/>
        <v/>
      </c>
      <c r="V926" s="16"/>
      <c r="W926" s="34"/>
      <c r="X926" s="35"/>
    </row>
    <row r="927" spans="11:24">
      <c r="K927" s="85"/>
      <c r="L927" s="54" t="str">
        <f t="shared" si="79"/>
        <v>F</v>
      </c>
      <c r="M927" s="38" t="str">
        <f t="shared" si="82"/>
        <v/>
      </c>
      <c r="N927" s="69" t="str">
        <f t="shared" si="80"/>
        <v/>
      </c>
      <c r="O927" s="97"/>
      <c r="P927" s="98"/>
      <c r="Q927" s="99"/>
      <c r="R927" s="100"/>
      <c r="S927" s="86"/>
      <c r="U927" s="48" t="str">
        <f t="shared" si="81"/>
        <v/>
      </c>
      <c r="V927" s="16"/>
      <c r="W927" s="34"/>
      <c r="X927" s="35"/>
    </row>
    <row r="928" spans="11:24">
      <c r="K928" s="85"/>
      <c r="L928" s="54" t="str">
        <f t="shared" si="79"/>
        <v>F</v>
      </c>
      <c r="M928" s="38" t="str">
        <f t="shared" si="82"/>
        <v/>
      </c>
      <c r="N928" s="69" t="str">
        <f t="shared" si="80"/>
        <v/>
      </c>
      <c r="O928" s="97"/>
      <c r="P928" s="98"/>
      <c r="Q928" s="99"/>
      <c r="R928" s="100"/>
      <c r="S928" s="86"/>
      <c r="U928" s="48" t="str">
        <f t="shared" si="81"/>
        <v/>
      </c>
      <c r="V928" s="16"/>
      <c r="W928" s="34"/>
      <c r="X928" s="35"/>
    </row>
    <row r="929" spans="11:24">
      <c r="K929" s="85"/>
      <c r="L929" s="54" t="str">
        <f t="shared" si="79"/>
        <v>F</v>
      </c>
      <c r="M929" s="38" t="str">
        <f t="shared" si="82"/>
        <v/>
      </c>
      <c r="N929" s="69" t="str">
        <f t="shared" si="80"/>
        <v/>
      </c>
      <c r="O929" s="97"/>
      <c r="P929" s="98"/>
      <c r="Q929" s="99"/>
      <c r="R929" s="100"/>
      <c r="S929" s="86"/>
      <c r="U929" s="48" t="str">
        <f t="shared" si="81"/>
        <v/>
      </c>
      <c r="V929" s="16"/>
      <c r="W929" s="34"/>
      <c r="X929" s="35"/>
    </row>
    <row r="930" spans="11:24">
      <c r="K930" s="85"/>
      <c r="L930" s="54" t="str">
        <f t="shared" si="79"/>
        <v>F</v>
      </c>
      <c r="M930" s="38" t="str">
        <f t="shared" si="82"/>
        <v/>
      </c>
      <c r="N930" s="69" t="str">
        <f t="shared" si="80"/>
        <v/>
      </c>
      <c r="O930" s="97"/>
      <c r="P930" s="98"/>
      <c r="Q930" s="99"/>
      <c r="R930" s="100"/>
      <c r="S930" s="86"/>
      <c r="U930" s="48" t="str">
        <f t="shared" si="81"/>
        <v/>
      </c>
      <c r="V930" s="16"/>
      <c r="W930" s="34"/>
      <c r="X930" s="35"/>
    </row>
    <row r="931" spans="11:24">
      <c r="K931" s="85"/>
      <c r="L931" s="54" t="str">
        <f t="shared" si="79"/>
        <v>F</v>
      </c>
      <c r="M931" s="38" t="str">
        <f t="shared" si="82"/>
        <v/>
      </c>
      <c r="N931" s="69" t="str">
        <f t="shared" si="80"/>
        <v/>
      </c>
      <c r="O931" s="97"/>
      <c r="P931" s="98"/>
      <c r="Q931" s="99"/>
      <c r="R931" s="100"/>
      <c r="S931" s="86"/>
      <c r="U931" s="48" t="str">
        <f t="shared" si="81"/>
        <v/>
      </c>
      <c r="V931" s="16"/>
      <c r="W931" s="34"/>
      <c r="X931" s="35"/>
    </row>
    <row r="932" spans="11:24">
      <c r="K932" s="85"/>
      <c r="L932" s="54" t="str">
        <f t="shared" si="79"/>
        <v>F</v>
      </c>
      <c r="M932" s="38" t="str">
        <f t="shared" si="82"/>
        <v/>
      </c>
      <c r="N932" s="69" t="str">
        <f t="shared" si="80"/>
        <v/>
      </c>
      <c r="O932" s="97"/>
      <c r="P932" s="98"/>
      <c r="Q932" s="99"/>
      <c r="R932" s="100"/>
      <c r="S932" s="86"/>
      <c r="U932" s="48" t="str">
        <f t="shared" si="81"/>
        <v/>
      </c>
      <c r="V932" s="16"/>
      <c r="W932" s="34"/>
      <c r="X932" s="35"/>
    </row>
    <row r="933" spans="11:24">
      <c r="K933" s="85"/>
      <c r="L933" s="54" t="str">
        <f t="shared" si="79"/>
        <v>F</v>
      </c>
      <c r="M933" s="38" t="str">
        <f t="shared" si="82"/>
        <v/>
      </c>
      <c r="N933" s="69" t="str">
        <f t="shared" si="80"/>
        <v/>
      </c>
      <c r="O933" s="97"/>
      <c r="P933" s="98"/>
      <c r="Q933" s="99"/>
      <c r="R933" s="100"/>
      <c r="S933" s="86"/>
      <c r="U933" s="48" t="str">
        <f t="shared" si="81"/>
        <v/>
      </c>
      <c r="V933" s="16"/>
      <c r="W933" s="34"/>
      <c r="X933" s="35"/>
    </row>
    <row r="934" spans="11:24">
      <c r="K934" s="85"/>
      <c r="L934" s="54" t="str">
        <f t="shared" si="79"/>
        <v>F</v>
      </c>
      <c r="M934" s="38" t="str">
        <f t="shared" si="82"/>
        <v/>
      </c>
      <c r="N934" s="69" t="str">
        <f t="shared" si="80"/>
        <v/>
      </c>
      <c r="O934" s="97"/>
      <c r="P934" s="98"/>
      <c r="Q934" s="99"/>
      <c r="R934" s="100"/>
      <c r="S934" s="86"/>
      <c r="U934" s="48" t="str">
        <f t="shared" si="81"/>
        <v/>
      </c>
      <c r="V934" s="16"/>
      <c r="W934" s="34"/>
      <c r="X934" s="35"/>
    </row>
    <row r="935" spans="11:24">
      <c r="K935" s="85"/>
      <c r="L935" s="54" t="str">
        <f t="shared" si="79"/>
        <v>F</v>
      </c>
      <c r="M935" s="38" t="str">
        <f t="shared" si="82"/>
        <v/>
      </c>
      <c r="N935" s="69" t="str">
        <f t="shared" si="80"/>
        <v/>
      </c>
      <c r="O935" s="97"/>
      <c r="P935" s="98"/>
      <c r="Q935" s="99"/>
      <c r="R935" s="100"/>
      <c r="S935" s="86"/>
      <c r="U935" s="48" t="str">
        <f t="shared" si="81"/>
        <v/>
      </c>
      <c r="V935" s="16"/>
      <c r="W935" s="34"/>
      <c r="X935" s="35"/>
    </row>
    <row r="936" spans="11:24">
      <c r="K936" s="85"/>
      <c r="L936" s="54" t="str">
        <f t="shared" si="79"/>
        <v>F</v>
      </c>
      <c r="M936" s="38" t="str">
        <f t="shared" si="82"/>
        <v/>
      </c>
      <c r="N936" s="69" t="str">
        <f t="shared" si="80"/>
        <v/>
      </c>
      <c r="O936" s="97"/>
      <c r="P936" s="98"/>
      <c r="Q936" s="99"/>
      <c r="R936" s="100"/>
      <c r="S936" s="86"/>
      <c r="U936" s="48" t="str">
        <f t="shared" si="81"/>
        <v/>
      </c>
      <c r="V936" s="16"/>
      <c r="W936" s="34"/>
      <c r="X936" s="35"/>
    </row>
    <row r="937" spans="11:24">
      <c r="K937" s="85"/>
      <c r="L937" s="54" t="str">
        <f t="shared" si="79"/>
        <v>F</v>
      </c>
      <c r="M937" s="38" t="str">
        <f t="shared" si="82"/>
        <v/>
      </c>
      <c r="N937" s="69" t="str">
        <f t="shared" si="80"/>
        <v/>
      </c>
      <c r="O937" s="97"/>
      <c r="P937" s="98"/>
      <c r="Q937" s="99"/>
      <c r="R937" s="100"/>
      <c r="S937" s="86"/>
      <c r="U937" s="48" t="str">
        <f t="shared" si="81"/>
        <v/>
      </c>
      <c r="V937" s="16"/>
      <c r="W937" s="34"/>
      <c r="X937" s="35"/>
    </row>
    <row r="938" spans="11:24">
      <c r="K938" s="85"/>
      <c r="L938" s="54" t="str">
        <f t="shared" si="79"/>
        <v>F</v>
      </c>
      <c r="M938" s="38" t="str">
        <f t="shared" si="82"/>
        <v/>
      </c>
      <c r="N938" s="69" t="str">
        <f t="shared" si="80"/>
        <v/>
      </c>
      <c r="O938" s="97"/>
      <c r="P938" s="98"/>
      <c r="Q938" s="99"/>
      <c r="R938" s="100"/>
      <c r="S938" s="86"/>
      <c r="U938" s="48" t="str">
        <f t="shared" si="81"/>
        <v/>
      </c>
      <c r="V938" s="16"/>
      <c r="W938" s="34"/>
      <c r="X938" s="35"/>
    </row>
    <row r="939" spans="11:24">
      <c r="K939" s="85"/>
      <c r="L939" s="54" t="str">
        <f t="shared" si="79"/>
        <v>F</v>
      </c>
      <c r="M939" s="38" t="str">
        <f t="shared" si="82"/>
        <v/>
      </c>
      <c r="N939" s="69" t="str">
        <f t="shared" si="80"/>
        <v/>
      </c>
      <c r="O939" s="97"/>
      <c r="P939" s="98"/>
      <c r="Q939" s="99"/>
      <c r="R939" s="100"/>
      <c r="S939" s="86"/>
      <c r="U939" s="48" t="str">
        <f t="shared" si="81"/>
        <v/>
      </c>
      <c r="V939" s="16"/>
      <c r="W939" s="34"/>
      <c r="X939" s="35"/>
    </row>
    <row r="940" spans="11:24">
      <c r="K940" s="85"/>
      <c r="L940" s="54" t="str">
        <f t="shared" si="79"/>
        <v>F</v>
      </c>
      <c r="M940" s="38" t="str">
        <f t="shared" si="82"/>
        <v/>
      </c>
      <c r="N940" s="69" t="str">
        <f t="shared" si="80"/>
        <v/>
      </c>
      <c r="O940" s="97"/>
      <c r="P940" s="98"/>
      <c r="Q940" s="99"/>
      <c r="R940" s="100"/>
      <c r="S940" s="86"/>
      <c r="U940" s="48" t="str">
        <f t="shared" si="81"/>
        <v/>
      </c>
      <c r="V940" s="16"/>
      <c r="W940" s="34"/>
      <c r="X940" s="35"/>
    </row>
    <row r="941" spans="11:24">
      <c r="K941" s="85"/>
      <c r="L941" s="54" t="str">
        <f t="shared" si="79"/>
        <v>F</v>
      </c>
      <c r="M941" s="38" t="str">
        <f t="shared" si="82"/>
        <v/>
      </c>
      <c r="N941" s="69" t="str">
        <f t="shared" si="80"/>
        <v/>
      </c>
      <c r="O941" s="97"/>
      <c r="P941" s="98"/>
      <c r="Q941" s="99"/>
      <c r="R941" s="100"/>
      <c r="S941" s="86"/>
      <c r="U941" s="48" t="str">
        <f t="shared" si="81"/>
        <v/>
      </c>
      <c r="V941" s="16"/>
      <c r="W941" s="34"/>
      <c r="X941" s="35"/>
    </row>
    <row r="942" spans="11:24">
      <c r="K942" s="85"/>
      <c r="L942" s="54" t="str">
        <f t="shared" si="79"/>
        <v>F</v>
      </c>
      <c r="M942" s="38" t="str">
        <f t="shared" si="82"/>
        <v/>
      </c>
      <c r="N942" s="69" t="str">
        <f t="shared" si="80"/>
        <v/>
      </c>
      <c r="O942" s="97"/>
      <c r="P942" s="98"/>
      <c r="Q942" s="99"/>
      <c r="R942" s="100"/>
      <c r="S942" s="86"/>
      <c r="U942" s="48" t="str">
        <f t="shared" si="81"/>
        <v/>
      </c>
      <c r="V942" s="16"/>
      <c r="W942" s="34"/>
      <c r="X942" s="35"/>
    </row>
    <row r="943" spans="11:24">
      <c r="K943" s="85"/>
      <c r="L943" s="54" t="str">
        <f t="shared" si="79"/>
        <v>F</v>
      </c>
      <c r="M943" s="38" t="str">
        <f t="shared" si="82"/>
        <v/>
      </c>
      <c r="N943" s="69" t="str">
        <f t="shared" si="80"/>
        <v/>
      </c>
      <c r="O943" s="97"/>
      <c r="P943" s="98"/>
      <c r="Q943" s="99"/>
      <c r="R943" s="100"/>
      <c r="S943" s="86"/>
      <c r="U943" s="48" t="str">
        <f t="shared" si="81"/>
        <v/>
      </c>
      <c r="V943" s="16"/>
      <c r="W943" s="34"/>
      <c r="X943" s="35"/>
    </row>
    <row r="944" spans="11:24">
      <c r="K944" s="85"/>
      <c r="L944" s="54" t="str">
        <f t="shared" si="79"/>
        <v>F</v>
      </c>
      <c r="M944" s="38" t="str">
        <f t="shared" si="82"/>
        <v/>
      </c>
      <c r="N944" s="69" t="str">
        <f t="shared" si="80"/>
        <v/>
      </c>
      <c r="O944" s="97"/>
      <c r="P944" s="98"/>
      <c r="Q944" s="99"/>
      <c r="R944" s="100"/>
      <c r="S944" s="86"/>
      <c r="U944" s="48" t="str">
        <f t="shared" si="81"/>
        <v/>
      </c>
      <c r="V944" s="16"/>
      <c r="W944" s="34"/>
      <c r="X944" s="35"/>
    </row>
    <row r="945" spans="11:24">
      <c r="K945" s="85"/>
      <c r="L945" s="54" t="str">
        <f t="shared" si="79"/>
        <v>F</v>
      </c>
      <c r="M945" s="38" t="str">
        <f t="shared" si="82"/>
        <v/>
      </c>
      <c r="N945" s="69" t="str">
        <f t="shared" si="80"/>
        <v/>
      </c>
      <c r="O945" s="97"/>
      <c r="P945" s="98"/>
      <c r="Q945" s="99"/>
      <c r="R945" s="100"/>
      <c r="S945" s="86"/>
      <c r="U945" s="48" t="str">
        <f t="shared" si="81"/>
        <v/>
      </c>
      <c r="V945" s="16"/>
      <c r="W945" s="34"/>
      <c r="X945" s="35"/>
    </row>
    <row r="946" spans="11:24">
      <c r="K946" s="85"/>
      <c r="L946" s="54" t="str">
        <f t="shared" si="79"/>
        <v>F</v>
      </c>
      <c r="M946" s="38" t="str">
        <f t="shared" si="82"/>
        <v/>
      </c>
      <c r="N946" s="69" t="str">
        <f t="shared" si="80"/>
        <v/>
      </c>
      <c r="O946" s="97"/>
      <c r="P946" s="98"/>
      <c r="Q946" s="99"/>
      <c r="R946" s="100"/>
      <c r="S946" s="86"/>
      <c r="U946" s="48" t="str">
        <f t="shared" si="81"/>
        <v/>
      </c>
      <c r="V946" s="16"/>
      <c r="W946" s="34"/>
      <c r="X946" s="35"/>
    </row>
    <row r="947" spans="11:24">
      <c r="K947" s="85"/>
      <c r="L947" s="54" t="str">
        <f t="shared" si="79"/>
        <v>F</v>
      </c>
      <c r="M947" s="38" t="str">
        <f t="shared" si="82"/>
        <v/>
      </c>
      <c r="N947" s="69" t="str">
        <f t="shared" si="80"/>
        <v/>
      </c>
      <c r="O947" s="97"/>
      <c r="P947" s="98"/>
      <c r="Q947" s="99"/>
      <c r="R947" s="100"/>
      <c r="S947" s="86"/>
      <c r="U947" s="48" t="str">
        <f t="shared" si="81"/>
        <v/>
      </c>
      <c r="V947" s="16"/>
      <c r="W947" s="34"/>
      <c r="X947" s="35"/>
    </row>
    <row r="948" spans="11:24">
      <c r="K948" s="85"/>
      <c r="L948" s="54" t="str">
        <f t="shared" si="79"/>
        <v>F</v>
      </c>
      <c r="M948" s="38" t="str">
        <f t="shared" si="82"/>
        <v/>
      </c>
      <c r="N948" s="69" t="str">
        <f t="shared" si="80"/>
        <v/>
      </c>
      <c r="O948" s="97"/>
      <c r="P948" s="98"/>
      <c r="Q948" s="99"/>
      <c r="R948" s="100"/>
      <c r="S948" s="86"/>
      <c r="U948" s="48" t="str">
        <f t="shared" si="81"/>
        <v/>
      </c>
      <c r="V948" s="16"/>
      <c r="W948" s="34"/>
      <c r="X948" s="35"/>
    </row>
    <row r="949" spans="11:24">
      <c r="K949" s="85"/>
      <c r="L949" s="54" t="str">
        <f t="shared" si="79"/>
        <v>F</v>
      </c>
      <c r="M949" s="38" t="str">
        <f t="shared" si="82"/>
        <v/>
      </c>
      <c r="N949" s="69" t="str">
        <f t="shared" si="80"/>
        <v/>
      </c>
      <c r="O949" s="97"/>
      <c r="P949" s="98"/>
      <c r="Q949" s="99"/>
      <c r="R949" s="100"/>
      <c r="S949" s="86"/>
      <c r="U949" s="48" t="str">
        <f t="shared" si="81"/>
        <v/>
      </c>
      <c r="V949" s="16"/>
      <c r="W949" s="34"/>
      <c r="X949" s="35"/>
    </row>
    <row r="950" spans="11:24">
      <c r="K950" s="85"/>
      <c r="L950" s="54" t="str">
        <f t="shared" si="79"/>
        <v>F</v>
      </c>
      <c r="M950" s="38" t="str">
        <f t="shared" si="82"/>
        <v/>
      </c>
      <c r="N950" s="69" t="str">
        <f t="shared" si="80"/>
        <v/>
      </c>
      <c r="O950" s="97"/>
      <c r="P950" s="98"/>
      <c r="Q950" s="99"/>
      <c r="R950" s="100"/>
      <c r="S950" s="86"/>
      <c r="U950" s="48" t="str">
        <f t="shared" si="81"/>
        <v/>
      </c>
      <c r="V950" s="16"/>
      <c r="W950" s="34"/>
      <c r="X950" s="35"/>
    </row>
    <row r="951" spans="11:24">
      <c r="K951" s="85"/>
      <c r="L951" s="54" t="str">
        <f t="shared" si="79"/>
        <v>F</v>
      </c>
      <c r="M951" s="38" t="str">
        <f t="shared" si="82"/>
        <v/>
      </c>
      <c r="N951" s="69" t="str">
        <f t="shared" si="80"/>
        <v/>
      </c>
      <c r="O951" s="97"/>
      <c r="P951" s="98"/>
      <c r="Q951" s="99"/>
      <c r="R951" s="100"/>
      <c r="S951" s="86"/>
      <c r="U951" s="48" t="str">
        <f t="shared" si="81"/>
        <v/>
      </c>
      <c r="V951" s="16"/>
      <c r="W951" s="34"/>
      <c r="X951" s="35"/>
    </row>
    <row r="952" spans="11:24">
      <c r="K952" s="85"/>
      <c r="L952" s="54" t="str">
        <f t="shared" si="79"/>
        <v>F</v>
      </c>
      <c r="M952" s="38" t="str">
        <f t="shared" si="82"/>
        <v/>
      </c>
      <c r="N952" s="69" t="str">
        <f t="shared" si="80"/>
        <v/>
      </c>
      <c r="O952" s="97"/>
      <c r="P952" s="98"/>
      <c r="Q952" s="99"/>
      <c r="R952" s="100"/>
      <c r="S952" s="86"/>
      <c r="U952" s="48" t="str">
        <f t="shared" si="81"/>
        <v/>
      </c>
      <c r="V952" s="16"/>
      <c r="W952" s="34"/>
      <c r="X952" s="35"/>
    </row>
    <row r="953" spans="11:24">
      <c r="K953" s="85"/>
      <c r="L953" s="54" t="str">
        <f t="shared" si="79"/>
        <v>F</v>
      </c>
      <c r="M953" s="38" t="str">
        <f t="shared" si="82"/>
        <v/>
      </c>
      <c r="N953" s="69" t="str">
        <f t="shared" si="80"/>
        <v/>
      </c>
      <c r="O953" s="97"/>
      <c r="P953" s="98"/>
      <c r="Q953" s="99"/>
      <c r="R953" s="100"/>
      <c r="S953" s="86"/>
      <c r="U953" s="48" t="str">
        <f t="shared" si="81"/>
        <v/>
      </c>
      <c r="V953" s="16"/>
      <c r="W953" s="34"/>
      <c r="X953" s="35"/>
    </row>
    <row r="954" spans="11:24">
      <c r="K954" s="85"/>
      <c r="L954" s="54" t="str">
        <f t="shared" si="79"/>
        <v>F</v>
      </c>
      <c r="M954" s="38" t="str">
        <f t="shared" si="82"/>
        <v/>
      </c>
      <c r="N954" s="69" t="str">
        <f t="shared" si="80"/>
        <v/>
      </c>
      <c r="O954" s="97"/>
      <c r="P954" s="98"/>
      <c r="Q954" s="99"/>
      <c r="R954" s="100"/>
      <c r="S954" s="86"/>
      <c r="U954" s="48" t="str">
        <f t="shared" si="81"/>
        <v/>
      </c>
      <c r="V954" s="16"/>
      <c r="W954" s="34"/>
      <c r="X954" s="35"/>
    </row>
    <row r="955" spans="11:24">
      <c r="K955" s="85"/>
      <c r="L955" s="54" t="str">
        <f t="shared" si="79"/>
        <v>F</v>
      </c>
      <c r="M955" s="38" t="str">
        <f t="shared" si="82"/>
        <v/>
      </c>
      <c r="N955" s="69" t="str">
        <f t="shared" si="80"/>
        <v/>
      </c>
      <c r="O955" s="97"/>
      <c r="P955" s="98"/>
      <c r="Q955" s="99"/>
      <c r="R955" s="100"/>
      <c r="S955" s="86"/>
      <c r="U955" s="48" t="str">
        <f t="shared" si="81"/>
        <v/>
      </c>
      <c r="V955" s="16"/>
      <c r="W955" s="34"/>
      <c r="X955" s="35"/>
    </row>
    <row r="956" spans="11:24">
      <c r="K956" s="85"/>
      <c r="L956" s="54" t="str">
        <f t="shared" si="79"/>
        <v>F</v>
      </c>
      <c r="M956" s="38" t="str">
        <f t="shared" si="82"/>
        <v/>
      </c>
      <c r="N956" s="69" t="str">
        <f t="shared" si="80"/>
        <v/>
      </c>
      <c r="O956" s="97"/>
      <c r="P956" s="98"/>
      <c r="Q956" s="99"/>
      <c r="R956" s="100"/>
      <c r="S956" s="86"/>
      <c r="U956" s="48" t="str">
        <f t="shared" si="81"/>
        <v/>
      </c>
      <c r="V956" s="16"/>
      <c r="W956" s="34"/>
      <c r="X956" s="35"/>
    </row>
    <row r="957" spans="11:24">
      <c r="K957" s="85"/>
      <c r="L957" s="54" t="str">
        <f t="shared" si="79"/>
        <v>F</v>
      </c>
      <c r="M957" s="38" t="str">
        <f t="shared" si="82"/>
        <v/>
      </c>
      <c r="N957" s="69" t="str">
        <f t="shared" si="80"/>
        <v/>
      </c>
      <c r="O957" s="97"/>
      <c r="P957" s="98"/>
      <c r="Q957" s="99"/>
      <c r="R957" s="100"/>
      <c r="S957" s="86"/>
      <c r="U957" s="48" t="str">
        <f t="shared" si="81"/>
        <v/>
      </c>
      <c r="V957" s="16"/>
      <c r="W957" s="34"/>
      <c r="X957" s="35"/>
    </row>
    <row r="958" spans="11:24">
      <c r="K958" s="85"/>
      <c r="L958" s="54" t="str">
        <f t="shared" si="79"/>
        <v>F</v>
      </c>
      <c r="M958" s="38" t="str">
        <f t="shared" si="82"/>
        <v/>
      </c>
      <c r="N958" s="69" t="str">
        <f t="shared" si="80"/>
        <v/>
      </c>
      <c r="O958" s="97"/>
      <c r="P958" s="98"/>
      <c r="Q958" s="99"/>
      <c r="R958" s="100"/>
      <c r="S958" s="86"/>
      <c r="U958" s="48" t="str">
        <f t="shared" si="81"/>
        <v/>
      </c>
      <c r="V958" s="16"/>
      <c r="W958" s="34"/>
      <c r="X958" s="35"/>
    </row>
    <row r="959" spans="11:24">
      <c r="K959" s="85"/>
      <c r="L959" s="54" t="str">
        <f t="shared" si="79"/>
        <v>F</v>
      </c>
      <c r="M959" s="38" t="str">
        <f t="shared" si="82"/>
        <v/>
      </c>
      <c r="N959" s="69" t="str">
        <f t="shared" si="80"/>
        <v/>
      </c>
      <c r="O959" s="97"/>
      <c r="P959" s="98"/>
      <c r="Q959" s="99"/>
      <c r="R959" s="100"/>
      <c r="S959" s="86"/>
      <c r="U959" s="48" t="str">
        <f t="shared" si="81"/>
        <v/>
      </c>
      <c r="V959" s="16"/>
      <c r="W959" s="34"/>
      <c r="X959" s="35"/>
    </row>
    <row r="960" spans="11:24">
      <c r="K960" s="85"/>
      <c r="L960" s="54" t="str">
        <f t="shared" si="79"/>
        <v>F</v>
      </c>
      <c r="M960" s="38" t="str">
        <f t="shared" si="82"/>
        <v/>
      </c>
      <c r="N960" s="69" t="str">
        <f t="shared" si="80"/>
        <v/>
      </c>
      <c r="O960" s="97"/>
      <c r="P960" s="98"/>
      <c r="Q960" s="99"/>
      <c r="R960" s="100"/>
      <c r="S960" s="86"/>
      <c r="U960" s="48" t="str">
        <f t="shared" si="81"/>
        <v/>
      </c>
      <c r="V960" s="16"/>
      <c r="W960" s="34"/>
      <c r="X960" s="35"/>
    </row>
    <row r="961" spans="11:24">
      <c r="K961" s="85"/>
      <c r="L961" s="54" t="str">
        <f t="shared" si="79"/>
        <v>F</v>
      </c>
      <c r="M961" s="38" t="str">
        <f t="shared" si="82"/>
        <v/>
      </c>
      <c r="N961" s="69" t="str">
        <f t="shared" si="80"/>
        <v/>
      </c>
      <c r="O961" s="97"/>
      <c r="P961" s="98"/>
      <c r="Q961" s="99"/>
      <c r="R961" s="100"/>
      <c r="S961" s="86"/>
      <c r="U961" s="48" t="str">
        <f t="shared" si="81"/>
        <v/>
      </c>
      <c r="V961" s="16"/>
      <c r="W961" s="34"/>
      <c r="X961" s="35"/>
    </row>
    <row r="962" spans="11:24">
      <c r="K962" s="85"/>
      <c r="L962" s="54" t="str">
        <f t="shared" si="79"/>
        <v>F</v>
      </c>
      <c r="M962" s="38" t="str">
        <f t="shared" si="82"/>
        <v/>
      </c>
      <c r="N962" s="69" t="str">
        <f t="shared" si="80"/>
        <v/>
      </c>
      <c r="O962" s="97"/>
      <c r="P962" s="98"/>
      <c r="Q962" s="99"/>
      <c r="R962" s="100"/>
      <c r="S962" s="86"/>
      <c r="U962" s="48" t="str">
        <f t="shared" si="81"/>
        <v/>
      </c>
      <c r="V962" s="16"/>
      <c r="W962" s="34"/>
      <c r="X962" s="35"/>
    </row>
    <row r="963" spans="11:24">
      <c r="K963" s="85"/>
      <c r="L963" s="54" t="str">
        <f t="shared" si="79"/>
        <v>F</v>
      </c>
      <c r="M963" s="38" t="str">
        <f t="shared" si="82"/>
        <v/>
      </c>
      <c r="N963" s="69" t="str">
        <f t="shared" si="80"/>
        <v/>
      </c>
      <c r="O963" s="97"/>
      <c r="P963" s="98"/>
      <c r="Q963" s="99"/>
      <c r="R963" s="100"/>
      <c r="S963" s="86"/>
      <c r="U963" s="48" t="str">
        <f t="shared" si="81"/>
        <v/>
      </c>
      <c r="V963" s="16"/>
      <c r="W963" s="34"/>
      <c r="X963" s="35"/>
    </row>
    <row r="964" spans="11:24">
      <c r="K964" s="85"/>
      <c r="L964" s="54" t="str">
        <f t="shared" si="79"/>
        <v>F</v>
      </c>
      <c r="M964" s="38" t="str">
        <f t="shared" si="82"/>
        <v/>
      </c>
      <c r="N964" s="69" t="str">
        <f t="shared" si="80"/>
        <v/>
      </c>
      <c r="O964" s="97"/>
      <c r="P964" s="98"/>
      <c r="Q964" s="99"/>
      <c r="R964" s="100"/>
      <c r="S964" s="86"/>
      <c r="U964" s="48" t="str">
        <f t="shared" si="81"/>
        <v/>
      </c>
      <c r="V964" s="16"/>
      <c r="W964" s="34"/>
      <c r="X964" s="35"/>
    </row>
    <row r="965" spans="11:24">
      <c r="K965" s="85"/>
      <c r="L965" s="54" t="str">
        <f t="shared" si="79"/>
        <v>F</v>
      </c>
      <c r="M965" s="38" t="str">
        <f t="shared" si="82"/>
        <v/>
      </c>
      <c r="N965" s="69" t="str">
        <f t="shared" si="80"/>
        <v/>
      </c>
      <c r="O965" s="97"/>
      <c r="P965" s="98"/>
      <c r="Q965" s="99"/>
      <c r="R965" s="100"/>
      <c r="S965" s="86"/>
      <c r="U965" s="48" t="str">
        <f t="shared" si="81"/>
        <v/>
      </c>
      <c r="V965" s="16"/>
      <c r="W965" s="34"/>
      <c r="X965" s="35"/>
    </row>
    <row r="966" spans="11:24">
      <c r="K966" s="85"/>
      <c r="L966" s="54" t="str">
        <f t="shared" si="79"/>
        <v>F</v>
      </c>
      <c r="M966" s="38" t="str">
        <f t="shared" si="82"/>
        <v/>
      </c>
      <c r="N966" s="69" t="str">
        <f t="shared" si="80"/>
        <v/>
      </c>
      <c r="O966" s="97"/>
      <c r="P966" s="98"/>
      <c r="Q966" s="99"/>
      <c r="R966" s="100"/>
      <c r="S966" s="86"/>
      <c r="U966" s="48" t="str">
        <f t="shared" si="81"/>
        <v/>
      </c>
      <c r="V966" s="16"/>
      <c r="W966" s="34"/>
      <c r="X966" s="35"/>
    </row>
    <row r="967" spans="11:24">
      <c r="K967" s="85"/>
      <c r="L967" s="54" t="str">
        <f t="shared" si="79"/>
        <v>F</v>
      </c>
      <c r="M967" s="38" t="str">
        <f t="shared" si="82"/>
        <v/>
      </c>
      <c r="N967" s="69" t="str">
        <f t="shared" si="80"/>
        <v/>
      </c>
      <c r="O967" s="97"/>
      <c r="P967" s="98"/>
      <c r="Q967" s="99"/>
      <c r="R967" s="100"/>
      <c r="S967" s="86"/>
      <c r="U967" s="48" t="str">
        <f t="shared" si="81"/>
        <v/>
      </c>
      <c r="V967" s="16"/>
      <c r="W967" s="34"/>
      <c r="X967" s="35"/>
    </row>
    <row r="968" spans="11:24">
      <c r="K968" s="85"/>
      <c r="L968" s="54" t="str">
        <f t="shared" si="79"/>
        <v>F</v>
      </c>
      <c r="M968" s="38" t="str">
        <f t="shared" si="82"/>
        <v/>
      </c>
      <c r="N968" s="69" t="str">
        <f t="shared" si="80"/>
        <v/>
      </c>
      <c r="O968" s="97"/>
      <c r="P968" s="98"/>
      <c r="Q968" s="99"/>
      <c r="R968" s="100"/>
      <c r="S968" s="86"/>
      <c r="U968" s="48" t="str">
        <f t="shared" si="81"/>
        <v/>
      </c>
      <c r="V968" s="16"/>
      <c r="W968" s="34"/>
      <c r="X968" s="35"/>
    </row>
    <row r="969" spans="11:24">
      <c r="K969" s="85"/>
      <c r="L969" s="54" t="str">
        <f t="shared" ref="L969:L1032" si="83">IF(UPPER(P969)="EQU","E",IF(P969="DB","D",IF(O969&lt;&gt;"","L",IF(N969="","F",""))))</f>
        <v>F</v>
      </c>
      <c r="M969" s="38" t="str">
        <f t="shared" si="82"/>
        <v/>
      </c>
      <c r="N969" s="69" t="str">
        <f t="shared" ref="N969:N1032" si="84">IFERROR(IF(N968+1&lt;=HEX2DEC(MemSize)+HEX2DEC(MemStart),N968+1,""),"")</f>
        <v/>
      </c>
      <c r="O969" s="97"/>
      <c r="P969" s="98"/>
      <c r="Q969" s="99"/>
      <c r="R969" s="100"/>
      <c r="S969" s="86"/>
      <c r="U969" s="48" t="str">
        <f t="shared" ref="U969:U1008" si="85">IF(V969&gt;0,RIGHT("0000"&amp;DEC2HEX(V969),4),"")</f>
        <v/>
      </c>
      <c r="V969" s="16"/>
      <c r="W969" s="34"/>
      <c r="X969" s="35"/>
    </row>
    <row r="970" spans="11:24">
      <c r="K970" s="85"/>
      <c r="L970" s="54" t="str">
        <f t="shared" si="83"/>
        <v>F</v>
      </c>
      <c r="M970" s="38" t="str">
        <f t="shared" si="82"/>
        <v/>
      </c>
      <c r="N970" s="69" t="str">
        <f t="shared" si="84"/>
        <v/>
      </c>
      <c r="O970" s="97"/>
      <c r="P970" s="98"/>
      <c r="Q970" s="99"/>
      <c r="R970" s="100"/>
      <c r="S970" s="86"/>
      <c r="U970" s="48" t="str">
        <f t="shared" si="85"/>
        <v/>
      </c>
      <c r="V970" s="16"/>
      <c r="W970" s="34"/>
      <c r="X970" s="35"/>
    </row>
    <row r="971" spans="11:24">
      <c r="K971" s="85"/>
      <c r="L971" s="54" t="str">
        <f t="shared" si="83"/>
        <v>F</v>
      </c>
      <c r="M971" s="38" t="str">
        <f t="shared" si="82"/>
        <v/>
      </c>
      <c r="N971" s="69" t="str">
        <f t="shared" si="84"/>
        <v/>
      </c>
      <c r="O971" s="97"/>
      <c r="P971" s="98"/>
      <c r="Q971" s="99"/>
      <c r="R971" s="100"/>
      <c r="S971" s="86"/>
      <c r="U971" s="48" t="str">
        <f t="shared" si="85"/>
        <v/>
      </c>
      <c r="V971" s="16"/>
      <c r="W971" s="34"/>
      <c r="X971" s="35"/>
    </row>
    <row r="972" spans="11:24">
      <c r="K972" s="85"/>
      <c r="L972" s="54" t="str">
        <f t="shared" si="83"/>
        <v>F</v>
      </c>
      <c r="M972" s="38" t="str">
        <f t="shared" si="82"/>
        <v/>
      </c>
      <c r="N972" s="69" t="str">
        <f t="shared" si="84"/>
        <v/>
      </c>
      <c r="O972" s="97"/>
      <c r="P972" s="98"/>
      <c r="Q972" s="99"/>
      <c r="R972" s="100"/>
      <c r="S972" s="86"/>
      <c r="U972" s="48" t="str">
        <f t="shared" si="85"/>
        <v/>
      </c>
      <c r="V972" s="16"/>
      <c r="W972" s="34"/>
      <c r="X972" s="35"/>
    </row>
    <row r="973" spans="11:24">
      <c r="K973" s="85"/>
      <c r="L973" s="54" t="str">
        <f t="shared" si="83"/>
        <v>F</v>
      </c>
      <c r="M973" s="38" t="str">
        <f t="shared" si="82"/>
        <v/>
      </c>
      <c r="N973" s="69" t="str">
        <f t="shared" si="84"/>
        <v/>
      </c>
      <c r="O973" s="97"/>
      <c r="P973" s="98"/>
      <c r="Q973" s="99"/>
      <c r="R973" s="100"/>
      <c r="S973" s="86"/>
      <c r="U973" s="48" t="str">
        <f t="shared" si="85"/>
        <v/>
      </c>
      <c r="V973" s="16"/>
      <c r="W973" s="34"/>
      <c r="X973" s="35"/>
    </row>
    <row r="974" spans="11:24">
      <c r="K974" s="85"/>
      <c r="L974" s="54" t="str">
        <f t="shared" si="83"/>
        <v>F</v>
      </c>
      <c r="M974" s="38" t="str">
        <f t="shared" si="82"/>
        <v/>
      </c>
      <c r="N974" s="69" t="str">
        <f t="shared" si="84"/>
        <v/>
      </c>
      <c r="O974" s="97"/>
      <c r="P974" s="98"/>
      <c r="Q974" s="99"/>
      <c r="R974" s="100"/>
      <c r="S974" s="86"/>
      <c r="U974" s="48" t="str">
        <f t="shared" si="85"/>
        <v/>
      </c>
      <c r="V974" s="16"/>
      <c r="W974" s="34"/>
      <c r="X974" s="35"/>
    </row>
    <row r="975" spans="11:24">
      <c r="K975" s="85"/>
      <c r="L975" s="54" t="str">
        <f t="shared" si="83"/>
        <v>F</v>
      </c>
      <c r="M975" s="38" t="str">
        <f t="shared" si="82"/>
        <v/>
      </c>
      <c r="N975" s="69" t="str">
        <f t="shared" si="84"/>
        <v/>
      </c>
      <c r="O975" s="97"/>
      <c r="P975" s="98"/>
      <c r="Q975" s="99"/>
      <c r="R975" s="100"/>
      <c r="S975" s="86"/>
      <c r="U975" s="48" t="str">
        <f t="shared" si="85"/>
        <v/>
      </c>
      <c r="V975" s="16"/>
      <c r="W975" s="34"/>
      <c r="X975" s="35"/>
    </row>
    <row r="976" spans="11:24">
      <c r="K976" s="85"/>
      <c r="L976" s="54" t="str">
        <f t="shared" si="83"/>
        <v>F</v>
      </c>
      <c r="M976" s="38" t="str">
        <f t="shared" si="82"/>
        <v/>
      </c>
      <c r="N976" s="69" t="str">
        <f t="shared" si="84"/>
        <v/>
      </c>
      <c r="O976" s="97"/>
      <c r="P976" s="98"/>
      <c r="Q976" s="99"/>
      <c r="R976" s="100"/>
      <c r="S976" s="86"/>
      <c r="U976" s="48" t="str">
        <f t="shared" si="85"/>
        <v/>
      </c>
      <c r="V976" s="16"/>
      <c r="W976" s="34"/>
      <c r="X976" s="35"/>
    </row>
    <row r="977" spans="11:24">
      <c r="K977" s="85"/>
      <c r="L977" s="54" t="str">
        <f t="shared" si="83"/>
        <v>F</v>
      </c>
      <c r="M977" s="38" t="str">
        <f t="shared" si="82"/>
        <v/>
      </c>
      <c r="N977" s="69" t="str">
        <f t="shared" si="84"/>
        <v/>
      </c>
      <c r="O977" s="97"/>
      <c r="P977" s="98"/>
      <c r="Q977" s="99"/>
      <c r="R977" s="100"/>
      <c r="S977" s="86"/>
      <c r="U977" s="48" t="str">
        <f t="shared" si="85"/>
        <v/>
      </c>
      <c r="V977" s="16"/>
      <c r="W977" s="34"/>
      <c r="X977" s="35"/>
    </row>
    <row r="978" spans="11:24">
      <c r="K978" s="85"/>
      <c r="L978" s="54" t="str">
        <f t="shared" si="83"/>
        <v>F</v>
      </c>
      <c r="M978" s="38" t="str">
        <f t="shared" si="82"/>
        <v/>
      </c>
      <c r="N978" s="69" t="str">
        <f t="shared" si="84"/>
        <v/>
      </c>
      <c r="O978" s="97"/>
      <c r="P978" s="98"/>
      <c r="Q978" s="99"/>
      <c r="R978" s="100"/>
      <c r="S978" s="86"/>
      <c r="U978" s="48" t="str">
        <f t="shared" si="85"/>
        <v/>
      </c>
      <c r="V978" s="16"/>
      <c r="W978" s="34"/>
      <c r="X978" s="35"/>
    </row>
    <row r="979" spans="11:24">
      <c r="K979" s="85"/>
      <c r="L979" s="54" t="str">
        <f t="shared" si="83"/>
        <v>F</v>
      </c>
      <c r="M979" s="38" t="str">
        <f t="shared" si="82"/>
        <v/>
      </c>
      <c r="N979" s="69" t="str">
        <f t="shared" si="84"/>
        <v/>
      </c>
      <c r="O979" s="97"/>
      <c r="P979" s="98"/>
      <c r="Q979" s="99"/>
      <c r="R979" s="100"/>
      <c r="S979" s="86"/>
      <c r="U979" s="48" t="str">
        <f t="shared" si="85"/>
        <v/>
      </c>
      <c r="V979" s="16"/>
      <c r="W979" s="34"/>
      <c r="X979" s="35"/>
    </row>
    <row r="980" spans="11:24">
      <c r="K980" s="85"/>
      <c r="L980" s="54" t="str">
        <f t="shared" si="83"/>
        <v>F</v>
      </c>
      <c r="M980" s="38" t="str">
        <f t="shared" si="82"/>
        <v/>
      </c>
      <c r="N980" s="69" t="str">
        <f t="shared" si="84"/>
        <v/>
      </c>
      <c r="O980" s="97"/>
      <c r="P980" s="98"/>
      <c r="Q980" s="99"/>
      <c r="R980" s="100"/>
      <c r="S980" s="86"/>
      <c r="U980" s="48" t="str">
        <f t="shared" si="85"/>
        <v/>
      </c>
      <c r="V980" s="16"/>
      <c r="W980" s="34"/>
      <c r="X980" s="35"/>
    </row>
    <row r="981" spans="11:24">
      <c r="K981" s="85"/>
      <c r="L981" s="54" t="str">
        <f t="shared" si="83"/>
        <v>F</v>
      </c>
      <c r="M981" s="38" t="str">
        <f t="shared" si="82"/>
        <v/>
      </c>
      <c r="N981" s="69" t="str">
        <f t="shared" si="84"/>
        <v/>
      </c>
      <c r="O981" s="97"/>
      <c r="P981" s="98"/>
      <c r="Q981" s="99"/>
      <c r="R981" s="100"/>
      <c r="S981" s="86"/>
      <c r="U981" s="48" t="str">
        <f t="shared" si="85"/>
        <v/>
      </c>
      <c r="V981" s="16"/>
      <c r="W981" s="34"/>
      <c r="X981" s="35"/>
    </row>
    <row r="982" spans="11:24">
      <c r="K982" s="85"/>
      <c r="L982" s="54" t="str">
        <f t="shared" si="83"/>
        <v>F</v>
      </c>
      <c r="M982" s="38" t="str">
        <f t="shared" si="82"/>
        <v/>
      </c>
      <c r="N982" s="69" t="str">
        <f t="shared" si="84"/>
        <v/>
      </c>
      <c r="O982" s="97"/>
      <c r="P982" s="98"/>
      <c r="Q982" s="99"/>
      <c r="R982" s="100"/>
      <c r="S982" s="86"/>
      <c r="U982" s="48" t="str">
        <f t="shared" si="85"/>
        <v/>
      </c>
      <c r="V982" s="16"/>
      <c r="W982" s="34"/>
      <c r="X982" s="35"/>
    </row>
    <row r="983" spans="11:24">
      <c r="K983" s="85"/>
      <c r="L983" s="54" t="str">
        <f t="shared" si="83"/>
        <v>F</v>
      </c>
      <c r="M983" s="38" t="str">
        <f t="shared" si="82"/>
        <v/>
      </c>
      <c r="N983" s="69" t="str">
        <f t="shared" si="84"/>
        <v/>
      </c>
      <c r="O983" s="97"/>
      <c r="P983" s="98"/>
      <c r="Q983" s="99"/>
      <c r="R983" s="100"/>
      <c r="S983" s="86"/>
      <c r="U983" s="48" t="str">
        <f t="shared" si="85"/>
        <v/>
      </c>
      <c r="V983" s="16"/>
      <c r="W983" s="34"/>
      <c r="X983" s="35"/>
    </row>
    <row r="984" spans="11:24">
      <c r="K984" s="85"/>
      <c r="L984" s="54" t="str">
        <f t="shared" si="83"/>
        <v>F</v>
      </c>
      <c r="M984" s="38" t="str">
        <f t="shared" si="82"/>
        <v/>
      </c>
      <c r="N984" s="69" t="str">
        <f t="shared" si="84"/>
        <v/>
      </c>
      <c r="O984" s="97"/>
      <c r="P984" s="98"/>
      <c r="Q984" s="99"/>
      <c r="R984" s="100"/>
      <c r="S984" s="86"/>
      <c r="U984" s="48" t="str">
        <f t="shared" si="85"/>
        <v/>
      </c>
      <c r="V984" s="16"/>
      <c r="W984" s="34"/>
      <c r="X984" s="35"/>
    </row>
    <row r="985" spans="11:24">
      <c r="K985" s="85"/>
      <c r="L985" s="54" t="str">
        <f t="shared" si="83"/>
        <v>F</v>
      </c>
      <c r="M985" s="38" t="str">
        <f t="shared" si="82"/>
        <v/>
      </c>
      <c r="N985" s="69" t="str">
        <f t="shared" si="84"/>
        <v/>
      </c>
      <c r="O985" s="97"/>
      <c r="P985" s="98"/>
      <c r="Q985" s="99"/>
      <c r="R985" s="100"/>
      <c r="S985" s="86"/>
      <c r="U985" s="48" t="str">
        <f t="shared" si="85"/>
        <v/>
      </c>
      <c r="V985" s="16"/>
      <c r="W985" s="34"/>
      <c r="X985" s="35"/>
    </row>
    <row r="986" spans="11:24">
      <c r="K986" s="85"/>
      <c r="L986" s="54" t="str">
        <f t="shared" si="83"/>
        <v>F</v>
      </c>
      <c r="M986" s="38" t="str">
        <f t="shared" si="82"/>
        <v/>
      </c>
      <c r="N986" s="69" t="str">
        <f t="shared" si="84"/>
        <v/>
      </c>
      <c r="O986" s="97"/>
      <c r="P986" s="98"/>
      <c r="Q986" s="99"/>
      <c r="R986" s="100"/>
      <c r="S986" s="86"/>
      <c r="U986" s="48" t="str">
        <f t="shared" si="85"/>
        <v/>
      </c>
      <c r="V986" s="16"/>
      <c r="W986" s="34"/>
      <c r="X986" s="35"/>
    </row>
    <row r="987" spans="11:24">
      <c r="K987" s="85"/>
      <c r="L987" s="54" t="str">
        <f t="shared" si="83"/>
        <v>F</v>
      </c>
      <c r="M987" s="38" t="str">
        <f t="shared" si="82"/>
        <v/>
      </c>
      <c r="N987" s="69" t="str">
        <f t="shared" si="84"/>
        <v/>
      </c>
      <c r="O987" s="97"/>
      <c r="P987" s="98"/>
      <c r="Q987" s="99"/>
      <c r="R987" s="100"/>
      <c r="S987" s="86"/>
      <c r="U987" s="48" t="str">
        <f t="shared" si="85"/>
        <v/>
      </c>
      <c r="V987" s="16"/>
      <c r="W987" s="34"/>
      <c r="X987" s="35"/>
    </row>
    <row r="988" spans="11:24">
      <c r="K988" s="85"/>
      <c r="L988" s="54" t="str">
        <f t="shared" si="83"/>
        <v>F</v>
      </c>
      <c r="M988" s="38" t="str">
        <f t="shared" si="82"/>
        <v/>
      </c>
      <c r="N988" s="69" t="str">
        <f t="shared" si="84"/>
        <v/>
      </c>
      <c r="O988" s="97"/>
      <c r="P988" s="98"/>
      <c r="Q988" s="99"/>
      <c r="R988" s="100"/>
      <c r="S988" s="86"/>
      <c r="U988" s="48" t="str">
        <f t="shared" si="85"/>
        <v/>
      </c>
      <c r="V988" s="16"/>
      <c r="W988" s="34"/>
      <c r="X988" s="35"/>
    </row>
    <row r="989" spans="11:24">
      <c r="K989" s="85"/>
      <c r="L989" s="54" t="str">
        <f t="shared" si="83"/>
        <v>F</v>
      </c>
      <c r="M989" s="38" t="str">
        <f t="shared" ref="M989:M1052" si="86">IFERROR(RIGHT("0000"&amp;DEC2HEX(N989),4),"")</f>
        <v/>
      </c>
      <c r="N989" s="69" t="str">
        <f t="shared" si="84"/>
        <v/>
      </c>
      <c r="O989" s="97"/>
      <c r="P989" s="98"/>
      <c r="Q989" s="99"/>
      <c r="R989" s="100"/>
      <c r="S989" s="86"/>
      <c r="U989" s="48" t="str">
        <f t="shared" si="85"/>
        <v/>
      </c>
      <c r="V989" s="16"/>
      <c r="W989" s="34"/>
      <c r="X989" s="35"/>
    </row>
    <row r="990" spans="11:24">
      <c r="K990" s="85"/>
      <c r="L990" s="54" t="str">
        <f t="shared" si="83"/>
        <v>F</v>
      </c>
      <c r="M990" s="38" t="str">
        <f t="shared" si="86"/>
        <v/>
      </c>
      <c r="N990" s="69" t="str">
        <f t="shared" si="84"/>
        <v/>
      </c>
      <c r="O990" s="97"/>
      <c r="P990" s="98"/>
      <c r="Q990" s="99"/>
      <c r="R990" s="100"/>
      <c r="S990" s="86"/>
      <c r="U990" s="48" t="str">
        <f t="shared" si="85"/>
        <v/>
      </c>
      <c r="V990" s="16"/>
      <c r="W990" s="34"/>
      <c r="X990" s="35"/>
    </row>
    <row r="991" spans="11:24">
      <c r="K991" s="85"/>
      <c r="L991" s="54" t="str">
        <f t="shared" si="83"/>
        <v>F</v>
      </c>
      <c r="M991" s="38" t="str">
        <f t="shared" si="86"/>
        <v/>
      </c>
      <c r="N991" s="69" t="str">
        <f t="shared" si="84"/>
        <v/>
      </c>
      <c r="O991" s="97"/>
      <c r="P991" s="98"/>
      <c r="Q991" s="99"/>
      <c r="R991" s="100"/>
      <c r="S991" s="86"/>
      <c r="U991" s="48" t="str">
        <f t="shared" si="85"/>
        <v/>
      </c>
      <c r="V991" s="16"/>
      <c r="W991" s="34"/>
      <c r="X991" s="35"/>
    </row>
    <row r="992" spans="11:24">
      <c r="K992" s="85"/>
      <c r="L992" s="54" t="str">
        <f t="shared" si="83"/>
        <v>F</v>
      </c>
      <c r="M992" s="38" t="str">
        <f t="shared" si="86"/>
        <v/>
      </c>
      <c r="N992" s="69" t="str">
        <f t="shared" si="84"/>
        <v/>
      </c>
      <c r="O992" s="97"/>
      <c r="P992" s="98"/>
      <c r="Q992" s="99"/>
      <c r="R992" s="100"/>
      <c r="S992" s="86"/>
      <c r="U992" s="48" t="str">
        <f t="shared" si="85"/>
        <v/>
      </c>
      <c r="V992" s="16"/>
      <c r="W992" s="34"/>
      <c r="X992" s="35"/>
    </row>
    <row r="993" spans="11:24">
      <c r="K993" s="85"/>
      <c r="L993" s="54" t="str">
        <f t="shared" si="83"/>
        <v>F</v>
      </c>
      <c r="M993" s="38" t="str">
        <f t="shared" si="86"/>
        <v/>
      </c>
      <c r="N993" s="69" t="str">
        <f t="shared" si="84"/>
        <v/>
      </c>
      <c r="O993" s="97"/>
      <c r="P993" s="98"/>
      <c r="Q993" s="99"/>
      <c r="R993" s="100"/>
      <c r="S993" s="86"/>
      <c r="U993" s="48" t="str">
        <f t="shared" si="85"/>
        <v/>
      </c>
      <c r="V993" s="16"/>
      <c r="W993" s="34"/>
      <c r="X993" s="35"/>
    </row>
    <row r="994" spans="11:24">
      <c r="K994" s="85"/>
      <c r="L994" s="54" t="str">
        <f t="shared" si="83"/>
        <v>F</v>
      </c>
      <c r="M994" s="38" t="str">
        <f t="shared" si="86"/>
        <v/>
      </c>
      <c r="N994" s="69" t="str">
        <f t="shared" si="84"/>
        <v/>
      </c>
      <c r="O994" s="97"/>
      <c r="P994" s="98"/>
      <c r="Q994" s="99"/>
      <c r="R994" s="100"/>
      <c r="S994" s="86"/>
      <c r="U994" s="48" t="str">
        <f t="shared" si="85"/>
        <v/>
      </c>
      <c r="V994" s="16"/>
      <c r="W994" s="34"/>
      <c r="X994" s="35"/>
    </row>
    <row r="995" spans="11:24">
      <c r="K995" s="85"/>
      <c r="L995" s="54" t="str">
        <f t="shared" si="83"/>
        <v>F</v>
      </c>
      <c r="M995" s="38" t="str">
        <f t="shared" si="86"/>
        <v/>
      </c>
      <c r="N995" s="69" t="str">
        <f t="shared" si="84"/>
        <v/>
      </c>
      <c r="O995" s="97"/>
      <c r="P995" s="98"/>
      <c r="Q995" s="99"/>
      <c r="R995" s="100"/>
      <c r="S995" s="86"/>
      <c r="U995" s="48" t="str">
        <f t="shared" si="85"/>
        <v/>
      </c>
      <c r="V995" s="16"/>
      <c r="W995" s="34"/>
      <c r="X995" s="35"/>
    </row>
    <row r="996" spans="11:24">
      <c r="K996" s="85"/>
      <c r="L996" s="54" t="str">
        <f t="shared" si="83"/>
        <v>F</v>
      </c>
      <c r="M996" s="38" t="str">
        <f t="shared" si="86"/>
        <v/>
      </c>
      <c r="N996" s="69" t="str">
        <f t="shared" si="84"/>
        <v/>
      </c>
      <c r="O996" s="97"/>
      <c r="P996" s="98"/>
      <c r="Q996" s="99"/>
      <c r="R996" s="100"/>
      <c r="S996" s="86"/>
      <c r="U996" s="48" t="str">
        <f t="shared" si="85"/>
        <v/>
      </c>
      <c r="V996" s="16"/>
      <c r="W996" s="34"/>
      <c r="X996" s="35"/>
    </row>
    <row r="997" spans="11:24">
      <c r="K997" s="85"/>
      <c r="L997" s="54" t="str">
        <f t="shared" si="83"/>
        <v>F</v>
      </c>
      <c r="M997" s="38" t="str">
        <f t="shared" si="86"/>
        <v/>
      </c>
      <c r="N997" s="69" t="str">
        <f t="shared" si="84"/>
        <v/>
      </c>
      <c r="O997" s="97"/>
      <c r="P997" s="98"/>
      <c r="Q997" s="99"/>
      <c r="R997" s="100"/>
      <c r="S997" s="86"/>
      <c r="U997" s="48" t="str">
        <f t="shared" si="85"/>
        <v/>
      </c>
      <c r="V997" s="16"/>
      <c r="W997" s="34"/>
      <c r="X997" s="35"/>
    </row>
    <row r="998" spans="11:24">
      <c r="K998" s="85"/>
      <c r="L998" s="54" t="str">
        <f t="shared" si="83"/>
        <v>F</v>
      </c>
      <c r="M998" s="38" t="str">
        <f t="shared" si="86"/>
        <v/>
      </c>
      <c r="N998" s="69" t="str">
        <f t="shared" si="84"/>
        <v/>
      </c>
      <c r="O998" s="97"/>
      <c r="P998" s="98"/>
      <c r="Q998" s="99"/>
      <c r="R998" s="100"/>
      <c r="S998" s="86"/>
      <c r="U998" s="48" t="str">
        <f t="shared" si="85"/>
        <v/>
      </c>
      <c r="V998" s="16"/>
      <c r="W998" s="34"/>
      <c r="X998" s="35"/>
    </row>
    <row r="999" spans="11:24">
      <c r="K999" s="85"/>
      <c r="L999" s="54" t="str">
        <f t="shared" si="83"/>
        <v>F</v>
      </c>
      <c r="M999" s="38" t="str">
        <f t="shared" si="86"/>
        <v/>
      </c>
      <c r="N999" s="69" t="str">
        <f t="shared" si="84"/>
        <v/>
      </c>
      <c r="O999" s="97"/>
      <c r="P999" s="98"/>
      <c r="Q999" s="99"/>
      <c r="R999" s="100"/>
      <c r="S999" s="86"/>
      <c r="U999" s="48" t="str">
        <f t="shared" si="85"/>
        <v/>
      </c>
      <c r="V999" s="16"/>
      <c r="W999" s="34"/>
      <c r="X999" s="35"/>
    </row>
    <row r="1000" spans="11:24">
      <c r="K1000" s="85"/>
      <c r="L1000" s="54" t="str">
        <f t="shared" si="83"/>
        <v>F</v>
      </c>
      <c r="M1000" s="38" t="str">
        <f t="shared" si="86"/>
        <v/>
      </c>
      <c r="N1000" s="69" t="str">
        <f t="shared" si="84"/>
        <v/>
      </c>
      <c r="O1000" s="97"/>
      <c r="P1000" s="98"/>
      <c r="Q1000" s="99"/>
      <c r="R1000" s="100"/>
      <c r="S1000" s="86"/>
      <c r="U1000" s="48" t="str">
        <f t="shared" si="85"/>
        <v/>
      </c>
      <c r="V1000" s="16"/>
      <c r="W1000" s="34"/>
      <c r="X1000" s="35"/>
    </row>
    <row r="1001" spans="11:24">
      <c r="K1001" s="85"/>
      <c r="L1001" s="54" t="str">
        <f t="shared" si="83"/>
        <v>F</v>
      </c>
      <c r="M1001" s="38" t="str">
        <f t="shared" si="86"/>
        <v/>
      </c>
      <c r="N1001" s="69" t="str">
        <f t="shared" si="84"/>
        <v/>
      </c>
      <c r="O1001" s="97"/>
      <c r="P1001" s="98"/>
      <c r="Q1001" s="99"/>
      <c r="R1001" s="100"/>
      <c r="S1001" s="86"/>
      <c r="U1001" s="48" t="str">
        <f t="shared" si="85"/>
        <v/>
      </c>
      <c r="V1001" s="16"/>
      <c r="W1001" s="34"/>
      <c r="X1001" s="35"/>
    </row>
    <row r="1002" spans="11:24">
      <c r="K1002" s="85"/>
      <c r="L1002" s="54" t="str">
        <f t="shared" si="83"/>
        <v>F</v>
      </c>
      <c r="M1002" s="38" t="str">
        <f t="shared" si="86"/>
        <v/>
      </c>
      <c r="N1002" s="69" t="str">
        <f t="shared" si="84"/>
        <v/>
      </c>
      <c r="O1002" s="97"/>
      <c r="P1002" s="98"/>
      <c r="Q1002" s="99"/>
      <c r="R1002" s="100"/>
      <c r="S1002" s="86"/>
      <c r="U1002" s="48" t="str">
        <f t="shared" si="85"/>
        <v/>
      </c>
      <c r="V1002" s="16"/>
      <c r="W1002" s="34"/>
      <c r="X1002" s="35"/>
    </row>
    <row r="1003" spans="11:24">
      <c r="K1003" s="85"/>
      <c r="L1003" s="54" t="str">
        <f t="shared" si="83"/>
        <v>F</v>
      </c>
      <c r="M1003" s="38" t="str">
        <f t="shared" si="86"/>
        <v/>
      </c>
      <c r="N1003" s="69" t="str">
        <f t="shared" si="84"/>
        <v/>
      </c>
      <c r="O1003" s="97"/>
      <c r="P1003" s="98"/>
      <c r="Q1003" s="99"/>
      <c r="R1003" s="100"/>
      <c r="S1003" s="86"/>
      <c r="U1003" s="48" t="str">
        <f t="shared" si="85"/>
        <v/>
      </c>
      <c r="V1003" s="16"/>
      <c r="W1003" s="34"/>
      <c r="X1003" s="35"/>
    </row>
    <row r="1004" spans="11:24">
      <c r="K1004" s="85"/>
      <c r="L1004" s="54" t="str">
        <f t="shared" si="83"/>
        <v>F</v>
      </c>
      <c r="M1004" s="38" t="str">
        <f t="shared" si="86"/>
        <v/>
      </c>
      <c r="N1004" s="69" t="str">
        <f t="shared" si="84"/>
        <v/>
      </c>
      <c r="O1004" s="97"/>
      <c r="P1004" s="98"/>
      <c r="Q1004" s="99"/>
      <c r="R1004" s="100"/>
      <c r="S1004" s="86"/>
      <c r="U1004" s="48" t="str">
        <f t="shared" si="85"/>
        <v/>
      </c>
      <c r="V1004" s="16"/>
      <c r="W1004" s="34"/>
      <c r="X1004" s="35"/>
    </row>
    <row r="1005" spans="11:24">
      <c r="K1005" s="85"/>
      <c r="L1005" s="54" t="str">
        <f t="shared" si="83"/>
        <v>F</v>
      </c>
      <c r="M1005" s="38" t="str">
        <f t="shared" si="86"/>
        <v/>
      </c>
      <c r="N1005" s="69" t="str">
        <f t="shared" si="84"/>
        <v/>
      </c>
      <c r="O1005" s="97"/>
      <c r="P1005" s="98"/>
      <c r="Q1005" s="99"/>
      <c r="R1005" s="100"/>
      <c r="S1005" s="86"/>
      <c r="U1005" s="48" t="str">
        <f t="shared" si="85"/>
        <v/>
      </c>
      <c r="V1005" s="16"/>
      <c r="W1005" s="34"/>
      <c r="X1005" s="35"/>
    </row>
    <row r="1006" spans="11:24">
      <c r="K1006" s="85"/>
      <c r="L1006" s="54" t="str">
        <f t="shared" si="83"/>
        <v>F</v>
      </c>
      <c r="M1006" s="38" t="str">
        <f t="shared" si="86"/>
        <v/>
      </c>
      <c r="N1006" s="69" t="str">
        <f t="shared" si="84"/>
        <v/>
      </c>
      <c r="O1006" s="97"/>
      <c r="P1006" s="98"/>
      <c r="Q1006" s="99"/>
      <c r="R1006" s="100"/>
      <c r="S1006" s="86"/>
      <c r="U1006" s="48" t="str">
        <f t="shared" si="85"/>
        <v/>
      </c>
      <c r="V1006" s="16"/>
      <c r="W1006" s="34"/>
      <c r="X1006" s="35"/>
    </row>
    <row r="1007" spans="11:24">
      <c r="K1007" s="85"/>
      <c r="L1007" s="54" t="str">
        <f t="shared" si="83"/>
        <v>F</v>
      </c>
      <c r="M1007" s="38" t="str">
        <f t="shared" si="86"/>
        <v/>
      </c>
      <c r="N1007" s="69" t="str">
        <f t="shared" si="84"/>
        <v/>
      </c>
      <c r="O1007" s="97"/>
      <c r="P1007" s="98"/>
      <c r="Q1007" s="99"/>
      <c r="R1007" s="100"/>
      <c r="S1007" s="86"/>
      <c r="U1007" s="48" t="str">
        <f t="shared" si="85"/>
        <v/>
      </c>
      <c r="V1007" s="16"/>
      <c r="W1007" s="34"/>
      <c r="X1007" s="35"/>
    </row>
    <row r="1008" spans="11:24" ht="15.75" thickBot="1">
      <c r="K1008" s="85"/>
      <c r="L1008" s="54" t="str">
        <f t="shared" si="83"/>
        <v>F</v>
      </c>
      <c r="M1008" s="38" t="str">
        <f t="shared" si="86"/>
        <v/>
      </c>
      <c r="N1008" s="69" t="str">
        <f t="shared" si="84"/>
        <v/>
      </c>
      <c r="O1008" s="97"/>
      <c r="P1008" s="98"/>
      <c r="Q1008" s="99"/>
      <c r="R1008" s="100"/>
      <c r="S1008" s="86"/>
      <c r="U1008" s="49" t="str">
        <f t="shared" si="85"/>
        <v/>
      </c>
      <c r="V1008" s="17"/>
      <c r="W1008" s="36"/>
      <c r="X1008" s="37"/>
    </row>
    <row r="1009" spans="11:19">
      <c r="K1009" s="85"/>
      <c r="L1009" s="54" t="str">
        <f t="shared" si="83"/>
        <v>F</v>
      </c>
      <c r="M1009" s="38" t="str">
        <f t="shared" si="86"/>
        <v/>
      </c>
      <c r="N1009" s="69" t="str">
        <f t="shared" si="84"/>
        <v/>
      </c>
      <c r="O1009" s="97"/>
      <c r="P1009" s="98"/>
      <c r="Q1009" s="99"/>
      <c r="R1009" s="100"/>
      <c r="S1009" s="86"/>
    </row>
    <row r="1010" spans="11:19">
      <c r="K1010" s="85"/>
      <c r="L1010" s="54" t="str">
        <f t="shared" si="83"/>
        <v>F</v>
      </c>
      <c r="M1010" s="38" t="str">
        <f t="shared" si="86"/>
        <v/>
      </c>
      <c r="N1010" s="69" t="str">
        <f t="shared" si="84"/>
        <v/>
      </c>
      <c r="O1010" s="97"/>
      <c r="P1010" s="98"/>
      <c r="Q1010" s="99"/>
      <c r="R1010" s="100"/>
      <c r="S1010" s="86"/>
    </row>
    <row r="1011" spans="11:19">
      <c r="K1011" s="85"/>
      <c r="L1011" s="54" t="str">
        <f t="shared" si="83"/>
        <v>F</v>
      </c>
      <c r="M1011" s="38" t="str">
        <f t="shared" si="86"/>
        <v/>
      </c>
      <c r="N1011" s="69" t="str">
        <f t="shared" si="84"/>
        <v/>
      </c>
      <c r="O1011" s="97"/>
      <c r="P1011" s="98"/>
      <c r="Q1011" s="99"/>
      <c r="R1011" s="100"/>
      <c r="S1011" s="86"/>
    </row>
    <row r="1012" spans="11:19">
      <c r="K1012" s="85"/>
      <c r="L1012" s="54" t="str">
        <f t="shared" si="83"/>
        <v>F</v>
      </c>
      <c r="M1012" s="38" t="str">
        <f t="shared" si="86"/>
        <v/>
      </c>
      <c r="N1012" s="69" t="str">
        <f t="shared" si="84"/>
        <v/>
      </c>
      <c r="O1012" s="97"/>
      <c r="P1012" s="98"/>
      <c r="Q1012" s="99"/>
      <c r="R1012" s="100"/>
      <c r="S1012" s="86"/>
    </row>
    <row r="1013" spans="11:19">
      <c r="K1013" s="85"/>
      <c r="L1013" s="54" t="str">
        <f t="shared" si="83"/>
        <v>F</v>
      </c>
      <c r="M1013" s="38" t="str">
        <f t="shared" si="86"/>
        <v/>
      </c>
      <c r="N1013" s="69" t="str">
        <f t="shared" si="84"/>
        <v/>
      </c>
      <c r="O1013" s="97"/>
      <c r="P1013" s="98"/>
      <c r="Q1013" s="99"/>
      <c r="R1013" s="100"/>
      <c r="S1013" s="86"/>
    </row>
    <row r="1014" spans="11:19">
      <c r="K1014" s="85"/>
      <c r="L1014" s="54" t="str">
        <f t="shared" si="83"/>
        <v>F</v>
      </c>
      <c r="M1014" s="38" t="str">
        <f t="shared" si="86"/>
        <v/>
      </c>
      <c r="N1014" s="69" t="str">
        <f t="shared" si="84"/>
        <v/>
      </c>
      <c r="O1014" s="97"/>
      <c r="P1014" s="98"/>
      <c r="Q1014" s="99"/>
      <c r="R1014" s="100"/>
      <c r="S1014" s="86"/>
    </row>
    <row r="1015" spans="11:19">
      <c r="K1015" s="85"/>
      <c r="L1015" s="54" t="str">
        <f t="shared" si="83"/>
        <v>F</v>
      </c>
      <c r="M1015" s="38" t="str">
        <f t="shared" si="86"/>
        <v/>
      </c>
      <c r="N1015" s="69" t="str">
        <f t="shared" si="84"/>
        <v/>
      </c>
      <c r="O1015" s="97"/>
      <c r="P1015" s="98"/>
      <c r="Q1015" s="99"/>
      <c r="R1015" s="100"/>
      <c r="S1015" s="86"/>
    </row>
    <row r="1016" spans="11:19">
      <c r="K1016" s="85"/>
      <c r="L1016" s="54" t="str">
        <f t="shared" si="83"/>
        <v>F</v>
      </c>
      <c r="M1016" s="38" t="str">
        <f t="shared" si="86"/>
        <v/>
      </c>
      <c r="N1016" s="69" t="str">
        <f t="shared" si="84"/>
        <v/>
      </c>
      <c r="O1016" s="97"/>
      <c r="P1016" s="98"/>
      <c r="Q1016" s="99"/>
      <c r="R1016" s="100"/>
      <c r="S1016" s="86"/>
    </row>
    <row r="1017" spans="11:19">
      <c r="K1017" s="85"/>
      <c r="L1017" s="54" t="str">
        <f t="shared" si="83"/>
        <v>F</v>
      </c>
      <c r="M1017" s="38" t="str">
        <f t="shared" si="86"/>
        <v/>
      </c>
      <c r="N1017" s="69" t="str">
        <f t="shared" si="84"/>
        <v/>
      </c>
      <c r="O1017" s="97"/>
      <c r="P1017" s="98"/>
      <c r="Q1017" s="99"/>
      <c r="R1017" s="100"/>
      <c r="S1017" s="86"/>
    </row>
    <row r="1018" spans="11:19">
      <c r="K1018" s="85"/>
      <c r="L1018" s="54" t="str">
        <f t="shared" si="83"/>
        <v>F</v>
      </c>
      <c r="M1018" s="38" t="str">
        <f t="shared" si="86"/>
        <v/>
      </c>
      <c r="N1018" s="69" t="str">
        <f t="shared" si="84"/>
        <v/>
      </c>
      <c r="O1018" s="97"/>
      <c r="P1018" s="98"/>
      <c r="Q1018" s="99"/>
      <c r="R1018" s="100"/>
      <c r="S1018" s="86"/>
    </row>
    <row r="1019" spans="11:19">
      <c r="K1019" s="85"/>
      <c r="L1019" s="54" t="str">
        <f t="shared" si="83"/>
        <v>F</v>
      </c>
      <c r="M1019" s="38" t="str">
        <f t="shared" si="86"/>
        <v/>
      </c>
      <c r="N1019" s="69" t="str">
        <f t="shared" si="84"/>
        <v/>
      </c>
      <c r="O1019" s="97"/>
      <c r="P1019" s="98"/>
      <c r="Q1019" s="99"/>
      <c r="R1019" s="100"/>
      <c r="S1019" s="86"/>
    </row>
    <row r="1020" spans="11:19">
      <c r="K1020" s="85"/>
      <c r="L1020" s="54" t="str">
        <f t="shared" si="83"/>
        <v>F</v>
      </c>
      <c r="M1020" s="38" t="str">
        <f t="shared" si="86"/>
        <v/>
      </c>
      <c r="N1020" s="69" t="str">
        <f t="shared" si="84"/>
        <v/>
      </c>
      <c r="O1020" s="97"/>
      <c r="P1020" s="98"/>
      <c r="Q1020" s="99"/>
      <c r="R1020" s="100"/>
      <c r="S1020" s="86"/>
    </row>
    <row r="1021" spans="11:19">
      <c r="K1021" s="85"/>
      <c r="L1021" s="54" t="str">
        <f t="shared" si="83"/>
        <v>F</v>
      </c>
      <c r="M1021" s="38" t="str">
        <f t="shared" si="86"/>
        <v/>
      </c>
      <c r="N1021" s="69" t="str">
        <f t="shared" si="84"/>
        <v/>
      </c>
      <c r="O1021" s="97"/>
      <c r="P1021" s="98"/>
      <c r="Q1021" s="99"/>
      <c r="R1021" s="100"/>
      <c r="S1021" s="86"/>
    </row>
    <row r="1022" spans="11:19">
      <c r="K1022" s="85"/>
      <c r="L1022" s="54" t="str">
        <f t="shared" si="83"/>
        <v>F</v>
      </c>
      <c r="M1022" s="38" t="str">
        <f t="shared" si="86"/>
        <v/>
      </c>
      <c r="N1022" s="69" t="str">
        <f t="shared" si="84"/>
        <v/>
      </c>
      <c r="O1022" s="97"/>
      <c r="P1022" s="98"/>
      <c r="Q1022" s="99"/>
      <c r="R1022" s="100"/>
      <c r="S1022" s="86"/>
    </row>
    <row r="1023" spans="11:19">
      <c r="K1023" s="85"/>
      <c r="L1023" s="54" t="str">
        <f t="shared" si="83"/>
        <v>F</v>
      </c>
      <c r="M1023" s="38" t="str">
        <f t="shared" si="86"/>
        <v/>
      </c>
      <c r="N1023" s="69" t="str">
        <f t="shared" si="84"/>
        <v/>
      </c>
      <c r="O1023" s="97"/>
      <c r="P1023" s="98"/>
      <c r="Q1023" s="99"/>
      <c r="R1023" s="100"/>
      <c r="S1023" s="86"/>
    </row>
    <row r="1024" spans="11:19">
      <c r="K1024" s="85"/>
      <c r="L1024" s="54" t="str">
        <f t="shared" si="83"/>
        <v>F</v>
      </c>
      <c r="M1024" s="38" t="str">
        <f t="shared" si="86"/>
        <v/>
      </c>
      <c r="N1024" s="69" t="str">
        <f t="shared" si="84"/>
        <v/>
      </c>
      <c r="O1024" s="97"/>
      <c r="P1024" s="98"/>
      <c r="Q1024" s="99"/>
      <c r="R1024" s="100"/>
      <c r="S1024" s="86"/>
    </row>
    <row r="1025" spans="11:19">
      <c r="K1025" s="85"/>
      <c r="L1025" s="54" t="str">
        <f t="shared" si="83"/>
        <v>F</v>
      </c>
      <c r="M1025" s="38" t="str">
        <f t="shared" si="86"/>
        <v/>
      </c>
      <c r="N1025" s="69" t="str">
        <f t="shared" si="84"/>
        <v/>
      </c>
      <c r="O1025" s="97"/>
      <c r="P1025" s="98"/>
      <c r="Q1025" s="99"/>
      <c r="R1025" s="100"/>
      <c r="S1025" s="86"/>
    </row>
    <row r="1026" spans="11:19">
      <c r="K1026" s="85"/>
      <c r="L1026" s="54" t="str">
        <f t="shared" si="83"/>
        <v>F</v>
      </c>
      <c r="M1026" s="38" t="str">
        <f t="shared" si="86"/>
        <v/>
      </c>
      <c r="N1026" s="69" t="str">
        <f t="shared" si="84"/>
        <v/>
      </c>
      <c r="O1026" s="97"/>
      <c r="P1026" s="98"/>
      <c r="Q1026" s="99"/>
      <c r="R1026" s="100"/>
      <c r="S1026" s="86"/>
    </row>
    <row r="1027" spans="11:19">
      <c r="K1027" s="85"/>
      <c r="L1027" s="54" t="str">
        <f t="shared" si="83"/>
        <v>F</v>
      </c>
      <c r="M1027" s="38" t="str">
        <f t="shared" si="86"/>
        <v/>
      </c>
      <c r="N1027" s="69" t="str">
        <f t="shared" si="84"/>
        <v/>
      </c>
      <c r="O1027" s="97"/>
      <c r="P1027" s="98"/>
      <c r="Q1027" s="99"/>
      <c r="R1027" s="100"/>
      <c r="S1027" s="86"/>
    </row>
    <row r="1028" spans="11:19">
      <c r="K1028" s="85"/>
      <c r="L1028" s="54" t="str">
        <f t="shared" si="83"/>
        <v>F</v>
      </c>
      <c r="M1028" s="38" t="str">
        <f t="shared" si="86"/>
        <v/>
      </c>
      <c r="N1028" s="69" t="str">
        <f t="shared" si="84"/>
        <v/>
      </c>
      <c r="O1028" s="97"/>
      <c r="P1028" s="98"/>
      <c r="Q1028" s="99"/>
      <c r="R1028" s="100"/>
      <c r="S1028" s="86"/>
    </row>
    <row r="1029" spans="11:19">
      <c r="K1029" s="85"/>
      <c r="L1029" s="54" t="str">
        <f t="shared" si="83"/>
        <v>F</v>
      </c>
      <c r="M1029" s="38" t="str">
        <f t="shared" si="86"/>
        <v/>
      </c>
      <c r="N1029" s="69" t="str">
        <f t="shared" si="84"/>
        <v/>
      </c>
      <c r="O1029" s="97"/>
      <c r="P1029" s="98"/>
      <c r="Q1029" s="99"/>
      <c r="R1029" s="100"/>
      <c r="S1029" s="86"/>
    </row>
    <row r="1030" spans="11:19">
      <c r="K1030" s="85"/>
      <c r="L1030" s="54" t="str">
        <f t="shared" si="83"/>
        <v>F</v>
      </c>
      <c r="M1030" s="38" t="str">
        <f t="shared" si="86"/>
        <v/>
      </c>
      <c r="N1030" s="69" t="str">
        <f t="shared" si="84"/>
        <v/>
      </c>
      <c r="O1030" s="97"/>
      <c r="P1030" s="98"/>
      <c r="Q1030" s="99"/>
      <c r="R1030" s="100"/>
      <c r="S1030" s="86"/>
    </row>
    <row r="1031" spans="11:19">
      <c r="K1031" s="85"/>
      <c r="L1031" s="54" t="str">
        <f t="shared" si="83"/>
        <v>F</v>
      </c>
      <c r="M1031" s="38" t="str">
        <f t="shared" si="86"/>
        <v/>
      </c>
      <c r="N1031" s="69" t="str">
        <f t="shared" si="84"/>
        <v/>
      </c>
      <c r="O1031" s="97"/>
      <c r="P1031" s="98"/>
      <c r="Q1031" s="99"/>
      <c r="R1031" s="100"/>
      <c r="S1031" s="86"/>
    </row>
    <row r="1032" spans="11:19">
      <c r="K1032" s="85"/>
      <c r="L1032" s="54" t="str">
        <f t="shared" si="83"/>
        <v>F</v>
      </c>
      <c r="M1032" s="38" t="str">
        <f t="shared" si="86"/>
        <v/>
      </c>
      <c r="N1032" s="69" t="str">
        <f t="shared" si="84"/>
        <v/>
      </c>
      <c r="O1032" s="97"/>
      <c r="P1032" s="98"/>
      <c r="Q1032" s="99"/>
      <c r="R1032" s="100"/>
      <c r="S1032" s="86"/>
    </row>
    <row r="1033" spans="11:19">
      <c r="K1033" s="85"/>
      <c r="L1033" s="54" t="str">
        <f t="shared" ref="L1033:L1070" si="87">IF(UPPER(P1033)="EQU","E",IF(P1033="DB","D",IF(O1033&lt;&gt;"","L",IF(N1033="","F",""))))</f>
        <v>F</v>
      </c>
      <c r="M1033" s="38" t="str">
        <f t="shared" si="86"/>
        <v/>
      </c>
      <c r="N1033" s="69" t="str">
        <f t="shared" ref="N1033:N1070" si="88">IFERROR(IF(N1032+1&lt;=HEX2DEC(MemSize)+HEX2DEC(MemStart),N1032+1,""),"")</f>
        <v/>
      </c>
      <c r="O1033" s="97"/>
      <c r="P1033" s="98"/>
      <c r="Q1033" s="99"/>
      <c r="R1033" s="100"/>
      <c r="S1033" s="86"/>
    </row>
    <row r="1034" spans="11:19">
      <c r="K1034" s="85"/>
      <c r="L1034" s="54" t="str">
        <f t="shared" si="87"/>
        <v>F</v>
      </c>
      <c r="M1034" s="38" t="str">
        <f t="shared" si="86"/>
        <v/>
      </c>
      <c r="N1034" s="69" t="str">
        <f t="shared" si="88"/>
        <v/>
      </c>
      <c r="O1034" s="97"/>
      <c r="P1034" s="98"/>
      <c r="Q1034" s="99"/>
      <c r="R1034" s="100"/>
      <c r="S1034" s="86"/>
    </row>
    <row r="1035" spans="11:19">
      <c r="K1035" s="85"/>
      <c r="L1035" s="54" t="str">
        <f t="shared" si="87"/>
        <v>F</v>
      </c>
      <c r="M1035" s="38" t="str">
        <f t="shared" si="86"/>
        <v/>
      </c>
      <c r="N1035" s="69" t="str">
        <f t="shared" si="88"/>
        <v/>
      </c>
      <c r="O1035" s="97"/>
      <c r="P1035" s="98"/>
      <c r="Q1035" s="99"/>
      <c r="R1035" s="100"/>
      <c r="S1035" s="86"/>
    </row>
    <row r="1036" spans="11:19">
      <c r="K1036" s="85"/>
      <c r="L1036" s="54" t="str">
        <f t="shared" si="87"/>
        <v>F</v>
      </c>
      <c r="M1036" s="38" t="str">
        <f t="shared" si="86"/>
        <v/>
      </c>
      <c r="N1036" s="69" t="str">
        <f t="shared" si="88"/>
        <v/>
      </c>
      <c r="O1036" s="97"/>
      <c r="P1036" s="98"/>
      <c r="Q1036" s="99"/>
      <c r="R1036" s="100"/>
      <c r="S1036" s="86"/>
    </row>
    <row r="1037" spans="11:19">
      <c r="K1037" s="85"/>
      <c r="L1037" s="54" t="str">
        <f t="shared" si="87"/>
        <v>F</v>
      </c>
      <c r="M1037" s="38" t="str">
        <f t="shared" si="86"/>
        <v/>
      </c>
      <c r="N1037" s="69" t="str">
        <f t="shared" si="88"/>
        <v/>
      </c>
      <c r="O1037" s="97"/>
      <c r="P1037" s="98"/>
      <c r="Q1037" s="99"/>
      <c r="R1037" s="100"/>
      <c r="S1037" s="86"/>
    </row>
    <row r="1038" spans="11:19">
      <c r="K1038" s="85"/>
      <c r="L1038" s="54" t="str">
        <f t="shared" si="87"/>
        <v>F</v>
      </c>
      <c r="M1038" s="38" t="str">
        <f t="shared" si="86"/>
        <v/>
      </c>
      <c r="N1038" s="69" t="str">
        <f t="shared" si="88"/>
        <v/>
      </c>
      <c r="O1038" s="97"/>
      <c r="P1038" s="98"/>
      <c r="Q1038" s="99"/>
      <c r="R1038" s="100"/>
      <c r="S1038" s="86"/>
    </row>
    <row r="1039" spans="11:19">
      <c r="K1039" s="85"/>
      <c r="L1039" s="54" t="str">
        <f t="shared" si="87"/>
        <v>F</v>
      </c>
      <c r="M1039" s="38" t="str">
        <f t="shared" si="86"/>
        <v/>
      </c>
      <c r="N1039" s="69" t="str">
        <f t="shared" si="88"/>
        <v/>
      </c>
      <c r="O1039" s="97"/>
      <c r="P1039" s="98"/>
      <c r="Q1039" s="99"/>
      <c r="R1039" s="100"/>
      <c r="S1039" s="86"/>
    </row>
    <row r="1040" spans="11:19">
      <c r="K1040" s="85"/>
      <c r="L1040" s="54" t="str">
        <f t="shared" si="87"/>
        <v>F</v>
      </c>
      <c r="M1040" s="38" t="str">
        <f t="shared" si="86"/>
        <v/>
      </c>
      <c r="N1040" s="69" t="str">
        <f t="shared" si="88"/>
        <v/>
      </c>
      <c r="O1040" s="97"/>
      <c r="P1040" s="98"/>
      <c r="Q1040" s="99"/>
      <c r="R1040" s="100"/>
      <c r="S1040" s="86"/>
    </row>
    <row r="1041" spans="11:19">
      <c r="K1041" s="85"/>
      <c r="L1041" s="54" t="str">
        <f t="shared" si="87"/>
        <v>F</v>
      </c>
      <c r="M1041" s="38" t="str">
        <f t="shared" si="86"/>
        <v/>
      </c>
      <c r="N1041" s="69" t="str">
        <f t="shared" si="88"/>
        <v/>
      </c>
      <c r="O1041" s="97"/>
      <c r="P1041" s="98"/>
      <c r="Q1041" s="99"/>
      <c r="R1041" s="100"/>
      <c r="S1041" s="86"/>
    </row>
    <row r="1042" spans="11:19">
      <c r="K1042" s="85"/>
      <c r="L1042" s="54" t="str">
        <f t="shared" si="87"/>
        <v>F</v>
      </c>
      <c r="M1042" s="38" t="str">
        <f t="shared" si="86"/>
        <v/>
      </c>
      <c r="N1042" s="69" t="str">
        <f t="shared" si="88"/>
        <v/>
      </c>
      <c r="O1042" s="97"/>
      <c r="P1042" s="98"/>
      <c r="Q1042" s="99"/>
      <c r="R1042" s="100"/>
      <c r="S1042" s="86"/>
    </row>
    <row r="1043" spans="11:19">
      <c r="K1043" s="85"/>
      <c r="L1043" s="54" t="str">
        <f t="shared" si="87"/>
        <v>F</v>
      </c>
      <c r="M1043" s="38" t="str">
        <f t="shared" si="86"/>
        <v/>
      </c>
      <c r="N1043" s="69" t="str">
        <f t="shared" si="88"/>
        <v/>
      </c>
      <c r="O1043" s="97"/>
      <c r="P1043" s="98"/>
      <c r="Q1043" s="99"/>
      <c r="R1043" s="100"/>
      <c r="S1043" s="86"/>
    </row>
    <row r="1044" spans="11:19">
      <c r="K1044" s="85"/>
      <c r="L1044" s="54" t="str">
        <f t="shared" si="87"/>
        <v>F</v>
      </c>
      <c r="M1044" s="38" t="str">
        <f t="shared" si="86"/>
        <v/>
      </c>
      <c r="N1044" s="69" t="str">
        <f t="shared" si="88"/>
        <v/>
      </c>
      <c r="O1044" s="97"/>
      <c r="P1044" s="98"/>
      <c r="Q1044" s="99"/>
      <c r="R1044" s="100"/>
      <c r="S1044" s="86"/>
    </row>
    <row r="1045" spans="11:19">
      <c r="K1045" s="85"/>
      <c r="L1045" s="54" t="str">
        <f t="shared" si="87"/>
        <v>F</v>
      </c>
      <c r="M1045" s="38" t="str">
        <f t="shared" si="86"/>
        <v/>
      </c>
      <c r="N1045" s="69" t="str">
        <f t="shared" si="88"/>
        <v/>
      </c>
      <c r="O1045" s="97"/>
      <c r="P1045" s="98"/>
      <c r="Q1045" s="99"/>
      <c r="R1045" s="100"/>
      <c r="S1045" s="86"/>
    </row>
    <row r="1046" spans="11:19">
      <c r="K1046" s="85"/>
      <c r="L1046" s="54" t="str">
        <f t="shared" si="87"/>
        <v>F</v>
      </c>
      <c r="M1046" s="38" t="str">
        <f t="shared" si="86"/>
        <v/>
      </c>
      <c r="N1046" s="69" t="str">
        <f t="shared" si="88"/>
        <v/>
      </c>
      <c r="O1046" s="97"/>
      <c r="P1046" s="98"/>
      <c r="Q1046" s="99"/>
      <c r="R1046" s="100"/>
      <c r="S1046" s="86"/>
    </row>
    <row r="1047" spans="11:19">
      <c r="K1047" s="85"/>
      <c r="L1047" s="54" t="str">
        <f t="shared" si="87"/>
        <v>F</v>
      </c>
      <c r="M1047" s="38" t="str">
        <f t="shared" si="86"/>
        <v/>
      </c>
      <c r="N1047" s="69" t="str">
        <f t="shared" si="88"/>
        <v/>
      </c>
      <c r="O1047" s="97"/>
      <c r="P1047" s="98"/>
      <c r="Q1047" s="99"/>
      <c r="R1047" s="100"/>
      <c r="S1047" s="86"/>
    </row>
    <row r="1048" spans="11:19">
      <c r="K1048" s="85"/>
      <c r="L1048" s="54" t="str">
        <f t="shared" si="87"/>
        <v>F</v>
      </c>
      <c r="M1048" s="38" t="str">
        <f t="shared" si="86"/>
        <v/>
      </c>
      <c r="N1048" s="69" t="str">
        <f t="shared" si="88"/>
        <v/>
      </c>
      <c r="O1048" s="97"/>
      <c r="P1048" s="98"/>
      <c r="Q1048" s="99"/>
      <c r="R1048" s="100"/>
      <c r="S1048" s="86"/>
    </row>
    <row r="1049" spans="11:19">
      <c r="K1049" s="85"/>
      <c r="L1049" s="54" t="str">
        <f t="shared" si="87"/>
        <v>F</v>
      </c>
      <c r="M1049" s="38" t="str">
        <f t="shared" si="86"/>
        <v/>
      </c>
      <c r="N1049" s="69" t="str">
        <f t="shared" si="88"/>
        <v/>
      </c>
      <c r="O1049" s="97"/>
      <c r="P1049" s="98"/>
      <c r="Q1049" s="99"/>
      <c r="R1049" s="100"/>
      <c r="S1049" s="86"/>
    </row>
    <row r="1050" spans="11:19">
      <c r="K1050" s="85"/>
      <c r="L1050" s="54" t="str">
        <f t="shared" si="87"/>
        <v>F</v>
      </c>
      <c r="M1050" s="38" t="str">
        <f t="shared" si="86"/>
        <v/>
      </c>
      <c r="N1050" s="69" t="str">
        <f t="shared" si="88"/>
        <v/>
      </c>
      <c r="O1050" s="97"/>
      <c r="P1050" s="98"/>
      <c r="Q1050" s="99"/>
      <c r="R1050" s="100"/>
      <c r="S1050" s="86"/>
    </row>
    <row r="1051" spans="11:19">
      <c r="K1051" s="85"/>
      <c r="L1051" s="54" t="str">
        <f t="shared" si="87"/>
        <v>F</v>
      </c>
      <c r="M1051" s="38" t="str">
        <f t="shared" si="86"/>
        <v/>
      </c>
      <c r="N1051" s="69" t="str">
        <f t="shared" si="88"/>
        <v/>
      </c>
      <c r="O1051" s="97"/>
      <c r="P1051" s="98"/>
      <c r="Q1051" s="99"/>
      <c r="R1051" s="100"/>
      <c r="S1051" s="86"/>
    </row>
    <row r="1052" spans="11:19">
      <c r="K1052" s="85"/>
      <c r="L1052" s="54" t="str">
        <f t="shared" si="87"/>
        <v>F</v>
      </c>
      <c r="M1052" s="38" t="str">
        <f t="shared" si="86"/>
        <v/>
      </c>
      <c r="N1052" s="69" t="str">
        <f t="shared" si="88"/>
        <v/>
      </c>
      <c r="O1052" s="97"/>
      <c r="P1052" s="98"/>
      <c r="Q1052" s="99"/>
      <c r="R1052" s="100"/>
      <c r="S1052" s="86"/>
    </row>
    <row r="1053" spans="11:19">
      <c r="K1053" s="85"/>
      <c r="L1053" s="54" t="str">
        <f t="shared" si="87"/>
        <v>F</v>
      </c>
      <c r="M1053" s="38" t="str">
        <f t="shared" ref="M1053:M1070" si="89">IFERROR(RIGHT("0000"&amp;DEC2HEX(N1053),4),"")</f>
        <v/>
      </c>
      <c r="N1053" s="69" t="str">
        <f t="shared" si="88"/>
        <v/>
      </c>
      <c r="O1053" s="97"/>
      <c r="P1053" s="98"/>
      <c r="Q1053" s="99"/>
      <c r="R1053" s="100"/>
      <c r="S1053" s="86"/>
    </row>
    <row r="1054" spans="11:19">
      <c r="K1054" s="85"/>
      <c r="L1054" s="54" t="str">
        <f t="shared" si="87"/>
        <v>F</v>
      </c>
      <c r="M1054" s="38" t="str">
        <f t="shared" si="89"/>
        <v/>
      </c>
      <c r="N1054" s="69" t="str">
        <f t="shared" si="88"/>
        <v/>
      </c>
      <c r="O1054" s="97"/>
      <c r="P1054" s="98"/>
      <c r="Q1054" s="99"/>
      <c r="R1054" s="100"/>
      <c r="S1054" s="86"/>
    </row>
    <row r="1055" spans="11:19">
      <c r="K1055" s="85"/>
      <c r="L1055" s="54" t="str">
        <f t="shared" si="87"/>
        <v>F</v>
      </c>
      <c r="M1055" s="38" t="str">
        <f t="shared" si="89"/>
        <v/>
      </c>
      <c r="N1055" s="69" t="str">
        <f t="shared" si="88"/>
        <v/>
      </c>
      <c r="O1055" s="97"/>
      <c r="P1055" s="98"/>
      <c r="Q1055" s="99"/>
      <c r="R1055" s="100"/>
      <c r="S1055" s="86"/>
    </row>
    <row r="1056" spans="11:19">
      <c r="K1056" s="85"/>
      <c r="L1056" s="54" t="str">
        <f t="shared" si="87"/>
        <v>F</v>
      </c>
      <c r="M1056" s="38" t="str">
        <f t="shared" si="89"/>
        <v/>
      </c>
      <c r="N1056" s="69" t="str">
        <f t="shared" si="88"/>
        <v/>
      </c>
      <c r="O1056" s="97"/>
      <c r="P1056" s="98"/>
      <c r="Q1056" s="99"/>
      <c r="R1056" s="100"/>
      <c r="S1056" s="86"/>
    </row>
    <row r="1057" spans="11:19">
      <c r="K1057" s="85"/>
      <c r="L1057" s="54" t="str">
        <f t="shared" si="87"/>
        <v>F</v>
      </c>
      <c r="M1057" s="38" t="str">
        <f t="shared" si="89"/>
        <v/>
      </c>
      <c r="N1057" s="69" t="str">
        <f t="shared" si="88"/>
        <v/>
      </c>
      <c r="O1057" s="97"/>
      <c r="P1057" s="98"/>
      <c r="Q1057" s="99"/>
      <c r="R1057" s="100"/>
      <c r="S1057" s="86"/>
    </row>
    <row r="1058" spans="11:19">
      <c r="K1058" s="85"/>
      <c r="L1058" s="54" t="str">
        <f t="shared" si="87"/>
        <v>F</v>
      </c>
      <c r="M1058" s="38" t="str">
        <f t="shared" si="89"/>
        <v/>
      </c>
      <c r="N1058" s="69" t="str">
        <f t="shared" si="88"/>
        <v/>
      </c>
      <c r="O1058" s="97"/>
      <c r="P1058" s="98"/>
      <c r="Q1058" s="99"/>
      <c r="R1058" s="100"/>
      <c r="S1058" s="86"/>
    </row>
    <row r="1059" spans="11:19">
      <c r="K1059" s="85"/>
      <c r="L1059" s="54" t="str">
        <f t="shared" si="87"/>
        <v>F</v>
      </c>
      <c r="M1059" s="38" t="str">
        <f t="shared" si="89"/>
        <v/>
      </c>
      <c r="N1059" s="69" t="str">
        <f t="shared" si="88"/>
        <v/>
      </c>
      <c r="O1059" s="97"/>
      <c r="P1059" s="98"/>
      <c r="Q1059" s="99"/>
      <c r="R1059" s="100"/>
      <c r="S1059" s="86"/>
    </row>
    <row r="1060" spans="11:19">
      <c r="K1060" s="85"/>
      <c r="L1060" s="54" t="str">
        <f t="shared" si="87"/>
        <v>F</v>
      </c>
      <c r="M1060" s="38" t="str">
        <f t="shared" si="89"/>
        <v/>
      </c>
      <c r="N1060" s="69" t="str">
        <f t="shared" si="88"/>
        <v/>
      </c>
      <c r="O1060" s="97"/>
      <c r="P1060" s="98"/>
      <c r="Q1060" s="99"/>
      <c r="R1060" s="100"/>
      <c r="S1060" s="86"/>
    </row>
    <row r="1061" spans="11:19">
      <c r="K1061" s="85"/>
      <c r="L1061" s="54" t="str">
        <f t="shared" si="87"/>
        <v>F</v>
      </c>
      <c r="M1061" s="38" t="str">
        <f t="shared" si="89"/>
        <v/>
      </c>
      <c r="N1061" s="69" t="str">
        <f t="shared" si="88"/>
        <v/>
      </c>
      <c r="O1061" s="97"/>
      <c r="P1061" s="98"/>
      <c r="Q1061" s="99"/>
      <c r="R1061" s="100"/>
      <c r="S1061" s="86"/>
    </row>
    <row r="1062" spans="11:19">
      <c r="K1062" s="85"/>
      <c r="L1062" s="54" t="str">
        <f t="shared" si="87"/>
        <v>F</v>
      </c>
      <c r="M1062" s="38" t="str">
        <f t="shared" si="89"/>
        <v/>
      </c>
      <c r="N1062" s="69" t="str">
        <f t="shared" si="88"/>
        <v/>
      </c>
      <c r="O1062" s="97"/>
      <c r="P1062" s="98"/>
      <c r="Q1062" s="99"/>
      <c r="R1062" s="100"/>
      <c r="S1062" s="86"/>
    </row>
    <row r="1063" spans="11:19">
      <c r="K1063" s="85"/>
      <c r="L1063" s="54" t="str">
        <f t="shared" si="87"/>
        <v>F</v>
      </c>
      <c r="M1063" s="38" t="str">
        <f t="shared" si="89"/>
        <v/>
      </c>
      <c r="N1063" s="69" t="str">
        <f t="shared" si="88"/>
        <v/>
      </c>
      <c r="O1063" s="97"/>
      <c r="P1063" s="98"/>
      <c r="Q1063" s="99"/>
      <c r="R1063" s="100"/>
      <c r="S1063" s="86"/>
    </row>
    <row r="1064" spans="11:19">
      <c r="K1064" s="85"/>
      <c r="L1064" s="54" t="str">
        <f t="shared" si="87"/>
        <v>F</v>
      </c>
      <c r="M1064" s="38" t="str">
        <f t="shared" si="89"/>
        <v/>
      </c>
      <c r="N1064" s="69" t="str">
        <f t="shared" si="88"/>
        <v/>
      </c>
      <c r="O1064" s="97"/>
      <c r="P1064" s="98"/>
      <c r="Q1064" s="99"/>
      <c r="R1064" s="100"/>
      <c r="S1064" s="86"/>
    </row>
    <row r="1065" spans="11:19">
      <c r="K1065" s="85"/>
      <c r="L1065" s="54" t="str">
        <f t="shared" si="87"/>
        <v>F</v>
      </c>
      <c r="M1065" s="38" t="str">
        <f t="shared" si="89"/>
        <v/>
      </c>
      <c r="N1065" s="69" t="str">
        <f t="shared" si="88"/>
        <v/>
      </c>
      <c r="O1065" s="97"/>
      <c r="P1065" s="98"/>
      <c r="Q1065" s="99"/>
      <c r="R1065" s="100"/>
      <c r="S1065" s="86"/>
    </row>
    <row r="1066" spans="11:19">
      <c r="K1066" s="85"/>
      <c r="L1066" s="54" t="str">
        <f t="shared" si="87"/>
        <v>F</v>
      </c>
      <c r="M1066" s="38" t="str">
        <f t="shared" si="89"/>
        <v/>
      </c>
      <c r="N1066" s="69" t="str">
        <f t="shared" si="88"/>
        <v/>
      </c>
      <c r="O1066" s="97"/>
      <c r="P1066" s="98"/>
      <c r="Q1066" s="99"/>
      <c r="R1066" s="100"/>
      <c r="S1066" s="86"/>
    </row>
    <row r="1067" spans="11:19">
      <c r="K1067" s="85"/>
      <c r="L1067" s="54" t="str">
        <f t="shared" si="87"/>
        <v>F</v>
      </c>
      <c r="M1067" s="38" t="str">
        <f t="shared" si="89"/>
        <v/>
      </c>
      <c r="N1067" s="69" t="str">
        <f t="shared" si="88"/>
        <v/>
      </c>
      <c r="O1067" s="97"/>
      <c r="P1067" s="98"/>
      <c r="Q1067" s="99"/>
      <c r="R1067" s="100"/>
      <c r="S1067" s="86"/>
    </row>
    <row r="1068" spans="11:19">
      <c r="K1068" s="85"/>
      <c r="L1068" s="54" t="str">
        <f t="shared" si="87"/>
        <v>F</v>
      </c>
      <c r="M1068" s="38" t="str">
        <f t="shared" si="89"/>
        <v/>
      </c>
      <c r="N1068" s="69" t="str">
        <f t="shared" si="88"/>
        <v/>
      </c>
      <c r="O1068" s="97"/>
      <c r="P1068" s="98"/>
      <c r="Q1068" s="99"/>
      <c r="R1068" s="100"/>
      <c r="S1068" s="86"/>
    </row>
    <row r="1069" spans="11:19">
      <c r="K1069" s="85"/>
      <c r="L1069" s="54" t="str">
        <f t="shared" si="87"/>
        <v>F</v>
      </c>
      <c r="M1069" s="38" t="str">
        <f t="shared" si="89"/>
        <v/>
      </c>
      <c r="N1069" s="69" t="str">
        <f t="shared" si="88"/>
        <v/>
      </c>
      <c r="O1069" s="97"/>
      <c r="P1069" s="98"/>
      <c r="Q1069" s="99"/>
      <c r="R1069" s="100"/>
      <c r="S1069" s="86"/>
    </row>
    <row r="1070" spans="11:19">
      <c r="K1070" s="85"/>
      <c r="L1070" s="54" t="str">
        <f t="shared" si="87"/>
        <v>F</v>
      </c>
      <c r="M1070" s="38" t="str">
        <f t="shared" si="89"/>
        <v/>
      </c>
      <c r="N1070" s="69" t="str">
        <f t="shared" si="88"/>
        <v/>
      </c>
      <c r="O1070" s="97"/>
      <c r="P1070" s="98"/>
      <c r="Q1070" s="99"/>
      <c r="R1070" s="100"/>
      <c r="S1070" s="86"/>
    </row>
  </sheetData>
  <mergeCells count="1">
    <mergeCell ref="F1:V1"/>
  </mergeCells>
  <conditionalFormatting sqref="E1">
    <cfRule type="cellIs" dxfId="13" priority="29" operator="equal">
      <formula>0</formula>
    </cfRule>
    <cfRule type="cellIs" dxfId="12" priority="30" operator="greaterThan">
      <formula>0</formula>
    </cfRule>
  </conditionalFormatting>
  <conditionalFormatting sqref="F1:V1">
    <cfRule type="containsText" dxfId="11" priority="20" operator="containsText" text="Halted">
      <formula>NOT(ISERROR(SEARCH("Halted",F1)))</formula>
    </cfRule>
    <cfRule type="containsText" dxfId="10" priority="27" operator="containsText" text="Execution Complete">
      <formula>NOT(ISERROR(SEARCH("Execution Complete",F1)))</formula>
    </cfRule>
    <cfRule type="containsText" dxfId="9" priority="28" operator="containsText" text="Error">
      <formula>NOT(ISERROR(SEARCH("Error",F1)))</formula>
    </cfRule>
  </conditionalFormatting>
  <conditionalFormatting sqref="P22:R1070">
    <cfRule type="expression" dxfId="8" priority="52">
      <formula>$N22=$E$13</formula>
    </cfRule>
  </conditionalFormatting>
  <conditionalFormatting sqref="M7:S7 M22:S1070 M8:N1070 S8:S1070">
    <cfRule type="containsText" dxfId="7" priority="8" operator="containsText" text=" ">
      <formula>NOT(ISERROR(SEARCH(" ",M7)))</formula>
    </cfRule>
  </conditionalFormatting>
  <conditionalFormatting sqref="AK5:AL5">
    <cfRule type="cellIs" dxfId="6" priority="6" operator="equal">
      <formula>0</formula>
    </cfRule>
    <cfRule type="cellIs" dxfId="5" priority="7" operator="equal">
      <formula>1</formula>
    </cfRule>
  </conditionalFormatting>
  <conditionalFormatting sqref="H20">
    <cfRule type="cellIs" dxfId="4" priority="4" operator="equal">
      <formula>0</formula>
    </cfRule>
    <cfRule type="cellIs" dxfId="3" priority="5" operator="equal">
      <formula>1</formula>
    </cfRule>
  </conditionalFormatting>
  <conditionalFormatting sqref="K19:S1070 K8:N18 S8:S18">
    <cfRule type="expression" dxfId="2" priority="3">
      <formula>$E$13=$N8</formula>
    </cfRule>
  </conditionalFormatting>
  <conditionalFormatting sqref="AC5:AJ5">
    <cfRule type="cellIs" dxfId="0" priority="2" operator="equal">
      <formula>1</formula>
    </cfRule>
    <cfRule type="cellIs" dxfId="1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43"/>
  <sheetViews>
    <sheetView zoomScaleNormal="100" workbookViewId="0">
      <pane xSplit="1" ySplit="4" topLeftCell="B412" activePane="bottomRight" state="frozen"/>
      <selection pane="topRight" activeCell="B1" sqref="B1"/>
      <selection pane="bottomLeft" activeCell="A5" sqref="A5"/>
      <selection pane="bottomRight" activeCell="I429" sqref="I42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AA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>
        <f>PC</f>
        <v>100</v>
      </c>
      <c r="J2" s="55" t="str">
        <f>SP</f>
        <v>0140</v>
      </c>
      <c r="K2" s="55">
        <f>Carry</f>
        <v>1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441</v>
      </c>
      <c r="L4" s="68" t="s">
        <v>267</v>
      </c>
      <c r="M4" s="20">
        <f>IFERROR(VLOOKUP(A4,$P$6:$R$1048576,3,0),0)</f>
        <v>0</v>
      </c>
      <c r="U4" s="118" t="s">
        <v>341</v>
      </c>
      <c r="V4" s="119"/>
      <c r="W4" s="119"/>
      <c r="X4" s="119"/>
      <c r="Y4" s="119"/>
      <c r="Z4" s="119"/>
      <c r="AA4" s="119"/>
      <c r="AB4" s="120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1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21" t="s">
        <v>473</v>
      </c>
      <c r="V5" s="121"/>
      <c r="W5" s="121"/>
      <c r="X5" s="121"/>
      <c r="Y5" s="121"/>
      <c r="Z5" s="121"/>
      <c r="AA5" s="121"/>
      <c r="AB5" s="121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2" si="1">IFERROR(VLOOKUP(P6,$A$4:$L$1048576,12,0),"")</f>
        <v xml:space="preserve">MVI and MOV </v>
      </c>
      <c r="R6" s="39">
        <v>0</v>
      </c>
      <c r="U6" s="122"/>
      <c r="V6" s="122"/>
      <c r="W6" s="122"/>
      <c r="X6" s="122"/>
      <c r="Y6" s="122"/>
      <c r="Z6" s="122"/>
      <c r="AA6" s="122"/>
      <c r="AB6" s="122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22"/>
      <c r="V7" s="122"/>
      <c r="W7" s="122"/>
      <c r="X7" s="122"/>
      <c r="Y7" s="122"/>
      <c r="Z7" s="122"/>
      <c r="AA7" s="122"/>
      <c r="AB7" s="122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22"/>
      <c r="V8" s="122"/>
      <c r="W8" s="122"/>
      <c r="X8" s="122"/>
      <c r="Y8" s="122"/>
      <c r="Z8" s="122"/>
      <c r="AA8" s="122"/>
      <c r="AB8" s="122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22"/>
      <c r="V9" s="122"/>
      <c r="W9" s="122"/>
      <c r="X9" s="122"/>
      <c r="Y9" s="122"/>
      <c r="Z9" s="122"/>
      <c r="AA9" s="122"/>
      <c r="AB9" s="122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22"/>
      <c r="V10" s="122"/>
      <c r="W10" s="122"/>
      <c r="X10" s="122"/>
      <c r="Y10" s="122"/>
      <c r="Z10" s="122"/>
      <c r="AA10" s="122"/>
      <c r="AB10" s="122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441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22"/>
      <c r="V11" s="122"/>
      <c r="W11" s="122"/>
      <c r="X11" s="122"/>
      <c r="Y11" s="122"/>
      <c r="Z11" s="122"/>
      <c r="AA11" s="122"/>
      <c r="AB11" s="122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22"/>
      <c r="V12" s="122"/>
      <c r="W12" s="122"/>
      <c r="X12" s="122"/>
      <c r="Y12" s="122"/>
      <c r="Z12" s="122"/>
      <c r="AA12" s="122"/>
      <c r="AB12" s="122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22"/>
      <c r="V13" s="122"/>
      <c r="W13" s="122"/>
      <c r="X13" s="122"/>
      <c r="Y13" s="122"/>
      <c r="Z13" s="122"/>
      <c r="AA13" s="122"/>
      <c r="AB13" s="122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22"/>
      <c r="V14" s="122"/>
      <c r="W14" s="122"/>
      <c r="X14" s="122"/>
      <c r="Y14" s="122"/>
      <c r="Z14" s="122"/>
      <c r="AA14" s="122"/>
      <c r="AB14" s="122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22"/>
      <c r="V15" s="122"/>
      <c r="W15" s="122"/>
      <c r="X15" s="122"/>
      <c r="Y15" s="122"/>
      <c r="Z15" s="122"/>
      <c r="AA15" s="122"/>
      <c r="AB15" s="122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441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22"/>
      <c r="V16" s="122"/>
      <c r="W16" s="122"/>
      <c r="X16" s="122"/>
      <c r="Y16" s="122"/>
      <c r="Z16" s="122"/>
      <c r="AA16" s="122"/>
      <c r="AB16" s="122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22"/>
      <c r="V17" s="122"/>
      <c r="W17" s="122"/>
      <c r="X17" s="122"/>
      <c r="Y17" s="122"/>
      <c r="Z17" s="122"/>
      <c r="AA17" s="122"/>
      <c r="AB17" s="122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22"/>
      <c r="V18" s="122"/>
      <c r="W18" s="122"/>
      <c r="X18" s="122"/>
      <c r="Y18" s="122"/>
      <c r="Z18" s="122"/>
      <c r="AA18" s="122"/>
      <c r="AB18" s="122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22"/>
      <c r="V19" s="122"/>
      <c r="W19" s="122"/>
      <c r="X19" s="122"/>
      <c r="Y19" s="122"/>
      <c r="Z19" s="122"/>
      <c r="AA19" s="122"/>
      <c r="AB19" s="122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22"/>
      <c r="V20" s="122"/>
      <c r="W20" s="122"/>
      <c r="X20" s="122"/>
      <c r="Y20" s="122"/>
      <c r="Z20" s="122"/>
      <c r="AA20" s="122"/>
      <c r="AB20" s="122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22"/>
      <c r="V21" s="122"/>
      <c r="W21" s="122"/>
      <c r="X21" s="122"/>
      <c r="Y21" s="122"/>
      <c r="Z21" s="122"/>
      <c r="AA21" s="122"/>
      <c r="AB21" s="122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22"/>
      <c r="V22" s="122"/>
      <c r="W22" s="122"/>
      <c r="X22" s="122"/>
      <c r="Y22" s="122"/>
      <c r="Z22" s="122"/>
      <c r="AA22" s="122"/>
      <c r="AB22" s="122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22"/>
      <c r="V23" s="122"/>
      <c r="W23" s="122"/>
      <c r="X23" s="122"/>
      <c r="Y23" s="122"/>
      <c r="Z23" s="122"/>
      <c r="AA23" s="122"/>
      <c r="AB23" s="122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22"/>
      <c r="V24" s="122"/>
      <c r="W24" s="122"/>
      <c r="X24" s="122"/>
      <c r="Y24" s="122"/>
      <c r="Z24" s="122"/>
      <c r="AA24" s="122"/>
      <c r="AB24" s="122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22"/>
      <c r="V25" s="122"/>
      <c r="W25" s="122"/>
      <c r="X25" s="122"/>
      <c r="Y25" s="122"/>
      <c r="Z25" s="122"/>
      <c r="AA25" s="122"/>
      <c r="AB25" s="122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22"/>
      <c r="V26" s="122"/>
      <c r="W26" s="122"/>
      <c r="X26" s="122"/>
      <c r="Y26" s="122"/>
      <c r="Z26" s="122"/>
      <c r="AA26" s="122"/>
      <c r="AB26" s="122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22"/>
      <c r="V27" s="122"/>
      <c r="W27" s="122"/>
      <c r="X27" s="122"/>
      <c r="Y27" s="122"/>
      <c r="Z27" s="122"/>
      <c r="AA27" s="122"/>
      <c r="AB27" s="122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22"/>
      <c r="V28" s="122"/>
      <c r="W28" s="122"/>
      <c r="X28" s="122"/>
      <c r="Y28" s="122"/>
      <c r="Z28" s="122"/>
      <c r="AA28" s="122"/>
      <c r="AB28" s="122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441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22"/>
      <c r="V29" s="122"/>
      <c r="W29" s="122"/>
      <c r="X29" s="122"/>
      <c r="Y29" s="122"/>
      <c r="Z29" s="122"/>
      <c r="AA29" s="122"/>
      <c r="AB29" s="122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22"/>
      <c r="V30" s="122"/>
      <c r="W30" s="122"/>
      <c r="X30" s="122"/>
      <c r="Y30" s="122"/>
      <c r="Z30" s="122"/>
      <c r="AA30" s="122"/>
      <c r="AB30" s="122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0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22"/>
      <c r="V31" s="122"/>
      <c r="W31" s="122"/>
      <c r="X31" s="122"/>
      <c r="Y31" s="122"/>
      <c r="Z31" s="122"/>
      <c r="AA31" s="122"/>
      <c r="AB31" s="12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22"/>
      <c r="V32" s="122"/>
      <c r="W32" s="122"/>
      <c r="X32" s="122"/>
      <c r="Y32" s="122"/>
      <c r="Z32" s="122"/>
      <c r="AA32" s="122"/>
      <c r="AB32" s="122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22"/>
      <c r="V33" s="122"/>
      <c r="W33" s="122"/>
      <c r="X33" s="122"/>
      <c r="Y33" s="122"/>
      <c r="Z33" s="122"/>
      <c r="AA33" s="122"/>
      <c r="AB33" s="122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22"/>
      <c r="V34" s="122"/>
      <c r="W34" s="122"/>
      <c r="X34" s="122"/>
      <c r="Y34" s="122"/>
      <c r="Z34" s="122"/>
      <c r="AA34" s="122"/>
      <c r="AB34" s="122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441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0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448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449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450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451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452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1</v>
      </c>
      <c r="K49" s="112" t="s">
        <v>441</v>
      </c>
      <c r="L49" s="68" t="s">
        <v>263</v>
      </c>
      <c r="M49" s="20">
        <f>IFERROR(VLOOKUP(A49,$P$6:$R$1048576,3,0),0)</f>
        <v>0</v>
      </c>
      <c r="P49" s="6" t="s">
        <v>453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454</v>
      </c>
      <c r="Q50" s="39" t="str">
        <f t="shared" si="1"/>
        <v>CMA (flags unaffected)</v>
      </c>
      <c r="R50" s="39">
        <v>1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0</v>
      </c>
      <c r="K51" s="54"/>
      <c r="L51" s="39" t="s">
        <v>256</v>
      </c>
      <c r="P51" s="6" t="s">
        <v>455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0</v>
      </c>
      <c r="K52" s="54"/>
      <c r="L52" s="39" t="s">
        <v>259</v>
      </c>
      <c r="P52" s="6" t="s">
        <v>456</v>
      </c>
      <c r="Q52" s="39" t="str">
        <f t="shared" si="1"/>
        <v/>
      </c>
      <c r="R52" s="39"/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</row>
    <row r="56" spans="1:18" ht="15.75" thickBot="1"/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441</v>
      </c>
      <c r="L57" s="68" t="s">
        <v>264</v>
      </c>
      <c r="M57" s="20">
        <f>IFERROR(VLOOKUP(A57,$P$6:$R$1048576,3,0),0)</f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1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1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441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0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441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0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0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0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441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441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0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441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0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0</v>
      </c>
      <c r="K113" s="112" t="s">
        <v>441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441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441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0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441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0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441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441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441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441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0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0</v>
      </c>
      <c r="K204" s="112" t="s">
        <v>441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1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441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0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441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0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441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0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441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441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0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441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0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1</v>
      </c>
      <c r="K273" s="112" t="s">
        <v>441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0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0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441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0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441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0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1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441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0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441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0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1</v>
      </c>
      <c r="K317" s="112" t="s">
        <v>441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0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441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441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0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1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441</v>
      </c>
      <c r="L344" s="68" t="s">
        <v>442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443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0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441</v>
      </c>
      <c r="L353" s="68" t="s">
        <v>444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445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0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441</v>
      </c>
      <c r="L362" s="68" t="s">
        <v>446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447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1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448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441</v>
      </c>
      <c r="L371" s="68" t="s">
        <v>457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459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458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0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449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441</v>
      </c>
      <c r="L380" s="68" t="s">
        <v>460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461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1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450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441</v>
      </c>
      <c r="L389" s="68" t="s">
        <v>462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463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0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451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441</v>
      </c>
      <c r="L398" s="68" t="s">
        <v>465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1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0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452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441</v>
      </c>
      <c r="L407" s="68" t="s">
        <v>466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464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467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1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453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441</v>
      </c>
      <c r="L416" s="68" t="s">
        <v>468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469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1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454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0</v>
      </c>
      <c r="K427" s="114" t="s">
        <v>472</v>
      </c>
      <c r="L427" s="68" t="s">
        <v>470</v>
      </c>
      <c r="M427" s="20">
        <f>IFERROR(VLOOKUP(A427,$P$6:$R$1048576,3,0),0)</f>
        <v>1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1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1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455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1</v>
      </c>
      <c r="K436" s="112" t="s">
        <v>441</v>
      </c>
      <c r="L436" s="68" t="s">
        <v>471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0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</sheetData>
  <mergeCells count="2">
    <mergeCell ref="U4:AB4"/>
    <mergeCell ref="U5:AB34"/>
  </mergeCells>
  <phoneticPr fontId="16" type="noConversion"/>
  <conditionalFormatting sqref="J4:K4">
    <cfRule type="cellIs" dxfId="281" priority="365" operator="equal">
      <formula>0</formula>
    </cfRule>
    <cfRule type="cellIs" dxfId="280" priority="366" operator="equal">
      <formula>1</formula>
    </cfRule>
  </conditionalFormatting>
  <conditionalFormatting sqref="J11:K11">
    <cfRule type="cellIs" dxfId="279" priority="363" operator="equal">
      <formula>0</formula>
    </cfRule>
    <cfRule type="cellIs" dxfId="278" priority="364" operator="equal">
      <formula>1</formula>
    </cfRule>
  </conditionalFormatting>
  <conditionalFormatting sqref="J16:K16">
    <cfRule type="cellIs" dxfId="277" priority="361" operator="equal">
      <formula>0</formula>
    </cfRule>
    <cfRule type="cellIs" dxfId="276" priority="362" operator="equal">
      <formula>1</formula>
    </cfRule>
  </conditionalFormatting>
  <conditionalFormatting sqref="J29:K29">
    <cfRule type="cellIs" dxfId="275" priority="357" operator="equal">
      <formula>0</formula>
    </cfRule>
    <cfRule type="cellIs" dxfId="274" priority="358" operator="equal">
      <formula>1</formula>
    </cfRule>
  </conditionalFormatting>
  <conditionalFormatting sqref="M4">
    <cfRule type="cellIs" dxfId="273" priority="355" operator="equal">
      <formula>0</formula>
    </cfRule>
    <cfRule type="cellIs" dxfId="272" priority="356" operator="equal">
      <formula>1</formula>
    </cfRule>
  </conditionalFormatting>
  <conditionalFormatting sqref="J38:K38">
    <cfRule type="cellIs" dxfId="271" priority="345" operator="equal">
      <formula>0</formula>
    </cfRule>
    <cfRule type="cellIs" dxfId="270" priority="346" operator="equal">
      <formula>1</formula>
    </cfRule>
  </conditionalFormatting>
  <conditionalFormatting sqref="K49">
    <cfRule type="cellIs" dxfId="269" priority="341" operator="equal">
      <formula>0</formula>
    </cfRule>
    <cfRule type="cellIs" dxfId="268" priority="342" operator="equal">
      <formula>1</formula>
    </cfRule>
  </conditionalFormatting>
  <conditionalFormatting sqref="K66">
    <cfRule type="cellIs" dxfId="267" priority="333" operator="equal">
      <formula>0</formula>
    </cfRule>
    <cfRule type="cellIs" dxfId="266" priority="334" operator="equal">
      <formula>1</formula>
    </cfRule>
  </conditionalFormatting>
  <conditionalFormatting sqref="K57">
    <cfRule type="cellIs" dxfId="265" priority="329" operator="equal">
      <formula>0</formula>
    </cfRule>
    <cfRule type="cellIs" dxfId="264" priority="330" operator="equal">
      <formula>1</formula>
    </cfRule>
  </conditionalFormatting>
  <conditionalFormatting sqref="J49">
    <cfRule type="cellIs" dxfId="263" priority="325" operator="equal">
      <formula>0</formula>
    </cfRule>
    <cfRule type="cellIs" dxfId="262" priority="326" operator="equal">
      <formula>1</formula>
    </cfRule>
  </conditionalFormatting>
  <conditionalFormatting sqref="J57">
    <cfRule type="cellIs" dxfId="261" priority="323" operator="equal">
      <formula>0</formula>
    </cfRule>
    <cfRule type="cellIs" dxfId="260" priority="324" operator="equal">
      <formula>1</formula>
    </cfRule>
  </conditionalFormatting>
  <conditionalFormatting sqref="J66">
    <cfRule type="cellIs" dxfId="259" priority="321" operator="equal">
      <formula>0</formula>
    </cfRule>
    <cfRule type="cellIs" dxfId="258" priority="322" operator="equal">
      <formula>1</formula>
    </cfRule>
  </conditionalFormatting>
  <conditionalFormatting sqref="K74">
    <cfRule type="cellIs" dxfId="257" priority="319" operator="equal">
      <formula>0</formula>
    </cfRule>
    <cfRule type="cellIs" dxfId="256" priority="320" operator="equal">
      <formula>1</formula>
    </cfRule>
  </conditionalFormatting>
  <conditionalFormatting sqref="J74">
    <cfRule type="cellIs" dxfId="255" priority="315" operator="equal">
      <formula>0</formula>
    </cfRule>
    <cfRule type="cellIs" dxfId="254" priority="316" operator="equal">
      <formula>1</formula>
    </cfRule>
  </conditionalFormatting>
  <conditionalFormatting sqref="R6:R52">
    <cfRule type="cellIs" dxfId="253" priority="313" operator="equal">
      <formula>0</formula>
    </cfRule>
    <cfRule type="cellIs" dxfId="252" priority="314" operator="equal">
      <formula>1</formula>
    </cfRule>
  </conditionalFormatting>
  <conditionalFormatting sqref="K83">
    <cfRule type="cellIs" dxfId="251" priority="295" operator="equal">
      <formula>0</formula>
    </cfRule>
    <cfRule type="cellIs" dxfId="250" priority="296" operator="equal">
      <formula>1</formula>
    </cfRule>
  </conditionalFormatting>
  <conditionalFormatting sqref="J83">
    <cfRule type="cellIs" dxfId="249" priority="293" operator="equal">
      <formula>0</formula>
    </cfRule>
    <cfRule type="cellIs" dxfId="248" priority="294" operator="equal">
      <formula>1</formula>
    </cfRule>
  </conditionalFormatting>
  <conditionalFormatting sqref="K97">
    <cfRule type="cellIs" dxfId="247" priority="289" operator="equal">
      <formula>0</formula>
    </cfRule>
    <cfRule type="cellIs" dxfId="246" priority="290" operator="equal">
      <formula>1</formula>
    </cfRule>
  </conditionalFormatting>
  <conditionalFormatting sqref="J97">
    <cfRule type="cellIs" dxfId="245" priority="287" operator="equal">
      <formula>0</formula>
    </cfRule>
    <cfRule type="cellIs" dxfId="244" priority="288" operator="equal">
      <formula>1</formula>
    </cfRule>
  </conditionalFormatting>
  <conditionalFormatting sqref="K105">
    <cfRule type="cellIs" dxfId="243" priority="277" operator="equal">
      <formula>0</formula>
    </cfRule>
    <cfRule type="cellIs" dxfId="242" priority="278" operator="equal">
      <formula>1</formula>
    </cfRule>
  </conditionalFormatting>
  <conditionalFormatting sqref="J105">
    <cfRule type="cellIs" dxfId="241" priority="275" operator="equal">
      <formula>0</formula>
    </cfRule>
    <cfRule type="cellIs" dxfId="240" priority="276" operator="equal">
      <formula>1</formula>
    </cfRule>
  </conditionalFormatting>
  <conditionalFormatting sqref="K113">
    <cfRule type="cellIs" dxfId="239" priority="271" operator="equal">
      <formula>0</formula>
    </cfRule>
    <cfRule type="cellIs" dxfId="238" priority="272" operator="equal">
      <formula>1</formula>
    </cfRule>
  </conditionalFormatting>
  <conditionalFormatting sqref="M11">
    <cfRule type="cellIs" dxfId="237" priority="263" operator="equal">
      <formula>0</formula>
    </cfRule>
    <cfRule type="cellIs" dxfId="236" priority="264" operator="equal">
      <formula>1</formula>
    </cfRule>
  </conditionalFormatting>
  <conditionalFormatting sqref="M16">
    <cfRule type="cellIs" dxfId="235" priority="261" operator="equal">
      <formula>0</formula>
    </cfRule>
    <cfRule type="cellIs" dxfId="234" priority="262" operator="equal">
      <formula>1</formula>
    </cfRule>
  </conditionalFormatting>
  <conditionalFormatting sqref="M29">
    <cfRule type="cellIs" dxfId="233" priority="259" operator="equal">
      <formula>0</formula>
    </cfRule>
    <cfRule type="cellIs" dxfId="232" priority="260" operator="equal">
      <formula>1</formula>
    </cfRule>
  </conditionalFormatting>
  <conditionalFormatting sqref="M38">
    <cfRule type="cellIs" dxfId="231" priority="257" operator="equal">
      <formula>0</formula>
    </cfRule>
    <cfRule type="cellIs" dxfId="230" priority="258" operator="equal">
      <formula>1</formula>
    </cfRule>
  </conditionalFormatting>
  <conditionalFormatting sqref="M49">
    <cfRule type="cellIs" dxfId="229" priority="255" operator="equal">
      <formula>0</formula>
    </cfRule>
    <cfRule type="cellIs" dxfId="228" priority="256" operator="equal">
      <formula>1</formula>
    </cfRule>
  </conditionalFormatting>
  <conditionalFormatting sqref="M57">
    <cfRule type="cellIs" dxfId="227" priority="253" operator="equal">
      <formula>0</formula>
    </cfRule>
    <cfRule type="cellIs" dxfId="226" priority="254" operator="equal">
      <formula>1</formula>
    </cfRule>
  </conditionalFormatting>
  <conditionalFormatting sqref="M66">
    <cfRule type="cellIs" dxfId="225" priority="251" operator="equal">
      <formula>0</formula>
    </cfRule>
    <cfRule type="cellIs" dxfId="224" priority="252" operator="equal">
      <formula>1</formula>
    </cfRule>
  </conditionalFormatting>
  <conditionalFormatting sqref="M74">
    <cfRule type="cellIs" dxfId="223" priority="249" operator="equal">
      <formula>0</formula>
    </cfRule>
    <cfRule type="cellIs" dxfId="222" priority="250" operator="equal">
      <formula>1</formula>
    </cfRule>
  </conditionalFormatting>
  <conditionalFormatting sqref="M83">
    <cfRule type="cellIs" dxfId="221" priority="247" operator="equal">
      <formula>0</formula>
    </cfRule>
    <cfRule type="cellIs" dxfId="220" priority="248" operator="equal">
      <formula>1</formula>
    </cfRule>
  </conditionalFormatting>
  <conditionalFormatting sqref="M97">
    <cfRule type="cellIs" dxfId="219" priority="245" operator="equal">
      <formula>0</formula>
    </cfRule>
    <cfRule type="cellIs" dxfId="218" priority="246" operator="equal">
      <formula>1</formula>
    </cfRule>
  </conditionalFormatting>
  <conditionalFormatting sqref="M105">
    <cfRule type="cellIs" dxfId="217" priority="243" operator="equal">
      <formula>0</formula>
    </cfRule>
    <cfRule type="cellIs" dxfId="216" priority="244" operator="equal">
      <formula>1</formula>
    </cfRule>
  </conditionalFormatting>
  <conditionalFormatting sqref="M113">
    <cfRule type="cellIs" dxfId="215" priority="241" operator="equal">
      <formula>0</formula>
    </cfRule>
    <cfRule type="cellIs" dxfId="214" priority="242" operator="equal">
      <formula>1</formula>
    </cfRule>
  </conditionalFormatting>
  <conditionalFormatting sqref="K125">
    <cfRule type="cellIs" dxfId="213" priority="233" operator="equal">
      <formula>0</formula>
    </cfRule>
    <cfRule type="cellIs" dxfId="212" priority="234" operator="equal">
      <formula>1</formula>
    </cfRule>
  </conditionalFormatting>
  <conditionalFormatting sqref="M125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35">
    <cfRule type="cellIs" dxfId="209" priority="219" operator="equal">
      <formula>0</formula>
    </cfRule>
    <cfRule type="cellIs" dxfId="208" priority="220" operator="equal">
      <formula>1</formula>
    </cfRule>
  </conditionalFormatting>
  <conditionalFormatting sqref="M135">
    <cfRule type="cellIs" dxfId="207" priority="215" operator="equal">
      <formula>0</formula>
    </cfRule>
    <cfRule type="cellIs" dxfId="206" priority="216" operator="equal">
      <formula>1</formula>
    </cfRule>
  </conditionalFormatting>
  <conditionalFormatting sqref="J125">
    <cfRule type="cellIs" dxfId="205" priority="213" operator="equal">
      <formula>0</formula>
    </cfRule>
    <cfRule type="cellIs" dxfId="204" priority="214" operator="equal">
      <formula>1</formula>
    </cfRule>
  </conditionalFormatting>
  <conditionalFormatting sqref="J135">
    <cfRule type="cellIs" dxfId="203" priority="211" operator="equal">
      <formula>0</formula>
    </cfRule>
    <cfRule type="cellIs" dxfId="202" priority="212" operator="equal">
      <formula>1</formula>
    </cfRule>
  </conditionalFormatting>
  <conditionalFormatting sqref="J113">
    <cfRule type="cellIs" dxfId="201" priority="209" operator="equal">
      <formula>0</formula>
    </cfRule>
    <cfRule type="cellIs" dxfId="200" priority="210" operator="equal">
      <formula>1</formula>
    </cfRule>
  </conditionalFormatting>
  <conditionalFormatting sqref="K148">
    <cfRule type="cellIs" dxfId="199" priority="207" operator="equal">
      <formula>0</formula>
    </cfRule>
    <cfRule type="cellIs" dxfId="198" priority="208" operator="equal">
      <formula>1</formula>
    </cfRule>
  </conditionalFormatting>
  <conditionalFormatting sqref="J148">
    <cfRule type="cellIs" dxfId="197" priority="201" operator="equal">
      <formula>0</formula>
    </cfRule>
    <cfRule type="cellIs" dxfId="196" priority="202" operator="equal">
      <formula>1</formula>
    </cfRule>
  </conditionalFormatting>
  <conditionalFormatting sqref="M148">
    <cfRule type="cellIs" dxfId="195" priority="199" operator="equal">
      <formula>0</formula>
    </cfRule>
    <cfRule type="cellIs" dxfId="194" priority="200" operator="equal">
      <formula>1</formula>
    </cfRule>
  </conditionalFormatting>
  <conditionalFormatting sqref="K163">
    <cfRule type="cellIs" dxfId="193" priority="197" operator="equal">
      <formula>0</formula>
    </cfRule>
    <cfRule type="cellIs" dxfId="192" priority="198" operator="equal">
      <formula>1</formula>
    </cfRule>
  </conditionalFormatting>
  <conditionalFormatting sqref="J163">
    <cfRule type="cellIs" dxfId="191" priority="195" operator="equal">
      <formula>0</formula>
    </cfRule>
    <cfRule type="cellIs" dxfId="190" priority="196" operator="equal">
      <formula>1</formula>
    </cfRule>
  </conditionalFormatting>
  <conditionalFormatting sqref="M163">
    <cfRule type="cellIs" dxfId="189" priority="193" operator="equal">
      <formula>0</formula>
    </cfRule>
    <cfRule type="cellIs" dxfId="188" priority="194" operator="equal">
      <formula>1</formula>
    </cfRule>
  </conditionalFormatting>
  <conditionalFormatting sqref="K174">
    <cfRule type="cellIs" dxfId="187" priority="191" operator="equal">
      <formula>0</formula>
    </cfRule>
    <cfRule type="cellIs" dxfId="186" priority="192" operator="equal">
      <formula>1</formula>
    </cfRule>
  </conditionalFormatting>
  <conditionalFormatting sqref="J174">
    <cfRule type="cellIs" dxfId="185" priority="189" operator="equal">
      <formula>0</formula>
    </cfRule>
    <cfRule type="cellIs" dxfId="184" priority="190" operator="equal">
      <formula>1</formula>
    </cfRule>
  </conditionalFormatting>
  <conditionalFormatting sqref="M174">
    <cfRule type="cellIs" dxfId="183" priority="187" operator="equal">
      <formula>0</formula>
    </cfRule>
    <cfRule type="cellIs" dxfId="182" priority="188" operator="equal">
      <formula>1</formula>
    </cfRule>
  </conditionalFormatting>
  <conditionalFormatting sqref="K184">
    <cfRule type="cellIs" dxfId="181" priority="179" operator="equal">
      <formula>0</formula>
    </cfRule>
    <cfRule type="cellIs" dxfId="180" priority="180" operator="equal">
      <formula>1</formula>
    </cfRule>
  </conditionalFormatting>
  <conditionalFormatting sqref="J184">
    <cfRule type="cellIs" dxfId="179" priority="177" operator="equal">
      <formula>0</formula>
    </cfRule>
    <cfRule type="cellIs" dxfId="178" priority="178" operator="equal">
      <formula>1</formula>
    </cfRule>
  </conditionalFormatting>
  <conditionalFormatting sqref="M184">
    <cfRule type="cellIs" dxfId="177" priority="175" operator="equal">
      <formula>0</formula>
    </cfRule>
    <cfRule type="cellIs" dxfId="176" priority="176" operator="equal">
      <formula>1</formula>
    </cfRule>
  </conditionalFormatting>
  <conditionalFormatting sqref="K194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J194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194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K204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J204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204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K211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J21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211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K224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J224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224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K240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J240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240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K2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J253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253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K259">
    <cfRule type="cellIs" dxfId="139" priority="125" operator="equal">
      <formula>0</formula>
    </cfRule>
    <cfRule type="cellIs" dxfId="138" priority="126" operator="equal">
      <formula>1</formula>
    </cfRule>
  </conditionalFormatting>
  <conditionalFormatting sqref="J259">
    <cfRule type="cellIs" dxfId="137" priority="123" operator="equal">
      <formula>0</formula>
    </cfRule>
    <cfRule type="cellIs" dxfId="136" priority="124" operator="equal">
      <formula>1</formula>
    </cfRule>
  </conditionalFormatting>
  <conditionalFormatting sqref="M259">
    <cfRule type="cellIs" dxfId="135" priority="121" operator="equal">
      <formula>0</formula>
    </cfRule>
    <cfRule type="cellIs" dxfId="134" priority="122" operator="equal">
      <formula>1</formula>
    </cfRule>
  </conditionalFormatting>
  <conditionalFormatting sqref="K265">
    <cfRule type="cellIs" dxfId="133" priority="119" operator="equal">
      <formula>0</formula>
    </cfRule>
    <cfRule type="cellIs" dxfId="132" priority="120" operator="equal">
      <formula>1</formula>
    </cfRule>
  </conditionalFormatting>
  <conditionalFormatting sqref="J265">
    <cfRule type="cellIs" dxfId="131" priority="117" operator="equal">
      <formula>0</formula>
    </cfRule>
    <cfRule type="cellIs" dxfId="130" priority="118" operator="equal">
      <formula>1</formula>
    </cfRule>
  </conditionalFormatting>
  <conditionalFormatting sqref="M265">
    <cfRule type="cellIs" dxfId="129" priority="115" operator="equal">
      <formula>0</formula>
    </cfRule>
    <cfRule type="cellIs" dxfId="128" priority="116" operator="equal">
      <formula>1</formula>
    </cfRule>
  </conditionalFormatting>
  <conditionalFormatting sqref="K273">
    <cfRule type="cellIs" dxfId="127" priority="113" operator="equal">
      <formula>0</formula>
    </cfRule>
    <cfRule type="cellIs" dxfId="126" priority="114" operator="equal">
      <formula>1</formula>
    </cfRule>
  </conditionalFormatting>
  <conditionalFormatting sqref="J273">
    <cfRule type="cellIs" dxfId="125" priority="111" operator="equal">
      <formula>0</formula>
    </cfRule>
    <cfRule type="cellIs" dxfId="124" priority="112" operator="equal">
      <formula>1</formula>
    </cfRule>
  </conditionalFormatting>
  <conditionalFormatting sqref="M273">
    <cfRule type="cellIs" dxfId="123" priority="109" operator="equal">
      <formula>0</formula>
    </cfRule>
    <cfRule type="cellIs" dxfId="122" priority="110" operator="equal">
      <formula>1</formula>
    </cfRule>
  </conditionalFormatting>
  <conditionalFormatting sqref="K281">
    <cfRule type="cellIs" dxfId="121" priority="107" operator="equal">
      <formula>0</formula>
    </cfRule>
    <cfRule type="cellIs" dxfId="120" priority="108" operator="equal">
      <formula>1</formula>
    </cfRule>
  </conditionalFormatting>
  <conditionalFormatting sqref="J281">
    <cfRule type="cellIs" dxfId="119" priority="105" operator="equal">
      <formula>0</formula>
    </cfRule>
    <cfRule type="cellIs" dxfId="118" priority="106" operator="equal">
      <formula>1</formula>
    </cfRule>
  </conditionalFormatting>
  <conditionalFormatting sqref="M281">
    <cfRule type="cellIs" dxfId="117" priority="103" operator="equal">
      <formula>0</formula>
    </cfRule>
    <cfRule type="cellIs" dxfId="116" priority="104" operator="equal">
      <formula>1</formula>
    </cfRule>
  </conditionalFormatting>
  <conditionalFormatting sqref="K290">
    <cfRule type="cellIs" dxfId="115" priority="101" operator="equal">
      <formula>0</formula>
    </cfRule>
    <cfRule type="cellIs" dxfId="114" priority="102" operator="equal">
      <formula>1</formula>
    </cfRule>
  </conditionalFormatting>
  <conditionalFormatting sqref="J290">
    <cfRule type="cellIs" dxfId="113" priority="99" operator="equal">
      <formula>0</formula>
    </cfRule>
    <cfRule type="cellIs" dxfId="112" priority="100" operator="equal">
      <formula>1</formula>
    </cfRule>
  </conditionalFormatting>
  <conditionalFormatting sqref="M290">
    <cfRule type="cellIs" dxfId="111" priority="97" operator="equal">
      <formula>0</formula>
    </cfRule>
    <cfRule type="cellIs" dxfId="110" priority="98" operator="equal">
      <formula>1</formula>
    </cfRule>
  </conditionalFormatting>
  <conditionalFormatting sqref="K299">
    <cfRule type="cellIs" dxfId="109" priority="95" operator="equal">
      <formula>0</formula>
    </cfRule>
    <cfRule type="cellIs" dxfId="108" priority="96" operator="equal">
      <formula>1</formula>
    </cfRule>
  </conditionalFormatting>
  <conditionalFormatting sqref="J299">
    <cfRule type="cellIs" dxfId="107" priority="93" operator="equal">
      <formula>0</formula>
    </cfRule>
    <cfRule type="cellIs" dxfId="106" priority="94" operator="equal">
      <formula>1</formula>
    </cfRule>
  </conditionalFormatting>
  <conditionalFormatting sqref="M299">
    <cfRule type="cellIs" dxfId="105" priority="91" operator="equal">
      <formula>0</formula>
    </cfRule>
    <cfRule type="cellIs" dxfId="104" priority="92" operator="equal">
      <formula>1</formula>
    </cfRule>
  </conditionalFormatting>
  <conditionalFormatting sqref="K308">
    <cfRule type="cellIs" dxfId="103" priority="89" operator="equal">
      <formula>0</formula>
    </cfRule>
    <cfRule type="cellIs" dxfId="102" priority="90" operator="equal">
      <formula>1</formula>
    </cfRule>
  </conditionalFormatting>
  <conditionalFormatting sqref="J308">
    <cfRule type="cellIs" dxfId="101" priority="87" operator="equal">
      <formula>0</formula>
    </cfRule>
    <cfRule type="cellIs" dxfId="100" priority="88" operator="equal">
      <formula>1</formula>
    </cfRule>
  </conditionalFormatting>
  <conditionalFormatting sqref="M308">
    <cfRule type="cellIs" dxfId="99" priority="85" operator="equal">
      <formula>0</formula>
    </cfRule>
    <cfRule type="cellIs" dxfId="98" priority="86" operator="equal">
      <formula>1</formula>
    </cfRule>
  </conditionalFormatting>
  <conditionalFormatting sqref="K317">
    <cfRule type="cellIs" dxfId="97" priority="83" operator="equal">
      <formula>0</formula>
    </cfRule>
    <cfRule type="cellIs" dxfId="96" priority="84" operator="equal">
      <formula>1</formula>
    </cfRule>
  </conditionalFormatting>
  <conditionalFormatting sqref="J317">
    <cfRule type="cellIs" dxfId="95" priority="81" operator="equal">
      <formula>0</formula>
    </cfRule>
    <cfRule type="cellIs" dxfId="94" priority="82" operator="equal">
      <formula>1</formula>
    </cfRule>
  </conditionalFormatting>
  <conditionalFormatting sqref="M317">
    <cfRule type="cellIs" dxfId="93" priority="79" operator="equal">
      <formula>0</formula>
    </cfRule>
    <cfRule type="cellIs" dxfId="92" priority="80" operator="equal">
      <formula>1</formula>
    </cfRule>
  </conditionalFormatting>
  <conditionalFormatting sqref="K326">
    <cfRule type="cellIs" dxfId="91" priority="77" operator="equal">
      <formula>0</formula>
    </cfRule>
    <cfRule type="cellIs" dxfId="90" priority="78" operator="equal">
      <formula>1</formula>
    </cfRule>
  </conditionalFormatting>
  <conditionalFormatting sqref="J326">
    <cfRule type="cellIs" dxfId="89" priority="75" operator="equal">
      <formula>0</formula>
    </cfRule>
    <cfRule type="cellIs" dxfId="88" priority="76" operator="equal">
      <formula>1</formula>
    </cfRule>
  </conditionalFormatting>
  <conditionalFormatting sqref="M326">
    <cfRule type="cellIs" dxfId="87" priority="73" operator="equal">
      <formula>0</formula>
    </cfRule>
    <cfRule type="cellIs" dxfId="86" priority="74" operator="equal">
      <formula>1</formula>
    </cfRule>
  </conditionalFormatting>
  <conditionalFormatting sqref="K335">
    <cfRule type="cellIs" dxfId="85" priority="71" operator="equal">
      <formula>0</formula>
    </cfRule>
    <cfRule type="cellIs" dxfId="84" priority="72" operator="equal">
      <formula>1</formula>
    </cfRule>
  </conditionalFormatting>
  <conditionalFormatting sqref="J335">
    <cfRule type="cellIs" dxfId="83" priority="69" operator="equal">
      <formula>0</formula>
    </cfRule>
    <cfRule type="cellIs" dxfId="82" priority="70" operator="equal">
      <formula>1</formula>
    </cfRule>
  </conditionalFormatting>
  <conditionalFormatting sqref="M335">
    <cfRule type="cellIs" dxfId="81" priority="67" operator="equal">
      <formula>0</formula>
    </cfRule>
    <cfRule type="cellIs" dxfId="80" priority="68" operator="equal">
      <formula>1</formula>
    </cfRule>
  </conditionalFormatting>
  <conditionalFormatting sqref="K344">
    <cfRule type="cellIs" dxfId="79" priority="65" operator="equal">
      <formula>0</formula>
    </cfRule>
    <cfRule type="cellIs" dxfId="78" priority="66" operator="equal">
      <formula>1</formula>
    </cfRule>
  </conditionalFormatting>
  <conditionalFormatting sqref="J344">
    <cfRule type="cellIs" dxfId="77" priority="63" operator="equal">
      <formula>0</formula>
    </cfRule>
    <cfRule type="cellIs" dxfId="76" priority="64" operator="equal">
      <formula>1</formula>
    </cfRule>
  </conditionalFormatting>
  <conditionalFormatting sqref="M344">
    <cfRule type="cellIs" dxfId="75" priority="61" operator="equal">
      <formula>0</formula>
    </cfRule>
    <cfRule type="cellIs" dxfId="74" priority="62" operator="equal">
      <formula>1</formula>
    </cfRule>
  </conditionalFormatting>
  <conditionalFormatting sqref="K353">
    <cfRule type="cellIs" dxfId="73" priority="59" operator="equal">
      <formula>0</formula>
    </cfRule>
    <cfRule type="cellIs" dxfId="72" priority="60" operator="equal">
      <formula>1</formula>
    </cfRule>
  </conditionalFormatting>
  <conditionalFormatting sqref="J353">
    <cfRule type="cellIs" dxfId="71" priority="57" operator="equal">
      <formula>0</formula>
    </cfRule>
    <cfRule type="cellIs" dxfId="70" priority="58" operator="equal">
      <formula>1</formula>
    </cfRule>
  </conditionalFormatting>
  <conditionalFormatting sqref="M353">
    <cfRule type="cellIs" dxfId="69" priority="55" operator="equal">
      <formula>0</formula>
    </cfRule>
    <cfRule type="cellIs" dxfId="68" priority="56" operator="equal">
      <formula>1</formula>
    </cfRule>
  </conditionalFormatting>
  <conditionalFormatting sqref="K362">
    <cfRule type="cellIs" dxfId="67" priority="53" operator="equal">
      <formula>0</formula>
    </cfRule>
    <cfRule type="cellIs" dxfId="66" priority="54" operator="equal">
      <formula>1</formula>
    </cfRule>
  </conditionalFormatting>
  <conditionalFormatting sqref="J362">
    <cfRule type="cellIs" dxfId="65" priority="51" operator="equal">
      <formula>0</formula>
    </cfRule>
    <cfRule type="cellIs" dxfId="64" priority="52" operator="equal">
      <formula>1</formula>
    </cfRule>
  </conditionalFormatting>
  <conditionalFormatting sqref="M362">
    <cfRule type="cellIs" dxfId="63" priority="49" operator="equal">
      <formula>0</formula>
    </cfRule>
    <cfRule type="cellIs" dxfId="62" priority="50" operator="equal">
      <formula>1</formula>
    </cfRule>
  </conditionalFormatting>
  <conditionalFormatting sqref="K371">
    <cfRule type="cellIs" dxfId="61" priority="47" operator="equal">
      <formula>0</formula>
    </cfRule>
    <cfRule type="cellIs" dxfId="60" priority="48" operator="equal">
      <formula>1</formula>
    </cfRule>
  </conditionalFormatting>
  <conditionalFormatting sqref="J371">
    <cfRule type="cellIs" dxfId="59" priority="45" operator="equal">
      <formula>0</formula>
    </cfRule>
    <cfRule type="cellIs" dxfId="58" priority="46" operator="equal">
      <formula>1</formula>
    </cfRule>
  </conditionalFormatting>
  <conditionalFormatting sqref="M371">
    <cfRule type="cellIs" dxfId="57" priority="43" operator="equal">
      <formula>0</formula>
    </cfRule>
    <cfRule type="cellIs" dxfId="56" priority="44" operator="equal">
      <formula>1</formula>
    </cfRule>
  </conditionalFormatting>
  <conditionalFormatting sqref="K380">
    <cfRule type="cellIs" dxfId="55" priority="41" operator="equal">
      <formula>0</formula>
    </cfRule>
    <cfRule type="cellIs" dxfId="54" priority="42" operator="equal">
      <formula>1</formula>
    </cfRule>
  </conditionalFormatting>
  <conditionalFormatting sqref="J380">
    <cfRule type="cellIs" dxfId="53" priority="39" operator="equal">
      <formula>0</formula>
    </cfRule>
    <cfRule type="cellIs" dxfId="52" priority="40" operator="equal">
      <formula>1</formula>
    </cfRule>
  </conditionalFormatting>
  <conditionalFormatting sqref="M380">
    <cfRule type="cellIs" dxfId="51" priority="37" operator="equal">
      <formula>0</formula>
    </cfRule>
    <cfRule type="cellIs" dxfId="50" priority="38" operator="equal">
      <formula>1</formula>
    </cfRule>
  </conditionalFormatting>
  <conditionalFormatting sqref="K389">
    <cfRule type="cellIs" dxfId="49" priority="35" operator="equal">
      <formula>0</formula>
    </cfRule>
    <cfRule type="cellIs" dxfId="48" priority="36" operator="equal">
      <formula>1</formula>
    </cfRule>
  </conditionalFormatting>
  <conditionalFormatting sqref="J389">
    <cfRule type="cellIs" dxfId="47" priority="33" operator="equal">
      <formula>0</formula>
    </cfRule>
    <cfRule type="cellIs" dxfId="46" priority="34" operator="equal">
      <formula>1</formula>
    </cfRule>
  </conditionalFormatting>
  <conditionalFormatting sqref="M389">
    <cfRule type="cellIs" dxfId="45" priority="31" operator="equal">
      <formula>0</formula>
    </cfRule>
    <cfRule type="cellIs" dxfId="44" priority="32" operator="equal">
      <formula>1</formula>
    </cfRule>
  </conditionalFormatting>
  <conditionalFormatting sqref="K398">
    <cfRule type="cellIs" dxfId="43" priority="29" operator="equal">
      <formula>0</formula>
    </cfRule>
    <cfRule type="cellIs" dxfId="42" priority="30" operator="equal">
      <formula>1</formula>
    </cfRule>
  </conditionalFormatting>
  <conditionalFormatting sqref="J398">
    <cfRule type="cellIs" dxfId="41" priority="27" operator="equal">
      <formula>0</formula>
    </cfRule>
    <cfRule type="cellIs" dxfId="40" priority="28" operator="equal">
      <formula>1</formula>
    </cfRule>
  </conditionalFormatting>
  <conditionalFormatting sqref="M398">
    <cfRule type="cellIs" dxfId="39" priority="25" operator="equal">
      <formula>0</formula>
    </cfRule>
    <cfRule type="cellIs" dxfId="38" priority="26" operator="equal">
      <formula>1</formula>
    </cfRule>
  </conditionalFormatting>
  <conditionalFormatting sqref="K407">
    <cfRule type="cellIs" dxfId="37" priority="23" operator="equal">
      <formula>0</formula>
    </cfRule>
    <cfRule type="cellIs" dxfId="36" priority="24" operator="equal">
      <formula>1</formula>
    </cfRule>
  </conditionalFormatting>
  <conditionalFormatting sqref="J407">
    <cfRule type="cellIs" dxfId="35" priority="21" operator="equal">
      <formula>0</formula>
    </cfRule>
    <cfRule type="cellIs" dxfId="34" priority="22" operator="equal">
      <formula>1</formula>
    </cfRule>
  </conditionalFormatting>
  <conditionalFormatting sqref="M407">
    <cfRule type="cellIs" dxfId="33" priority="19" operator="equal">
      <formula>0</formula>
    </cfRule>
    <cfRule type="cellIs" dxfId="32" priority="20" operator="equal">
      <formula>1</formula>
    </cfRule>
  </conditionalFormatting>
  <conditionalFormatting sqref="K416">
    <cfRule type="cellIs" dxfId="31" priority="17" operator="equal">
      <formula>0</formula>
    </cfRule>
    <cfRule type="cellIs" dxfId="30" priority="18" operator="equal">
      <formula>1</formula>
    </cfRule>
  </conditionalFormatting>
  <conditionalFormatting sqref="J416">
    <cfRule type="cellIs" dxfId="29" priority="15" operator="equal">
      <formula>0</formula>
    </cfRule>
    <cfRule type="cellIs" dxfId="28" priority="16" operator="equal">
      <formula>1</formula>
    </cfRule>
  </conditionalFormatting>
  <conditionalFormatting sqref="M416">
    <cfRule type="cellIs" dxfId="27" priority="13" operator="equal">
      <formula>0</formula>
    </cfRule>
    <cfRule type="cellIs" dxfId="26" priority="14" operator="equal">
      <formula>1</formula>
    </cfRule>
  </conditionalFormatting>
  <conditionalFormatting sqref="K427">
    <cfRule type="cellIs" dxfId="25" priority="11" operator="equal">
      <formula>0</formula>
    </cfRule>
    <cfRule type="cellIs" dxfId="24" priority="12" operator="equal">
      <formula>1</formula>
    </cfRule>
  </conditionalFormatting>
  <conditionalFormatting sqref="J427"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M427">
    <cfRule type="cellIs" dxfId="21" priority="7" operator="equal">
      <formula>0</formula>
    </cfRule>
    <cfRule type="cellIs" dxfId="20" priority="8" operator="equal">
      <formula>1</formula>
    </cfRule>
  </conditionalFormatting>
  <conditionalFormatting sqref="K436">
    <cfRule type="cellIs" dxfId="19" priority="5" operator="equal">
      <formula>0</formula>
    </cfRule>
    <cfRule type="cellIs" dxfId="18" priority="6" operator="equal">
      <formula>1</formula>
    </cfRule>
  </conditionalFormatting>
  <conditionalFormatting sqref="J436">
    <cfRule type="cellIs" dxfId="17" priority="3" operator="equal">
      <formula>0</formula>
    </cfRule>
    <cfRule type="cellIs" dxfId="16" priority="4" operator="equal">
      <formula>1</formula>
    </cfRule>
  </conditionalFormatting>
  <conditionalFormatting sqref="M436">
    <cfRule type="cellIs" dxfId="15" priority="1" operator="equal">
      <formula>0</formula>
    </cfRule>
    <cfRule type="cellIs" dxfId="1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2" activePane="bottomRight" state="frozen"/>
      <selection activeCell="B1" sqref="B1"/>
      <selection pane="topRight" activeCell="E1" sqref="E1"/>
      <selection pane="bottomLeft" activeCell="B3" sqref="B3"/>
      <selection pane="bottomRight"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00000011</v>
      </c>
      <c r="T3" t="str">
        <f>BIN2HEX(S3)</f>
        <v>3</v>
      </c>
      <c r="U3">
        <f>SUM(U4:U11)</f>
        <v>3</v>
      </c>
      <c r="V3" t="str">
        <f>DEC2HEX(U3)</f>
        <v>3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2026-02-17T19:38:37Z</dcterms:modified>
</cp:coreProperties>
</file>