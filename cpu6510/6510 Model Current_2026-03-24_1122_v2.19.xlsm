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CE1F1B38-A67B-4EFF-84A4-6C5B297D1AC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03" i="13" a="1"/>
  <c r="K379" i="13" a="1"/>
  <c r="K593" i="13" a="1"/>
  <c r="K547" i="13" a="1"/>
  <c r="K510" i="13" a="1"/>
  <c r="K365" i="13" a="1"/>
  <c r="K437" i="13" a="1"/>
  <c r="J118" i="6" a="1"/>
  <c r="K563" i="13" a="1"/>
  <c r="J55" i="6" a="1"/>
  <c r="J140" i="6" a="1"/>
  <c r="J96" i="6" a="1"/>
  <c r="J85" i="6" a="1"/>
  <c r="K355" i="13" a="1"/>
  <c r="K466" i="13" a="1"/>
  <c r="K330" i="13" a="1"/>
  <c r="K36" i="13" a="1"/>
  <c r="K489" i="13" a="1"/>
  <c r="J115" i="6" a="1"/>
  <c r="K234" i="13" a="1"/>
  <c r="K530" i="13" a="1"/>
  <c r="K351" i="13" a="1"/>
  <c r="K420" i="13" a="1"/>
  <c r="K378" i="13" a="1"/>
  <c r="J172" i="6" a="1"/>
  <c r="J90" i="6" a="1"/>
  <c r="K78" i="13" a="1"/>
  <c r="J102" i="6" a="1"/>
  <c r="K558" i="13" a="1"/>
  <c r="K383" i="13" a="1"/>
  <c r="K619" i="13" a="1"/>
  <c r="J91" i="6" a="1"/>
  <c r="K570" i="13" a="1"/>
  <c r="J212" i="6" a="1"/>
  <c r="K518" i="13" a="1"/>
  <c r="K470" i="13" a="1"/>
  <c r="J19" i="6" a="1"/>
  <c r="J11" i="6" a="1"/>
  <c r="J120" i="6" a="1"/>
  <c r="K41" i="13" a="1"/>
  <c r="K606" i="13" a="1"/>
  <c r="K602" i="13" a="1"/>
  <c r="K443" i="13" a="1"/>
  <c r="J176" i="6" a="1"/>
  <c r="K282" i="13" a="1"/>
  <c r="K407" i="13" a="1"/>
  <c r="K634" i="13" a="1"/>
  <c r="J51" i="6" a="1"/>
  <c r="K623" i="13" a="1"/>
  <c r="K480" i="13" a="1"/>
  <c r="K584" i="13" a="1"/>
  <c r="J243" i="6" a="1"/>
  <c r="K335" i="13" a="1"/>
  <c r="K375" i="13" a="1"/>
  <c r="K618" i="13" a="1"/>
  <c r="K588" i="13" a="1"/>
  <c r="K13" i="13" a="1"/>
  <c r="J128" i="6" a="1"/>
  <c r="K564" i="13" a="1"/>
  <c r="K410" i="13" a="1"/>
  <c r="K39" i="13" a="1"/>
  <c r="J155" i="6" a="1"/>
  <c r="J3" i="6" a="1"/>
  <c r="K344" i="13" a="1"/>
  <c r="J130" i="6" a="1"/>
  <c r="J127" i="6" a="1"/>
  <c r="K516" i="13" a="1"/>
  <c r="K500" i="13" a="1"/>
  <c r="J66" i="6" a="1"/>
  <c r="K509" i="13" a="1"/>
  <c r="K479" i="13" a="1"/>
  <c r="J76" i="6" a="1"/>
  <c r="K456" i="13" a="1"/>
  <c r="K182" i="13" a="1"/>
  <c r="J126" i="6" a="1"/>
  <c r="J181" i="6" a="1"/>
  <c r="J56" i="6" a="1"/>
  <c r="J41" i="6" a="1"/>
  <c r="K522" i="13" a="1"/>
  <c r="J99" i="6" a="1"/>
  <c r="K520" i="13" a="1"/>
  <c r="K616" i="13" a="1"/>
  <c r="K525" i="13" a="1"/>
  <c r="K494" i="13" a="1"/>
  <c r="K445" i="13" a="1"/>
  <c r="K438" i="13" a="1"/>
  <c r="K307" i="13" a="1"/>
  <c r="K198" i="13" a="1"/>
  <c r="K496" i="13" a="1"/>
  <c r="K16" i="13" a="1"/>
  <c r="J60" i="6" a="1"/>
  <c r="K315" i="13" a="1"/>
  <c r="J103" i="6" a="1"/>
  <c r="J225" i="6" a="1"/>
  <c r="K488" i="13" a="1"/>
  <c r="J162" i="6" a="1"/>
  <c r="K481" i="13" a="1"/>
  <c r="K472" i="13" a="1"/>
  <c r="K50" i="13" a="1"/>
  <c r="J230" i="6" a="1"/>
  <c r="J10" i="6" a="1"/>
  <c r="K10" i="13" a="1"/>
  <c r="J14" i="6" a="1"/>
  <c r="J135" i="6" a="1"/>
  <c r="J209" i="6" a="1"/>
  <c r="J158" i="6" a="1"/>
  <c r="J87" i="6" a="1"/>
  <c r="K537" i="13" a="1"/>
  <c r="K370" i="13" a="1"/>
  <c r="J6" i="6" a="1"/>
  <c r="K362" i="13" a="1"/>
  <c r="K538" i="13" a="1"/>
  <c r="J42" i="6" a="1"/>
  <c r="K442" i="13" a="1"/>
  <c r="J70" i="6" a="1"/>
  <c r="K577" i="13" a="1"/>
  <c r="K553" i="13" a="1"/>
  <c r="K334" i="13" a="1"/>
  <c r="J142" i="6" a="1"/>
  <c r="K322" i="13" a="1"/>
  <c r="K614" i="13" a="1"/>
  <c r="K185" i="13" a="1"/>
  <c r="J113" i="6" a="1"/>
  <c r="K592" i="13" a="1"/>
  <c r="K421" i="13" a="1"/>
  <c r="K535" i="13" a="1"/>
  <c r="K411" i="13" a="1"/>
  <c r="K615" i="13" a="1"/>
  <c r="K461" i="13" a="1"/>
  <c r="K429" i="13" a="1"/>
  <c r="K549" i="13" a="1"/>
  <c r="J62" i="6" a="1"/>
  <c r="J190" i="6" a="1"/>
  <c r="K560" i="13" a="1"/>
  <c r="J61" i="6" a="1"/>
  <c r="K444" i="13" a="1"/>
  <c r="J239" i="6" a="1"/>
  <c r="K398" i="13" a="1"/>
  <c r="J136" i="6" a="1"/>
  <c r="J196" i="6" a="1"/>
  <c r="K388" i="13" a="1"/>
  <c r="J57" i="6" a="1"/>
  <c r="J226" i="6" a="1"/>
  <c r="K372" i="13" a="1"/>
  <c r="K498" i="13" a="1"/>
  <c r="J45" i="6" a="1"/>
  <c r="J18" i="6" a="1"/>
  <c r="K629" i="13" a="1"/>
  <c r="K595" i="13" a="1"/>
  <c r="J37" i="6" a="1"/>
  <c r="J98" i="6" a="1"/>
  <c r="J114" i="6" a="1"/>
  <c r="J122" i="6" a="1"/>
  <c r="K390" i="13" a="1"/>
  <c r="K422" i="13" a="1"/>
  <c r="K386" i="13" a="1"/>
  <c r="K446" i="13" a="1"/>
  <c r="K517" i="13" a="1"/>
  <c r="J65" i="6" a="1"/>
  <c r="K317" i="13" a="1"/>
  <c r="J74" i="6" a="1"/>
  <c r="J68" i="6" a="1"/>
  <c r="K214" i="13" a="1"/>
  <c r="J80" i="6" a="1"/>
  <c r="K544" i="13" a="1"/>
  <c r="K627" i="13" a="1"/>
  <c r="K576" i="13" a="1"/>
  <c r="K604" i="13" a="1"/>
  <c r="J179" i="6" a="1"/>
  <c r="K441" i="13" a="1"/>
  <c r="J191" i="6" a="1"/>
  <c r="J54" i="6" a="1"/>
  <c r="K328" i="13" a="1"/>
  <c r="J12" i="6" a="1"/>
  <c r="J59" i="6" a="1"/>
  <c r="K404" i="13" a="1"/>
  <c r="K338" i="13" a="1"/>
  <c r="K506" i="13" a="1"/>
  <c r="J204" i="6" a="1"/>
  <c r="J94" i="6" a="1"/>
  <c r="K630" i="13" a="1"/>
  <c r="K490" i="13" a="1"/>
  <c r="K567" i="13" a="1"/>
  <c r="J224" i="6" a="1"/>
  <c r="K341" i="13" a="1"/>
  <c r="K439" i="13" a="1"/>
  <c r="J152" i="6" a="1"/>
  <c r="K380" i="13" a="1"/>
  <c r="K459" i="13" a="1"/>
  <c r="K405" i="13" a="1"/>
  <c r="K491" i="13" a="1"/>
  <c r="K561" i="13" a="1"/>
  <c r="J43" i="6" a="1"/>
  <c r="K403" i="13" a="1"/>
  <c r="K502" i="13" a="1"/>
  <c r="J174" i="6" a="1"/>
  <c r="K575" i="13" a="1"/>
  <c r="J235" i="6" a="1"/>
  <c r="J177" i="6" a="1"/>
  <c r="J151" i="6" a="1"/>
  <c r="J193" i="6" a="1"/>
  <c r="J170" i="6" a="1"/>
  <c r="K637" i="13" a="1"/>
  <c r="J133" i="6" a="1"/>
  <c r="K508" i="13" a="1"/>
  <c r="K451" i="13" a="1"/>
  <c r="J192" i="6" a="1"/>
  <c r="J189" i="6" a="1"/>
  <c r="J117" i="6" a="1"/>
  <c r="K471" i="13" a="1"/>
  <c r="J95" i="6" a="1"/>
  <c r="K221" i="13" a="1"/>
  <c r="J248" i="6" a="1"/>
  <c r="J138" i="6" a="1"/>
  <c r="K406" i="13" a="1"/>
  <c r="K477" i="13" a="1"/>
  <c r="K347" i="13" a="1"/>
  <c r="J194" i="6" a="1"/>
  <c r="K374" i="13" a="1"/>
  <c r="K548" i="13" a="1"/>
  <c r="K419" i="13" a="1"/>
  <c r="J221" i="6" a="1"/>
  <c r="J106" i="6" a="1"/>
  <c r="K457" i="13" a="1"/>
  <c r="K345" i="13" a="1"/>
  <c r="K424" i="13" a="1"/>
  <c r="K318" i="13" a="1"/>
  <c r="K597" i="13" a="1"/>
  <c r="K350" i="13" a="1"/>
  <c r="K2" i="13" a="1"/>
  <c r="J215" i="6" a="1"/>
  <c r="J175" i="6" a="1"/>
  <c r="K144" i="13" a="1"/>
  <c r="K70" i="13" a="1"/>
  <c r="J187" i="6" a="1"/>
  <c r="J195" i="6" a="1"/>
  <c r="K557" i="13" a="1"/>
  <c r="K621" i="13" a="1"/>
  <c r="J214" i="6" a="1"/>
  <c r="K354" i="13" a="1"/>
  <c r="J30" i="6" a="1"/>
  <c r="K519" i="13" a="1"/>
  <c r="J161" i="6" a="1"/>
  <c r="J121" i="6" a="1"/>
  <c r="K610" i="13" a="1"/>
  <c r="K316" i="13" a="1"/>
  <c r="J35" i="6" a="1"/>
  <c r="K469" i="13" a="1"/>
  <c r="K324" i="13" a="1"/>
  <c r="K475" i="13" a="1"/>
  <c r="K321" i="13" a="1"/>
  <c r="J104" i="6" a="1"/>
  <c r="J40" i="6" a="1"/>
  <c r="K554" i="13" a="1"/>
  <c r="J34" i="6" a="1"/>
  <c r="K428" i="13" a="1"/>
  <c r="K125" i="13" a="1"/>
  <c r="K423" i="13" a="1"/>
  <c r="J123" i="6" a="1"/>
  <c r="K486" i="13" a="1"/>
  <c r="J231" i="6" a="1"/>
  <c r="K566" i="13" a="1"/>
  <c r="K417" i="13" a="1"/>
  <c r="K501" i="13" a="1"/>
  <c r="K565" i="13" a="1"/>
  <c r="K349" i="13" a="1"/>
  <c r="K336" i="13" a="1"/>
  <c r="K633" i="13" a="1"/>
  <c r="J111" i="6" a="1"/>
  <c r="J250" i="6" a="1"/>
  <c r="J119" i="6" a="1"/>
  <c r="K408" i="13" a="1"/>
  <c r="K433" i="13" a="1"/>
  <c r="K556" i="13" a="1"/>
  <c r="K252" i="13" a="1"/>
  <c r="J206" i="6" a="1"/>
  <c r="K348" i="13" a="1"/>
  <c r="K449" i="13" a="1"/>
  <c r="K609" i="13" a="1"/>
  <c r="J227" i="6" a="1"/>
  <c r="K612" i="13" a="1"/>
  <c r="J21" i="6" a="1"/>
  <c r="K600" i="13" a="1"/>
  <c r="K465" i="13" a="1"/>
  <c r="J242" i="6" a="1"/>
  <c r="J251" i="6" a="1"/>
  <c r="J26" i="6" a="1"/>
  <c r="K15" i="13" a="1"/>
  <c r="K332" i="13" a="1"/>
  <c r="K200" i="13" a="1"/>
  <c r="J233" i="6" a="1"/>
  <c r="J93" i="6" a="1"/>
  <c r="K513" i="13" a="1"/>
  <c r="K523" i="13" a="1"/>
  <c r="J240" i="6" a="1"/>
  <c r="J165" i="6" a="1"/>
  <c r="J39" i="6" a="1"/>
  <c r="J168" i="6" a="1"/>
  <c r="J107" i="6" a="1"/>
  <c r="K329" i="13" a="1"/>
  <c r="K497" i="13" a="1"/>
  <c r="K166" i="13" a="1"/>
  <c r="K366" i="13" a="1"/>
  <c r="J180" i="6" a="1"/>
  <c r="K624" i="13" a="1"/>
  <c r="J8" i="6" a="1"/>
  <c r="J249" i="6" a="1"/>
  <c r="J64" i="6" a="1"/>
  <c r="K167" i="13" a="1"/>
  <c r="K590" i="13" a="1"/>
  <c r="K382" i="13" a="1"/>
  <c r="J69" i="6" a="1"/>
  <c r="K463" i="13" a="1"/>
  <c r="K474" i="13" a="1"/>
  <c r="K343" i="13" a="1"/>
  <c r="K357" i="13" a="1"/>
  <c r="K495" i="13" a="1"/>
  <c r="J150" i="6" a="1"/>
  <c r="K331" i="13" a="1"/>
  <c r="J237" i="6" a="1"/>
  <c r="J160" i="6" a="1"/>
  <c r="K611" i="13" a="1"/>
  <c r="J108" i="6" a="1"/>
  <c r="K427" i="13" a="1"/>
  <c r="K376" i="13" a="1"/>
  <c r="J134" i="6" a="1"/>
  <c r="K339" i="13" a="1"/>
  <c r="K585" i="13" a="1"/>
  <c r="K337" i="13" a="1"/>
  <c r="K568" i="13" a="1"/>
  <c r="K387" i="13" a="1"/>
  <c r="K413" i="13" a="1"/>
  <c r="J81" i="6" a="1"/>
  <c r="J145" i="6" a="1"/>
  <c r="K399" i="13" a="1"/>
  <c r="K402" i="13" a="1"/>
  <c r="J100" i="6" a="1"/>
  <c r="J207" i="6" a="1"/>
  <c r="J4" i="6" a="1"/>
  <c r="K432" i="13" a="1"/>
  <c r="K598" i="13" a="1"/>
  <c r="K578" i="13" a="1"/>
  <c r="K550" i="13" a="1"/>
  <c r="K435" i="13" a="1"/>
  <c r="J53" i="6" a="1"/>
  <c r="K620" i="13" a="1"/>
  <c r="K199" i="13" a="1"/>
  <c r="K401" i="13" a="1"/>
  <c r="J92" i="6" a="1"/>
  <c r="K586" i="13" a="1"/>
  <c r="K485" i="13" a="1"/>
  <c r="K286" i="13" a="1"/>
  <c r="K352" i="13" a="1"/>
  <c r="K177" i="13" a="1"/>
  <c r="K393" i="13" a="1"/>
  <c r="K37" i="13" a="1"/>
  <c r="K340" i="13" a="1"/>
  <c r="K142" i="13" a="1"/>
  <c r="J236" i="6" a="1"/>
  <c r="K580" i="13" a="1"/>
  <c r="K476" i="13" a="1"/>
  <c r="J141" i="6" a="1"/>
  <c r="K581" i="13" a="1"/>
  <c r="K400" i="13" a="1"/>
  <c r="K325" i="13" a="1"/>
  <c r="K193" i="13" a="1"/>
  <c r="K452" i="13" a="1"/>
  <c r="K281" i="13" a="1"/>
  <c r="K396" i="13" a="1"/>
  <c r="K40" i="13" a="1"/>
  <c r="J202" i="6" a="1"/>
  <c r="K323" i="13" a="1"/>
  <c r="J234" i="6" a="1"/>
  <c r="K356" i="13" a="1"/>
  <c r="K425" i="13" a="1"/>
  <c r="K147" i="13" a="1"/>
  <c r="J32" i="6" a="1"/>
  <c r="K546" i="13" a="1"/>
  <c r="K552" i="13" a="1"/>
  <c r="J49" i="6" a="1"/>
  <c r="K371" i="13" a="1"/>
  <c r="K327" i="13" a="1"/>
  <c r="J71" i="6" a="1"/>
  <c r="J178" i="6" a="1"/>
  <c r="K150" i="13" a="1"/>
  <c r="K579" i="13" a="1"/>
  <c r="K555" i="13" a="1"/>
  <c r="K440" i="13" a="1"/>
  <c r="K628" i="13" a="1"/>
  <c r="K277" i="13" a="1"/>
  <c r="J163" i="6" a="1"/>
  <c r="J229" i="6" a="1"/>
  <c r="J241" i="6" a="1"/>
  <c r="K353" i="13" a="1"/>
  <c r="J63" i="6" a="1"/>
  <c r="K536" i="13" a="1"/>
  <c r="K319" i="13" a="1"/>
  <c r="J17" i="6" a="1"/>
  <c r="K589" i="13" a="1"/>
  <c r="J203" i="6" a="1"/>
  <c r="J228" i="6" a="1"/>
  <c r="J173" i="6" a="1"/>
  <c r="K632" i="13" a="1"/>
  <c r="J25" i="6" a="1"/>
  <c r="K333" i="13" a="1"/>
  <c r="J36" i="6" a="1"/>
  <c r="J139" i="6" a="1"/>
  <c r="K426" i="13" a="1"/>
  <c r="K626" i="13" a="1"/>
  <c r="K574" i="13" a="1"/>
  <c r="J27" i="6" a="1"/>
  <c r="J132" i="6" a="1"/>
  <c r="K367" i="13" a="1"/>
  <c r="J146" i="6" a="1"/>
  <c r="K503" i="13" a="1"/>
  <c r="K482" i="13" a="1"/>
  <c r="J44" i="6" a="1"/>
  <c r="K430" i="13" a="1"/>
  <c r="J101" i="6" a="1"/>
  <c r="J186" i="6" a="1"/>
  <c r="K363" i="13" a="1"/>
  <c r="K587" i="13" a="1"/>
  <c r="J210" i="6" a="1"/>
  <c r="K391" i="13" a="1"/>
  <c r="J89" i="6" a="1"/>
  <c r="K492" i="13" a="1"/>
  <c r="K533" i="13" a="1"/>
  <c r="K635" i="13" a="1"/>
  <c r="K364" i="13" a="1"/>
  <c r="J110" i="6" a="1"/>
  <c r="J58" i="6" a="1"/>
  <c r="K462" i="13" a="1"/>
  <c r="J245" i="6" a="1"/>
  <c r="K368" i="13" a="1"/>
  <c r="J131" i="6" a="1"/>
  <c r="K608" i="13" a="1"/>
  <c r="J5" i="6" a="1"/>
  <c r="K38" i="13" a="1"/>
  <c r="J86" i="6" a="1"/>
  <c r="K126" i="13" a="1"/>
  <c r="J222" i="6" a="1"/>
  <c r="J50" i="6" a="1"/>
  <c r="J188" i="6" a="1"/>
  <c r="J218" i="6" a="1"/>
  <c r="K320" i="13" a="1"/>
  <c r="K583" i="13" a="1"/>
  <c r="K434" i="13" a="1"/>
  <c r="K454" i="13" a="1"/>
  <c r="K381" i="13" a="1"/>
  <c r="J223" i="6" a="1"/>
  <c r="K11" i="13" a="1"/>
  <c r="K395" i="13" a="1"/>
  <c r="K143" i="13" a="1"/>
  <c r="K373" i="13" a="1"/>
  <c r="K414" i="13" a="1"/>
  <c r="J112" i="6" a="1"/>
  <c r="K542" i="13" a="1"/>
  <c r="K415" i="13" a="1"/>
  <c r="J185" i="6" a="1"/>
  <c r="J216" i="6" a="1"/>
  <c r="K377" i="13" a="1"/>
  <c r="J84" i="6" a="1"/>
  <c r="J147" i="6" a="1"/>
  <c r="J157" i="6" a="1"/>
  <c r="K534" i="13" a="1"/>
  <c r="J47" i="6" a="1"/>
  <c r="J183" i="6" a="1"/>
  <c r="K389" i="13" a="1"/>
  <c r="J20" i="6" a="1"/>
  <c r="K418" i="13" a="1"/>
  <c r="J78" i="6" a="1"/>
  <c r="K115" i="13" a="1"/>
  <c r="J33" i="6" a="1"/>
  <c r="K18" i="13" a="1"/>
  <c r="J23" i="6" a="1"/>
  <c r="K178" i="13" a="1"/>
  <c r="J219" i="6" a="1"/>
  <c r="K529" i="13" a="1"/>
  <c r="K487" i="13" a="1"/>
  <c r="K450" i="13" a="1"/>
  <c r="K394" i="13" a="1"/>
  <c r="K460" i="13" a="1"/>
  <c r="K270" i="13" a="1"/>
  <c r="K527" i="13" a="1"/>
  <c r="K385" i="13" a="1"/>
  <c r="K591" i="13" a="1"/>
  <c r="J116" i="6" a="1"/>
  <c r="J29" i="6" a="1"/>
  <c r="K42" i="13" a="1"/>
  <c r="K455" i="13" a="1"/>
  <c r="J156" i="6" a="1"/>
  <c r="K573" i="13" a="1"/>
  <c r="K464" i="13" a="1"/>
  <c r="K521" i="13" a="1"/>
  <c r="J200" i="6" a="1"/>
  <c r="J167" i="6" a="1"/>
  <c r="K493" i="13" a="1"/>
  <c r="K447" i="13" a="1"/>
  <c r="J199" i="6" a="1"/>
  <c r="K543" i="13" a="1"/>
  <c r="J97" i="6" a="1"/>
  <c r="K358" i="13" a="1"/>
  <c r="K412" i="13" a="1"/>
  <c r="K384" i="13" a="1"/>
  <c r="J197" i="6" a="1"/>
  <c r="J143" i="6" a="1"/>
  <c r="J154" i="6" a="1"/>
  <c r="J247" i="6" a="1"/>
  <c r="K562" i="13" a="1"/>
  <c r="J83" i="6" a="1"/>
  <c r="K392" i="13" a="1"/>
  <c r="J109" i="6" a="1"/>
  <c r="J149" i="6" a="1"/>
  <c r="K636" i="13" a="1"/>
  <c r="K514" i="13" a="1"/>
  <c r="K539" i="13" a="1"/>
  <c r="J232" i="6" a="1"/>
  <c r="K545" i="13" a="1"/>
  <c r="K551" i="13" a="1"/>
  <c r="K14" i="13" a="1"/>
  <c r="K326" i="13" a="1"/>
  <c r="K582" i="13" a="1"/>
  <c r="J48" i="6" a="1"/>
  <c r="J182" i="6" a="1"/>
  <c r="K478" i="13" a="1"/>
  <c r="K359" i="13" a="1"/>
  <c r="J38" i="6" a="1"/>
  <c r="J124" i="6" a="1"/>
  <c r="K27" i="13" a="1"/>
  <c r="K559" i="13" a="1"/>
  <c r="J148" i="6" a="1"/>
  <c r="J213" i="6" a="1"/>
  <c r="K613" i="13" a="1"/>
  <c r="K436" i="13" a="1"/>
  <c r="J7" i="6" a="1"/>
  <c r="J184" i="6" a="1"/>
  <c r="K507" i="13" a="1"/>
  <c r="K512" i="13" a="1"/>
  <c r="J9" i="6" a="1"/>
  <c r="J246" i="6" a="1"/>
  <c r="K397" i="13" a="1"/>
  <c r="J31" i="6" a="1"/>
  <c r="K504" i="13" a="1"/>
  <c r="J77" i="6" a="1"/>
  <c r="K631" i="13" a="1"/>
  <c r="K605" i="13" a="1"/>
  <c r="J169" i="6" a="1"/>
  <c r="K617" i="13" a="1"/>
  <c r="K528" i="13" a="1"/>
  <c r="J105" i="6" a="1"/>
  <c r="K596" i="13" a="1"/>
  <c r="K599" i="13" a="1"/>
  <c r="J24" i="6" a="1"/>
  <c r="K526" i="13" a="1"/>
  <c r="K601" i="13" a="1"/>
  <c r="J75" i="6" a="1"/>
  <c r="J52" i="6" a="1"/>
  <c r="J82" i="6" a="1"/>
  <c r="K416" i="13" a="1"/>
  <c r="K473" i="13" a="1"/>
  <c r="J198" i="6" a="1"/>
  <c r="K532" i="13" a="1"/>
  <c r="J46" i="6" a="1"/>
  <c r="K569" i="13" a="1"/>
  <c r="J15" i="6" a="1"/>
  <c r="J16" i="6" a="1"/>
  <c r="J159" i="6" a="1"/>
  <c r="J211" i="6" a="1"/>
  <c r="J244" i="6" a="1"/>
  <c r="K448" i="13" a="1"/>
  <c r="J22" i="6" a="1"/>
  <c r="J166" i="6" a="1"/>
  <c r="J144" i="6" a="1"/>
  <c r="J153" i="6" a="1"/>
  <c r="J73" i="6" a="1"/>
  <c r="K515" i="13" a="1"/>
  <c r="J28" i="6" a="1"/>
  <c r="K540" i="13" a="1"/>
  <c r="J137" i="6" a="1"/>
  <c r="K622" i="13" a="1"/>
  <c r="J13" i="6" a="1"/>
  <c r="J201" i="6" a="1"/>
  <c r="K468" i="13" a="1"/>
  <c r="J67" i="6" a="1"/>
  <c r="J2" i="6" a="1"/>
  <c r="J220" i="6" a="1"/>
  <c r="K360" i="13" a="1"/>
  <c r="K594" i="13" a="1"/>
  <c r="K505" i="13" a="1"/>
  <c r="K409" i="13" a="1"/>
  <c r="K431" i="13" a="1"/>
  <c r="J205" i="6" a="1"/>
  <c r="J88" i="6" a="1"/>
  <c r="J217" i="6" a="1"/>
  <c r="J79" i="6" a="1"/>
  <c r="K625" i="13" a="1"/>
  <c r="K499" i="13" a="1"/>
  <c r="K467" i="13" a="1"/>
  <c r="K511" i="13" a="1"/>
  <c r="K524" i="13" a="1"/>
  <c r="K571" i="13" a="1"/>
  <c r="K346" i="13" a="1"/>
  <c r="K484" i="13" a="1"/>
  <c r="K369" i="13" a="1"/>
  <c r="K607" i="13" a="1"/>
  <c r="K453" i="13" a="1"/>
  <c r="K483" i="13" a="1"/>
  <c r="J208" i="6" a="1"/>
  <c r="K541" i="13" a="1"/>
  <c r="J238" i="6" a="1"/>
  <c r="J164" i="6" a="1"/>
  <c r="J72" i="6" a="1"/>
  <c r="K531" i="13" a="1"/>
  <c r="K458" i="13" a="1"/>
  <c r="K342" i="13" a="1"/>
  <c r="J129" i="6" a="1"/>
  <c r="K66" i="13" a="1"/>
  <c r="K572" i="13" a="1"/>
  <c r="J171" i="6" a="1"/>
  <c r="J125" i="6" a="1"/>
  <c r="J1003" i="5" a="1"/>
  <c r="J1002" i="5" a="1"/>
  <c r="J1001" i="5" a="1"/>
  <c r="J992" i="5" a="1"/>
  <c r="J991" i="5" a="1"/>
  <c r="J990" i="5" a="1"/>
  <c r="J983" i="5" a="1"/>
  <c r="J975" i="5" a="1"/>
  <c r="J974" i="5" a="1"/>
  <c r="J971" i="5" a="1"/>
  <c r="J970" i="5" a="1"/>
  <c r="J969" i="5" a="1"/>
  <c r="J968" i="5" a="1"/>
  <c r="J962" i="5" a="1"/>
  <c r="J961" i="5" a="1"/>
  <c r="J960" i="5" a="1"/>
  <c r="J955" i="5" a="1"/>
  <c r="J954" i="5" a="1"/>
  <c r="J948" i="5" a="1"/>
  <c r="J947" i="5" a="1"/>
  <c r="J917" i="5" a="1"/>
  <c r="J908" i="5" a="1"/>
  <c r="J902" i="5" a="1"/>
  <c r="J907" i="5" a="1"/>
  <c r="J901" i="5" a="1"/>
  <c r="J940" i="5" a="1"/>
  <c r="J906" i="5" a="1"/>
  <c r="J900" i="5" a="1"/>
  <c r="J939" i="5" a="1"/>
  <c r="J938" i="5" a="1"/>
  <c r="J931" i="5" a="1"/>
  <c r="J930" i="5" a="1"/>
  <c r="J929" i="5" a="1"/>
  <c r="J919" i="5" a="1"/>
  <c r="J920" i="5" a="1"/>
  <c r="J918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79" i="13" a="1"/>
  <c r="K292" i="13" a="1"/>
  <c r="K169" i="13" a="1"/>
  <c r="K261" i="13" a="1"/>
  <c r="K278" i="13" a="1"/>
  <c r="K24" i="13" a="1"/>
  <c r="K289" i="13" a="1"/>
  <c r="K206" i="13" a="1"/>
  <c r="K306" i="13" a="1"/>
  <c r="K260" i="13" a="1"/>
  <c r="K299" i="13" a="1"/>
  <c r="K77" i="13" a="1"/>
  <c r="K302" i="13" a="1"/>
  <c r="K202" i="13" a="1"/>
  <c r="K127" i="13" a="1"/>
  <c r="K138" i="13" a="1"/>
  <c r="K103" i="13" a="1"/>
  <c r="K105" i="13" a="1"/>
  <c r="K247" i="13" a="1"/>
  <c r="K171" i="13" a="1"/>
  <c r="K92" i="13" a="1"/>
  <c r="K149" i="13" a="1"/>
  <c r="K80" i="13" a="1"/>
  <c r="K51" i="13" a="1"/>
  <c r="K253" i="13" a="1"/>
  <c r="K207" i="13" a="1"/>
  <c r="K228" i="13" a="1"/>
  <c r="K294" i="13" a="1"/>
  <c r="K181" i="13" a="1"/>
  <c r="K158" i="13" a="1"/>
  <c r="K186" i="13" a="1"/>
  <c r="K49" i="13" a="1"/>
  <c r="K280" i="13" a="1"/>
  <c r="K25" i="13" a="1"/>
  <c r="K267" i="13" a="1"/>
  <c r="K55" i="13" a="1"/>
  <c r="K259" i="13" a="1"/>
  <c r="K123" i="13" a="1"/>
  <c r="K284" i="13" a="1"/>
  <c r="K189" i="13" a="1"/>
  <c r="K241" i="13" a="1"/>
  <c r="K43" i="13" a="1"/>
  <c r="K47" i="13" a="1"/>
  <c r="K163" i="13" a="1"/>
  <c r="K190" i="13" a="1"/>
  <c r="K188" i="13" a="1"/>
  <c r="K276" i="13" a="1"/>
  <c r="K21" i="13" a="1"/>
  <c r="K229" i="13" a="1"/>
  <c r="K287" i="13" a="1"/>
  <c r="K313" i="13" a="1"/>
  <c r="K6" i="13" a="1"/>
  <c r="K59" i="13" a="1"/>
  <c r="K266" i="13" a="1"/>
  <c r="K152" i="13" a="1"/>
  <c r="K174" i="13" a="1"/>
  <c r="K237" i="13" a="1"/>
  <c r="K83" i="13" a="1"/>
  <c r="K249" i="13" a="1"/>
  <c r="K210" i="13" a="1"/>
  <c r="K285" i="13" a="1"/>
  <c r="K19" i="13" a="1"/>
  <c r="K145" i="13" a="1"/>
  <c r="K262" i="13" a="1"/>
  <c r="K233" i="13" a="1"/>
  <c r="K108" i="13" a="1"/>
  <c r="K297" i="13" a="1"/>
  <c r="K240" i="13" a="1"/>
  <c r="K114" i="13" a="1"/>
  <c r="K23" i="13" a="1"/>
  <c r="K271" i="13" a="1"/>
  <c r="K82" i="13" a="1"/>
  <c r="K54" i="13" a="1"/>
  <c r="K156" i="13" a="1"/>
  <c r="K109" i="13" a="1"/>
  <c r="K95" i="13" a="1"/>
  <c r="K201" i="13" a="1"/>
  <c r="K251" i="13" a="1"/>
  <c r="K88" i="13" a="1"/>
  <c r="K44" i="13" a="1"/>
  <c r="K226" i="13" a="1"/>
  <c r="K5" i="13" a="1"/>
  <c r="K134" i="13" a="1"/>
  <c r="K140" i="13" a="1"/>
  <c r="K101" i="13" a="1"/>
  <c r="K132" i="13" a="1"/>
  <c r="K196" i="13" a="1"/>
  <c r="K4" i="13" a="1"/>
  <c r="K65" i="13" a="1"/>
  <c r="K222" i="13" a="1"/>
  <c r="K104" i="13" a="1"/>
  <c r="K112" i="13" a="1"/>
  <c r="K96" i="13" a="1"/>
  <c r="K110" i="13" a="1"/>
  <c r="K85" i="13" a="1"/>
  <c r="K111" i="13" a="1"/>
  <c r="K28" i="13" a="1"/>
  <c r="K22" i="13" a="1"/>
  <c r="K255" i="13" a="1"/>
  <c r="K183" i="13" a="1"/>
  <c r="K273" i="13" a="1"/>
  <c r="K17" i="13" a="1"/>
  <c r="K290" i="13" a="1"/>
  <c r="K31" i="13" a="1"/>
  <c r="K153" i="13" a="1"/>
  <c r="K218" i="13" a="1"/>
  <c r="K165" i="13" a="1"/>
  <c r="K212" i="13" a="1"/>
  <c r="K146" i="13" a="1"/>
  <c r="K162" i="13" a="1"/>
  <c r="K263" i="13" a="1"/>
  <c r="K136" i="13" a="1"/>
  <c r="K300" i="13" a="1"/>
  <c r="K119" i="13" a="1"/>
  <c r="K194" i="13" a="1"/>
  <c r="K45" i="13" a="1"/>
  <c r="K256" i="13" a="1"/>
  <c r="K173" i="13" a="1"/>
  <c r="K118" i="13" a="1"/>
  <c r="K264" i="13" a="1"/>
  <c r="K141" i="13" a="1"/>
  <c r="K62" i="13" a="1"/>
  <c r="K130" i="13" a="1"/>
  <c r="K213" i="13" a="1"/>
  <c r="K121" i="13" a="1"/>
  <c r="K86" i="13" a="1"/>
  <c r="K232" i="13" a="1"/>
  <c r="K288" i="13" a="1"/>
  <c r="K137" i="13" a="1"/>
  <c r="K84" i="13" a="1"/>
  <c r="K124" i="13" a="1"/>
  <c r="K314" i="13" a="1"/>
  <c r="K170" i="13" a="1"/>
  <c r="K176" i="13" a="1"/>
  <c r="K74" i="13" a="1"/>
  <c r="K52" i="13" a="1"/>
  <c r="K192" i="13" a="1"/>
  <c r="K209" i="13" a="1"/>
  <c r="K211" i="13" a="1"/>
  <c r="K53" i="13" a="1"/>
  <c r="K242" i="13" a="1"/>
  <c r="K180" i="13" a="1"/>
  <c r="K187" i="13" a="1"/>
  <c r="K164" i="13" a="1"/>
  <c r="K197" i="13" a="1"/>
  <c r="K9" i="13" a="1"/>
  <c r="K305" i="13" a="1"/>
  <c r="K57" i="13" a="1"/>
  <c r="K35" i="13" a="1"/>
  <c r="K208" i="13" a="1"/>
  <c r="K129" i="13" a="1"/>
  <c r="K230" i="13" a="1"/>
  <c r="K309" i="13" a="1"/>
  <c r="K231" i="13" a="1"/>
  <c r="K205" i="13" a="1"/>
  <c r="K310" i="13" a="1"/>
  <c r="K217" i="13" a="1"/>
  <c r="K107" i="13" a="1"/>
  <c r="K3" i="13" a="1"/>
  <c r="K157" i="13" a="1"/>
  <c r="K172" i="13" a="1"/>
  <c r="K195" i="13" a="1"/>
  <c r="K46" i="13" a="1"/>
  <c r="K304" i="13" a="1"/>
  <c r="K102" i="13" a="1"/>
  <c r="K223" i="13" a="1"/>
  <c r="K113" i="13" a="1"/>
  <c r="K122" i="13" a="1"/>
  <c r="K75" i="13" a="1"/>
  <c r="K235" i="13" a="1"/>
  <c r="K98" i="13" a="1"/>
  <c r="K61" i="13" a="1"/>
  <c r="K244" i="13" a="1"/>
  <c r="K175" i="13" a="1"/>
  <c r="K220" i="13" a="1"/>
  <c r="K97" i="13" a="1"/>
  <c r="K20" i="13" a="1"/>
  <c r="K296" i="13" a="1"/>
  <c r="K60" i="13" a="1"/>
  <c r="K58" i="13" a="1"/>
  <c r="K133" i="13" a="1"/>
  <c r="K204" i="13" a="1"/>
  <c r="K93" i="13" a="1"/>
  <c r="K298" i="13" a="1"/>
  <c r="K225" i="13" a="1"/>
  <c r="K135" i="13" a="1"/>
  <c r="K128" i="13" a="1"/>
  <c r="K89" i="13" a="1"/>
  <c r="K308" i="13" a="1"/>
  <c r="K63" i="13" a="1"/>
  <c r="K64" i="13" a="1"/>
  <c r="K179" i="13" a="1"/>
  <c r="K33" i="13" a="1"/>
  <c r="K100" i="13" a="1"/>
  <c r="K117" i="13" a="1"/>
  <c r="K73" i="13" a="1"/>
  <c r="K72" i="13" a="1"/>
  <c r="K154" i="13" a="1"/>
  <c r="K203" i="13" a="1"/>
  <c r="K56" i="13" a="1"/>
  <c r="K191" i="13" a="1"/>
  <c r="K99" i="13" a="1"/>
  <c r="K71" i="13" a="1"/>
  <c r="K168" i="13" a="1"/>
  <c r="K32" i="13" a="1"/>
  <c r="K26" i="13" a="1"/>
  <c r="K79" i="13" a="1"/>
  <c r="K139" i="13" a="1"/>
  <c r="K90" i="13" a="1"/>
  <c r="K265" i="13" a="1"/>
  <c r="K106" i="13" a="1"/>
  <c r="K155" i="13" a="1"/>
  <c r="K68" i="13" a="1"/>
  <c r="K30" i="13" a="1"/>
  <c r="K257" i="13" a="1"/>
  <c r="K29" i="13" a="1"/>
  <c r="K8" i="13" a="1"/>
  <c r="K254" i="13" a="1"/>
  <c r="K151" i="13" a="1"/>
  <c r="K116" i="13" a="1"/>
  <c r="K250" i="13" a="1"/>
  <c r="K291" i="13" a="1"/>
  <c r="K148" i="13" a="1"/>
  <c r="K246" i="13" a="1"/>
  <c r="K293" i="13" a="1"/>
  <c r="K184" i="13" a="1"/>
  <c r="K81" i="13" a="1"/>
  <c r="K283" i="13" a="1"/>
  <c r="K219" i="13" a="1"/>
  <c r="K269" i="13" a="1"/>
  <c r="K275" i="13" a="1"/>
  <c r="K76" i="13" a="1"/>
  <c r="K268" i="13" a="1"/>
  <c r="K248" i="13" a="1"/>
  <c r="K311" i="13" a="1"/>
  <c r="K236" i="13" a="1"/>
  <c r="K243" i="13" a="1"/>
  <c r="K120" i="13" a="1"/>
  <c r="K87" i="13" a="1"/>
  <c r="K303" i="13" a="1"/>
  <c r="K7" i="13" a="1"/>
  <c r="K159" i="13" a="1"/>
  <c r="K69" i="13" a="1"/>
  <c r="K160" i="13" a="1"/>
  <c r="K224" i="13" a="1"/>
  <c r="K67" i="13" a="1"/>
  <c r="K216" i="13" a="1"/>
  <c r="K34" i="13" a="1"/>
  <c r="K48" i="13" a="1"/>
  <c r="K301" i="13" a="1"/>
  <c r="K131" i="13" a="1"/>
  <c r="K239" i="13" a="1"/>
  <c r="K12" i="13" a="1"/>
  <c r="K238" i="13" a="1"/>
  <c r="K215" i="13" a="1"/>
  <c r="K227" i="13" a="1"/>
  <c r="K161" i="13" a="1"/>
  <c r="K91" i="13" a="1"/>
  <c r="K245" i="13" a="1"/>
  <c r="K274" i="13" a="1"/>
  <c r="K272" i="13" a="1"/>
  <c r="K94" i="13" a="1"/>
  <c r="K312" i="13" a="1"/>
  <c r="K25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3" i="2" a="1"/>
  <c r="S22" i="2" a="1"/>
  <c r="S27" i="2" a="1"/>
  <c r="S34" i="2" a="1"/>
  <c r="S29" i="2" a="1"/>
  <c r="S28" i="2" a="1"/>
  <c r="S35" i="2" a="1"/>
  <c r="S30" i="2" a="1"/>
  <c r="S25" i="2" a="1"/>
  <c r="S26" i="2" a="1"/>
  <c r="S31" i="2" a="1"/>
  <c r="S24" i="2" a="1"/>
  <c r="S33" i="2" a="1"/>
  <c r="S20" i="2" a="1"/>
  <c r="S19" i="2" a="1"/>
  <c r="S18" i="2" a="1"/>
  <c r="AB25" i="2" a="1"/>
  <c r="AB35" i="2" a="1"/>
  <c r="AB57" i="2" a="1"/>
  <c r="AB71" i="2" a="1"/>
  <c r="AB63" i="2" a="1"/>
  <c r="AB29" i="2" a="1"/>
  <c r="AB74" i="2" a="1"/>
  <c r="AB22" i="2" a="1"/>
  <c r="AB44" i="2" a="1"/>
  <c r="AB72" i="2" a="1"/>
  <c r="AB31" i="2" a="1"/>
  <c r="AB18" i="2" a="1"/>
  <c r="AB75" i="2" a="1"/>
  <c r="AB62" i="2" a="1"/>
  <c r="AB61" i="2" a="1"/>
  <c r="AB24" i="2" a="1"/>
  <c r="AB49" i="2" a="1"/>
  <c r="AB51" i="2" a="1"/>
  <c r="AB33" i="2" a="1"/>
  <c r="AB77" i="2" a="1"/>
  <c r="AB32" i="2" a="1"/>
  <c r="AB17" i="2" a="1"/>
  <c r="AB55" i="2" a="1"/>
  <c r="AB59" i="2" a="1"/>
  <c r="AB28" i="2" a="1"/>
  <c r="AB42" i="2" a="1"/>
  <c r="AB54" i="2" a="1"/>
  <c r="AB16" i="2" a="1"/>
  <c r="AB52" i="2" a="1"/>
  <c r="AB39" i="2" a="1"/>
  <c r="AB45" i="2" a="1"/>
  <c r="AB20" i="2" a="1"/>
  <c r="AB40" i="2" a="1"/>
  <c r="AB68" i="2" a="1"/>
  <c r="AB19" i="2" a="1"/>
  <c r="AB79" i="2" a="1"/>
  <c r="AB36" i="2" a="1"/>
  <c r="AB48" i="2" a="1"/>
  <c r="AB23" i="2" a="1"/>
  <c r="AB34" i="2" a="1"/>
  <c r="AB76" i="2" a="1"/>
  <c r="AB30" i="2" a="1"/>
  <c r="AB78" i="2" a="1"/>
  <c r="AB65" i="2" a="1"/>
  <c r="AB66" i="2" a="1"/>
  <c r="AB21" i="2" a="1"/>
  <c r="AB53" i="2" a="1"/>
  <c r="AB41" i="2" a="1"/>
  <c r="AB50" i="2" a="1"/>
  <c r="AB56" i="2" a="1"/>
  <c r="AB73" i="2" a="1"/>
  <c r="AB37" i="2" a="1"/>
  <c r="AB38" i="2" a="1"/>
  <c r="AB46" i="2" a="1"/>
  <c r="AB27" i="2" a="1"/>
  <c r="AB69" i="2" a="1"/>
  <c r="AB47" i="2" a="1"/>
  <c r="AB64" i="2" a="1"/>
  <c r="AB58" i="2" a="1"/>
  <c r="AB60" i="2" a="1"/>
  <c r="AB67" i="2" a="1"/>
  <c r="AB26" i="2" a="1"/>
  <c r="AB43" i="2" a="1"/>
  <c r="AB70" i="2" a="1"/>
  <c r="AB15" i="2" a="1"/>
  <c r="S17" i="2" a="1"/>
  <c r="S15" i="2" a="1"/>
  <c r="S12" i="2" a="1"/>
  <c r="S13" i="2" a="1"/>
  <c r="S16" i="2" a="1"/>
  <c r="S14" i="2" a="1"/>
  <c r="S9" i="2" a="1"/>
  <c r="S8" i="2" a="1"/>
  <c r="S11" i="2" a="1"/>
  <c r="S10" i="2" a="1"/>
  <c r="J236" i="5" a="1"/>
  <c r="J619" i="5" a="1"/>
  <c r="J359" i="5" a="1"/>
  <c r="J287" i="5" a="1"/>
  <c r="J805" i="5" a="1"/>
  <c r="J558" i="5" a="1"/>
  <c r="J276" i="5" a="1"/>
  <c r="J339" i="5" a="1"/>
  <c r="J384" i="5" a="1"/>
  <c r="J668" i="5" a="1"/>
  <c r="J844" i="5" a="1"/>
  <c r="J378" i="5" a="1"/>
  <c r="J393" i="5" a="1"/>
  <c r="J424" i="5" a="1"/>
  <c r="J659" i="5" a="1"/>
  <c r="J806" i="5" a="1"/>
  <c r="J295" i="5" a="1"/>
  <c r="J320" i="5" a="1"/>
  <c r="J862" i="5" a="1"/>
  <c r="J565" i="5" a="1"/>
  <c r="J321" i="5" a="1"/>
  <c r="J128" i="5" a="1"/>
  <c r="J188" i="5" a="1"/>
  <c r="J293" i="5" a="1"/>
  <c r="J812" i="5" a="1"/>
  <c r="J126" i="5" a="1"/>
  <c r="J559" i="5" a="1"/>
  <c r="J218" i="5" a="1"/>
  <c r="J262" i="5" a="1"/>
  <c r="J766" i="5" a="1"/>
  <c r="J695" i="5" a="1"/>
  <c r="J399" i="5" a="1"/>
  <c r="J256" i="5" a="1"/>
  <c r="J336" i="5" a="1"/>
  <c r="J303" i="5" a="1"/>
  <c r="J312" i="5" a="1"/>
  <c r="J310" i="5" a="1"/>
  <c r="J201" i="5" a="1"/>
  <c r="J212" i="5" a="1"/>
  <c r="J356" i="5" a="1"/>
  <c r="J314" i="5" a="1"/>
  <c r="J413" i="5" a="1"/>
  <c r="J175" i="5" a="1"/>
  <c r="J323" i="5" a="1"/>
  <c r="J363" i="5" a="1"/>
  <c r="J392" i="5" a="1"/>
  <c r="J773" i="5" a="1"/>
  <c r="J350" i="5" a="1"/>
  <c r="J278" i="5" a="1"/>
  <c r="J234" i="5" a="1"/>
  <c r="J548" i="5" a="1"/>
  <c r="J304" i="5" a="1"/>
  <c r="J340" i="5" a="1"/>
  <c r="J324" i="5" a="1"/>
  <c r="J137" i="5" a="1"/>
  <c r="J377" i="5" a="1"/>
  <c r="J493" i="5" a="1"/>
  <c r="J404" i="5" a="1"/>
  <c r="J390" i="5" a="1"/>
  <c r="J595" i="5" a="1"/>
  <c r="J237" i="5" a="1"/>
  <c r="J446" i="5" a="1"/>
  <c r="J277" i="5" a="1"/>
  <c r="J144" i="5" a="1"/>
  <c r="J153" i="5" a="1"/>
  <c r="J181" i="5" a="1"/>
  <c r="J594" i="5" a="1"/>
  <c r="J634" i="5" a="1"/>
  <c r="J274" i="5" a="1"/>
  <c r="J386" i="5" a="1"/>
  <c r="J895" i="5" a="1"/>
  <c r="J401" i="5" a="1"/>
  <c r="J178" i="5" a="1"/>
  <c r="J856" i="5" a="1"/>
  <c r="J496" i="5" a="1"/>
  <c r="J158" i="5" a="1"/>
  <c r="J887" i="5" a="1"/>
  <c r="J132" i="5" a="1"/>
  <c r="J225" i="5" a="1"/>
  <c r="J294" i="5" a="1"/>
  <c r="J405" i="5" a="1"/>
  <c r="J369" i="5" a="1"/>
  <c r="J196" i="5" a="1"/>
  <c r="J372" i="5" a="1"/>
  <c r="J799" i="5" a="1"/>
  <c r="J882" i="5" a="1"/>
  <c r="J704" i="5" a="1"/>
  <c r="J288" i="5" a="1"/>
  <c r="J811" i="5" a="1"/>
  <c r="J367" i="5" a="1"/>
  <c r="J271" i="5" a="1"/>
  <c r="J803" i="5" a="1"/>
  <c r="J892" i="5" a="1"/>
  <c r="J171" i="5" a="1"/>
  <c r="J788" i="5" a="1"/>
  <c r="J807" i="5" a="1"/>
  <c r="J322" i="5" a="1"/>
  <c r="J150" i="5" a="1"/>
  <c r="J677" i="5" a="1"/>
  <c r="J889" i="5" a="1"/>
  <c r="J333" i="5" a="1"/>
  <c r="J834" i="5" a="1"/>
  <c r="J354" i="5" a="1"/>
  <c r="J318" i="5" a="1"/>
  <c r="J828" i="5" a="1"/>
  <c r="J357" i="5" a="1"/>
  <c r="J302" i="5" a="1"/>
  <c r="J408" i="5" a="1"/>
  <c r="J195" i="5" a="1"/>
  <c r="J300" i="5" a="1"/>
  <c r="J228" i="5" a="1"/>
  <c r="J391" i="5" a="1"/>
  <c r="J189" i="5" a="1"/>
  <c r="J494" i="5" a="1"/>
  <c r="J267" i="5" a="1"/>
  <c r="J448" i="5" a="1"/>
  <c r="J453" i="5" a="1"/>
  <c r="J387" i="5" a="1"/>
  <c r="J241" i="5" a="1"/>
  <c r="J374" i="5" a="1"/>
  <c r="J553" i="5" a="1"/>
  <c r="J396" i="5" a="1"/>
  <c r="J580" i="5" a="1"/>
  <c r="J577" i="5" a="1"/>
  <c r="J556" i="5" a="1"/>
  <c r="J837" i="5" a="1"/>
  <c r="J562" i="5" a="1"/>
  <c r="J549" i="5" a="1"/>
  <c r="J351" i="5" a="1"/>
  <c r="J555" i="5" a="1"/>
  <c r="J579" i="5" a="1"/>
  <c r="J385" i="5" a="1"/>
  <c r="J746" i="5" a="1"/>
  <c r="J199" i="5" a="1"/>
  <c r="J219" i="5" a="1"/>
  <c r="J179" i="5" a="1"/>
  <c r="J365" i="5" a="1"/>
  <c r="J315" i="5" a="1"/>
  <c r="J291" i="5" a="1"/>
  <c r="J284" i="5" a="1"/>
  <c r="J835" i="5" a="1"/>
  <c r="J292" i="5" a="1"/>
  <c r="J608" i="5" a="1"/>
  <c r="J152" i="5" a="1"/>
  <c r="J177" i="5" a="1"/>
  <c r="J127" i="5" a="1"/>
  <c r="J235" i="5" a="1"/>
  <c r="J170" i="5" a="1"/>
  <c r="J473" i="5" a="1"/>
  <c r="J198" i="5" a="1"/>
  <c r="J176" i="5" a="1"/>
  <c r="J474" i="5" a="1"/>
  <c r="J368" i="5" a="1"/>
  <c r="J560" i="5" a="1"/>
  <c r="J260" i="5" a="1"/>
  <c r="J402" i="5" a="1"/>
  <c r="J883" i="5" a="1"/>
  <c r="J151" i="5" a="1"/>
  <c r="J728" i="5" a="1"/>
  <c r="J349" i="5" a="1"/>
  <c r="J197" i="5" a="1"/>
  <c r="J283" i="5" a="1"/>
  <c r="J130" i="5" a="1"/>
  <c r="J836" i="5" a="1"/>
  <c r="J375" i="5" a="1"/>
  <c r="J268" i="5" a="1"/>
  <c r="J286" i="5" a="1"/>
  <c r="J269" i="5" a="1"/>
  <c r="J438" i="5" a="1"/>
  <c r="J200" i="5" a="1"/>
  <c r="J394" i="5" a="1"/>
  <c r="J645" i="5" a="1"/>
  <c r="J651" i="5" a="1"/>
  <c r="J358" i="5" a="1"/>
  <c r="J552" i="5" a="1"/>
  <c r="J383" i="5" a="1"/>
  <c r="J798" i="5" a="1"/>
  <c r="J226" i="5" a="1"/>
  <c r="J779" i="5" a="1"/>
  <c r="J492" i="5" a="1"/>
  <c r="J431" i="5" a="1"/>
  <c r="J345" i="5" a="1"/>
  <c r="J829" i="5" a="1"/>
  <c r="J168" i="5" a="1"/>
  <c r="J347" i="5" a="1"/>
  <c r="J46" i="5" a="1"/>
  <c r="J428" i="5" a="1"/>
  <c r="J886" i="5" a="1"/>
  <c r="J136" i="5" a="1"/>
  <c r="J578" i="5" a="1"/>
  <c r="J381" i="5" a="1"/>
  <c r="J155" i="5" a="1"/>
  <c r="J449" i="5" a="1"/>
  <c r="J156" i="5" a="1"/>
  <c r="J166" i="5" a="1"/>
  <c r="J342" i="5" a="1"/>
  <c r="J242" i="5" a="1"/>
  <c r="J261" i="5" a="1"/>
  <c r="J165" i="5" a="1"/>
  <c r="J306" i="5" a="1"/>
  <c r="J802" i="5" a="1"/>
  <c r="J227" i="5" a="1"/>
  <c r="J557" i="5" a="1"/>
  <c r="J187" i="5" a="1"/>
  <c r="J576" i="5" a="1"/>
  <c r="J285" i="5" a="1"/>
  <c r="J581" i="5" a="1"/>
  <c r="J463" i="5" a="1"/>
  <c r="J823" i="5" a="1"/>
  <c r="J309" i="5" a="1"/>
  <c r="J447" i="5" a="1"/>
  <c r="J255" i="5" a="1"/>
  <c r="J331" i="5" a="1"/>
  <c r="J838" i="5" a="1"/>
  <c r="J547" i="5" a="1"/>
  <c r="J850" i="5" a="1"/>
  <c r="J776" i="5" a="1"/>
  <c r="J145" i="5" a="1"/>
  <c r="J275" i="5" a="1"/>
  <c r="J341" i="5" a="1"/>
  <c r="J816" i="5" a="1"/>
  <c r="J403" i="5" a="1"/>
  <c r="J804" i="5" a="1"/>
  <c r="J587" i="5" a="1"/>
  <c r="J686" i="5" a="1"/>
  <c r="J588" i="5" a="1"/>
  <c r="J874" i="5" a="1"/>
  <c r="J550" i="5" a="1"/>
  <c r="J894" i="5" a="1"/>
  <c r="J186" i="5" a="1"/>
  <c r="J247" i="5" a="1"/>
  <c r="J270" i="5" a="1"/>
  <c r="J554" i="5" a="1"/>
  <c r="J246" i="5" a="1"/>
  <c r="J888" i="5" a="1"/>
  <c r="J366" i="5" a="1"/>
  <c r="J206" i="5" a="1"/>
  <c r="J338" i="5" a="1"/>
  <c r="J297" i="5" a="1"/>
  <c r="J305" i="5" a="1"/>
  <c r="J376" i="5" a="1"/>
  <c r="J464" i="5" a="1"/>
  <c r="J129" i="5" a="1"/>
  <c r="J243" i="5" a="1"/>
  <c r="J215" i="5" a="1"/>
  <c r="J472" i="5" a="1"/>
  <c r="J618" i="5" a="1"/>
  <c r="J480" i="5" a="1"/>
  <c r="J44" i="5" a="1"/>
  <c r="J395" i="5" a="1"/>
  <c r="J332" i="5" a="1"/>
  <c r="J167" i="5" a="1"/>
  <c r="J185" i="5" a="1"/>
  <c r="J561" i="5" a="1"/>
  <c r="J313" i="5" a="1"/>
  <c r="J266" i="5" a="1"/>
  <c r="J329" i="5" a="1"/>
  <c r="J311" i="5" a="1"/>
  <c r="J141" i="5" a="1"/>
  <c r="J249" i="5" a="1"/>
  <c r="J737" i="5" a="1"/>
  <c r="J360" i="5" a="1"/>
  <c r="J822" i="5" a="1"/>
  <c r="J142" i="5" a="1"/>
  <c r="J131" i="5" a="1"/>
  <c r="J546" i="5" a="1"/>
  <c r="J551" i="5" a="1"/>
  <c r="J296" i="5" a="1"/>
  <c r="J245" i="5" a="1"/>
  <c r="J487" i="5" a="1"/>
  <c r="J191" i="5" a="1"/>
  <c r="J327" i="5" a="1"/>
  <c r="J602" i="5" a="1"/>
  <c r="J263" i="5" a="1"/>
  <c r="J644" i="5" a="1"/>
  <c r="J417" i="5" a="1"/>
  <c r="J138" i="5" a="1"/>
  <c r="J817" i="5" a="1"/>
  <c r="J248" i="5" a="1"/>
  <c r="J881" i="5" a="1"/>
  <c r="J755" i="5" a="1"/>
  <c r="J143" i="5" a="1"/>
  <c r="J868" i="5" a="1"/>
  <c r="J348" i="5" a="1"/>
  <c r="J626" i="5" a="1"/>
  <c r="J719" i="5" a="1"/>
  <c r="J279" i="5" a="1"/>
  <c r="J282" i="5" a="1"/>
  <c r="J880" i="5" a="1"/>
  <c r="J710" i="5" a="1"/>
  <c r="J475" i="5" a="1"/>
  <c r="J330" i="5" a="1"/>
  <c r="J601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7" i="5" a="1"/>
  <c r="J100" i="5" a="1"/>
  <c r="J91" i="5" a="1"/>
  <c r="J88" i="5" a="1"/>
  <c r="J108" i="5" a="1"/>
  <c r="J109" i="5" a="1"/>
  <c r="J99" i="5" a="1"/>
  <c r="J101" i="5" a="1"/>
  <c r="J84" i="5" a="1"/>
  <c r="J86" i="5" a="1"/>
  <c r="J85" i="5" a="1"/>
  <c r="J107" i="5" a="1"/>
  <c r="J90" i="5" a="1"/>
  <c r="J110" i="5" a="1"/>
  <c r="J89" i="5" a="1"/>
  <c r="J80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2" i="5" a="1"/>
  <c r="J40" i="5" a="1"/>
  <c r="J52" i="5" a="1"/>
  <c r="J59" i="5" a="1"/>
  <c r="J31" i="5" a="1"/>
  <c r="J35" i="5" a="1"/>
  <c r="J51" i="5" a="1"/>
  <c r="J70" i="5" a="1"/>
  <c r="J61" i="5" a="1"/>
  <c r="J72" i="5" a="1"/>
  <c r="J33" i="5" a="1"/>
  <c r="J71" i="5" a="1"/>
  <c r="J78" i="5" a="1"/>
  <c r="J77" i="5" a="1"/>
  <c r="J12" i="5" a="1"/>
  <c r="J60" i="5" a="1"/>
  <c r="J79" i="5" a="1"/>
  <c r="J69" i="5" a="1"/>
  <c r="J26" i="5" a="1"/>
  <c r="J19" i="5" a="1"/>
  <c r="J63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<sst xmlns="http://schemas.openxmlformats.org/spreadsheetml/2006/main" count="11455" uniqueCount="2433">
  <si>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</si>
  <si>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</si>
  <si>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</si>
  <si>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</si>
  <si>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</si>
  <si>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</si>
  <si>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</si>
  <si>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</si>
  <si>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</si>
  <si>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</si>
  <si>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</si>
  <si>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</si>
  <si>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</si>
  <si>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</si>
  <si>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</si>
  <si>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</si>
  <si>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</si>
  <si>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</si>
  <si>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</si>
  <si>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</si>
  <si>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</si>
  <si>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</si>
  <si>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</si>
  <si>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</si>
  <si>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</si>
  <si>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</si>
  <si>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</si>
  <si>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</si>
  <si>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</si>
  <si>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</si>
  <si>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</si>
  <si>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</si>
  <si>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</si>
  <si>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</si>
  <si>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</si>
  <si>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</si>
  <si>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</si>
  <si>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</si>
  <si>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</si>
  <si>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</si>
  <si>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</si>
  <si>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</si>
  <si>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</si>
  <si>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</si>
  <si>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</si>
  <si>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</si>
  <si>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</si>
  <si>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</si>
  <si>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</si>
  <si>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</si>
  <si>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</si>
  <si>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</si>
  <si>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</si>
  <si>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</si>
  <si>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</si>
  <si>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</si>
  <si>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</si>
  <si>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</si>
  <si>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</si>
  <si>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</si>
  <si>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</si>
  <si>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</si>
  <si>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</si>
  <si>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</si>
  <si>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</si>
  <si>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</si>
  <si>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</si>
  <si>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</si>
  <si>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</si>
  <si>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</si>
  <si>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</si>
  <si>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</si>
  <si>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</si>
  <si>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</si>
  <si>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</si>
  <si>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</si>
  <si>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</si>
  <si>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</si>
  <si>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</si>
  <si>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</si>
  <si>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</si>
  <si>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</si>
  <si>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</si>
  <si>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</si>
  <si>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</si>
  <si>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</si>
  <si>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</si>
  <si>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</si>
  <si>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</si>
  <si>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</si>
  <si>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</si>
  <si>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</si>
  <si>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</si>
  <si>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</si>
  <si>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</si>
  <si>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</si>
  <si>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</si>
  <si>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</si>
  <si>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</si>
  <si>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</si>
  <si>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</si>
  <si>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</si>
  <si>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</si>
  <si>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</si>
  <si>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</si>
  <si>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</si>
  <si>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</si>
  <si>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</si>
  <si>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</si>
  <si>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</si>
  <si>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</si>
  <si>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</si>
  <si>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</si>
  <si>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</si>
  <si>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</si>
  <si>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</si>
  <si>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</si>
  <si>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</si>
  <si>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</si>
  <si>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</si>
  <si>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</si>
  <si>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</si>
  <si>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</si>
  <si>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</si>
  <si>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</si>
  <si>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</si>
  <si>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</si>
  <si>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</si>
  <si>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</si>
  <si>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</si>
  <si>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</si>
  <si>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</si>
  <si>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</si>
  <si>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</si>
  <si>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</si>
  <si>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</si>
  <si>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</si>
  <si>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</si>
  <si>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</si>
  <si>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</si>
  <si>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</si>
  <si>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</si>
  <si>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</si>
  <si>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</si>
  <si>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</si>
  <si>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</si>
  <si>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</si>
  <si>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</si>
  <si>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</si>
  <si>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</si>
  <si>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</si>
  <si>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</si>
  <si>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</si>
  <si>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</si>
  <si>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</si>
  <si>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</si>
  <si>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</si>
  <si>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</si>
  <si>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</si>
  <si>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</si>
  <si>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</si>
  <si>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</si>
  <si>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</si>
  <si>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</si>
  <si>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</si>
  <si>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</si>
  <si>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</si>
  <si>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</si>
  <si>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</si>
  <si>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</si>
  <si>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</si>
  <si>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</si>
  <si>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</si>
  <si>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</si>
  <si>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</si>
  <si>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</si>
  <si>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</si>
  <si>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</si>
  <si>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</si>
  <si>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</si>
  <si>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</si>
  <si>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</si>
  <si>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</si>
  <si>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</si>
  <si>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</si>
  <si>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</si>
  <si>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</si>
  <si>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</si>
  <si>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</si>
  <si>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</si>
  <si>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</si>
  <si>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</si>
  <si>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</si>
  <si>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</si>
  <si>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</si>
  <si>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</si>
  <si>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</si>
  <si>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</si>
  <si>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</si>
  <si>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</si>
  <si>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</si>
  <si>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</si>
  <si>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</si>
  <si>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</si>
  <si>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</si>
  <si>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</si>
  <si>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</si>
  <si>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</si>
  <si>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</si>
  <si>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</si>
  <si>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</si>
  <si>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</si>
  <si>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</si>
  <si>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</si>
  <si>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</si>
  <si>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</si>
  <si>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</si>
  <si>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</si>
  <si>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</si>
  <si>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</si>
  <si>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</si>
  <si>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</si>
  <si>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</si>
  <si>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</si>
  <si>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</si>
  <si>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</si>
  <si>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</si>
  <si>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</si>
  <si>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</si>
  <si>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</si>
  <si>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</si>
  <si>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</si>
  <si>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</si>
  <si>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</si>
  <si>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</si>
  <si>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</si>
  <si>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</si>
  <si>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</si>
  <si>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</si>
  <si>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</si>
  <si>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</si>
  <si>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</si>
  <si>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</si>
  <si>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</si>
  <si>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</si>
  <si>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</si>
  <si>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</si>
  <si>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</si>
  <si>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</si>
  <si>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</si>
  <si>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</si>
  <si>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</si>
  <si>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</si>
  <si>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</si>
  <si>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</si>
  <si>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</si>
  <si>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</si>
  <si>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</si>
  <si>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</si>
  <si>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</si>
  <si>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</si>
  <si>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</si>
  <si>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</si>
  <si>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</si>
  <si>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</si>
  <si>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</si>
  <si>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</si>
  <si>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</si>
  <si>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</si>
  <si>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</si>
  <si>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</si>
  <si>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</si>
  <si>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</si>
  <si>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</si>
  <si>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</si>
  <si>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</si>
  <si>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</si>
  <si>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</si>
  <si>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</si>
  <si>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</si>
  <si>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</si>
  <si>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</si>
  <si>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</si>
  <si>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</si>
  <si>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</si>
  <si>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</si>
  <si>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</si>
  <si>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</si>
  <si>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</si>
  <si>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</si>
  <si>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</si>
  <si>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</si>
  <si>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</si>
  <si>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</si>
  <si>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</si>
  <si>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</si>
  <si>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</si>
  <si>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</si>
  <si>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</si>
  <si>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</si>
  <si>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</si>
  <si>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</si>
  <si>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</si>
  <si>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</si>
  <si>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</si>
  <si>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</si>
  <si>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</si>
  <si>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</si>
  <si>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</si>
  <si>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</si>
  <si>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</si>
  <si>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</si>
  <si>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</si>
  <si>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</si>
  <si>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</si>
  <si>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</si>
  <si>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</si>
  <si>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</si>
  <si>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</si>
  <si>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</si>
  <si>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</si>
  <si>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</si>
  <si>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</si>
  <si>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</si>
  <si>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</si>
  <si>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</si>
  <si>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</si>
  <si>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</si>
  <si>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</si>
  <si>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</si>
  <si>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</si>
  <si>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</si>
  <si>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</si>
  <si>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</si>
  <si>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</si>
  <si>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</si>
  <si>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</si>
  <si>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</si>
  <si>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</si>
  <si>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</si>
  <si>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</si>
  <si>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</si>
  <si>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</si>
  <si>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</si>
  <si>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</si>
  <si>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</si>
  <si>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</si>
  <si>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</si>
  <si>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</si>
  <si>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</si>
  <si>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</si>
  <si>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</si>
  <si>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</si>
  <si>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</si>
  <si>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</si>
  <si>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</si>
  <si>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</si>
  <si>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</si>
  <si>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</si>
  <si>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</si>
  <si>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</si>
  <si>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</si>
  <si>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</si>
  <si>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</si>
  <si>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</si>
  <si>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</si>
  <si>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</si>
  <si>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</si>
  <si>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</si>
  <si>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</si>
  <si>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</si>
  <si>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</si>
  <si>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</si>
  <si>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</si>
  <si>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</si>
  <si>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</si>
  <si>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</si>
  <si>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</si>
  <si>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</si>
  <si>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</si>
  <si>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</si>
  <si>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</si>
  <si>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</si>
  <si>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</si>
  <si>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</si>
  <si>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</si>
  <si>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</si>
  <si>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</si>
  <si>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</si>
  <si>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</si>
  <si>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</si>
  <si>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</si>
  <si>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</si>
  <si>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</si>
  <si>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</si>
  <si>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</si>
  <si>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</si>
  <si>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</si>
  <si>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</si>
  <si>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</si>
  <si>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</si>
  <si>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</si>
  <si>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</si>
  <si>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</si>
  <si>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</si>
  <si>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</si>
  <si>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</si>
  <si>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</si>
  <si>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</si>
  <si>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</si>
  <si>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</si>
  <si>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</si>
  <si>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</si>
  <si>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</si>
  <si>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</si>
  <si>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</si>
  <si>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</si>
  <si>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</si>
  <si>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</si>
  <si>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</si>
  <si>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</si>
  <si>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</si>
  <si>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</si>
  <si>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</si>
  <si>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</si>
  <si>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</si>
  <si>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</si>
  <si>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</si>
  <si>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</si>
  <si>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</si>
  <si>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</si>
  <si>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</si>
  <si>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</si>
  <si>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</si>
  <si>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</si>
  <si>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</si>
  <si>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</si>
  <si>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</si>
  <si>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</si>
  <si>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</si>
  <si>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</si>
  <si>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</si>
  <si>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</si>
  <si>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</si>
  <si>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</si>
  <si>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</si>
  <si>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</si>
  <si>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</si>
  <si>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</si>
  <si>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</si>
  <si>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</si>
  <si>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</si>
  <si>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</si>
  <si>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</si>
  <si>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</si>
  <si>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</si>
  <si>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</si>
  <si>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</si>
  <si>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</si>
  <si>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</si>
  <si>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</si>
  <si>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</si>
  <si>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</si>
  <si>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</si>
  <si>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</si>
  <si>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</si>
  <si>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</si>
  <si>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</si>
  <si>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</si>
  <si>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</si>
  <si>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</si>
  <si>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</si>
  <si>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</si>
  <si>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</si>
  <si>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</si>
  <si>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</si>
  <si>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</si>
  <si>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</si>
  <si>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</si>
  <si>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</si>
  <si>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</si>
  <si>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</si>
  <si>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</si>
  <si>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</si>
  <si>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</si>
  <si>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</si>
  <si>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</si>
  <si>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</si>
  <si>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</si>
  <si>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</si>
  <si>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</si>
  <si>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</si>
  <si>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</si>
  <si>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</si>
  <si>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</si>
  <si>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</si>
  <si>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</si>
  <si>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</si>
  <si>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</si>
  <si>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</si>
  <si>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</si>
  <si>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</si>
  <si>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</si>
  <si>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</si>
  <si>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</si>
  <si>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</si>
  <si>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</si>
  <si>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</si>
  <si>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</si>
  <si>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</si>
  <si>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</si>
  <si>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</si>
  <si>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</si>
  <si>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</si>
  <si>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</si>
  <si>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</si>
  <si>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</si>
  <si>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</si>
  <si>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</si>
  <si>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</si>
  <si>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</si>
  <si>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</si>
  <si>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</si>
  <si>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</si>
  <si>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</si>
  <si>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</si>
  <si>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</si>
  <si>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</si>
  <si>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</si>
  <si>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</si>
  <si>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</si>
  <si>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</si>
  <si>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</si>
  <si>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</si>
  <si>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</si>
  <si>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</si>
  <si>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</si>
  <si>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</si>
  <si>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</si>
  <si>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</si>
  <si>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</si>
  <si>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</si>
  <si>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</si>
  <si>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</si>
  <si>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</si>
  <si>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</si>
  <si>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</si>
  <si>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</si>
  <si>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</si>
  <si>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</si>
  <si>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</si>
  <si>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</si>
  <si>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</si>
  <si>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</si>
  <si>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</si>
  <si>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</si>
  <si>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</si>
  <si>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</si>
  <si>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</si>
  <si>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</si>
  <si>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</si>
  <si>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</si>
  <si>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</si>
  <si>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</si>
  <si>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</si>
  <si>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</si>
  <si>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</si>
  <si>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</si>
  <si>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</si>
  <si>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</si>
  <si>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</si>
  <si>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</si>
  <si>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</si>
  <si>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</si>
  <si>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</si>
  <si>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</si>
  <si>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</si>
  <si>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</si>
  <si>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</si>
  <si>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</si>
  <si>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</si>
  <si>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</si>
  <si>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</si>
  <si>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</si>
  <si>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</si>
  <si>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</si>
  <si>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</si>
  <si>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</si>
  <si>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</si>
  <si>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</si>
  <si>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</si>
  <si>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</si>
  <si>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</si>
  <si>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</si>
  <si>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</si>
  <si>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</si>
  <si>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</si>
  <si>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</si>
  <si>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</si>
  <si>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</si>
  <si>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</si>
  <si>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</si>
  <si>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</si>
  <si>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</si>
  <si>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</si>
  <si>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</si>
  <si>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</si>
  <si>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</si>
  <si>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</si>
  <si>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</si>
  <si>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</si>
  <si>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</si>
  <si>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</si>
  <si>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</si>
  <si>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</si>
  <si>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</si>
  <si>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</si>
  <si>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</si>
  <si>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</si>
  <si>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</si>
  <si>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</si>
  <si>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</si>
  <si>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</si>
  <si>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</si>
  <si>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</si>
  <si>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</si>
  <si>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</si>
  <si>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</si>
  <si>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</si>
  <si>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</si>
  <si>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</si>
  <si>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</si>
  <si>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</si>
  <si>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</si>
  <si>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</si>
  <si>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</si>
  <si>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</si>
  <si>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</si>
  <si>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</si>
  <si>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</si>
  <si>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</si>
  <si>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</si>
  <si>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</si>
  <si>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</si>
  <si>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</si>
  <si>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</si>
  <si>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</si>
  <si>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</si>
  <si>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</si>
  <si>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</si>
  <si>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</si>
  <si>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</si>
  <si>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</si>
  <si>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</si>
  <si>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</si>
  <si>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</si>
  <si>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</si>
  <si>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</si>
  <si>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</si>
  <si>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</si>
  <si>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</si>
  <si>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</si>
  <si>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</si>
  <si>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</si>
  <si>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</si>
  <si>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</si>
  <si>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</si>
  <si>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</si>
  <si>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</si>
  <si>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</si>
  <si>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</si>
  <si>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</si>
  <si>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</si>
  <si>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</si>
  <si>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</si>
  <si>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</si>
  <si>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</si>
  <si>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</si>
  <si>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</si>
  <si>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</si>
  <si>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</si>
  <si>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</si>
  <si>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</si>
  <si>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</si>
  <si>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</si>
  <si>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</si>
  <si>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</si>
  <si>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</si>
  <si>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</si>
  <si>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</si>
  <si>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</si>
  <si>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</si>
  <si>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</si>
  <si>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</si>
  <si>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</si>
  <si>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</si>
  <si>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</si>
  <si>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</si>
  <si>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</si>
  <si>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</si>
  <si>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</si>
  <si>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</si>
  <si>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</si>
  <si>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</si>
  <si>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</si>
  <si>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</si>
  <si>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</si>
  <si>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</si>
  <si>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</si>
  <si>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</si>
  <si>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</si>
  <si>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</si>
  <si>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</si>
  <si>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</si>
  <si>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</si>
  <si>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</si>
  <si>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</si>
  <si>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</si>
  <si>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</si>
  <si>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</si>
  <si>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</si>
  <si>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</si>
  <si>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</si>
  <si>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</si>
  <si>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</si>
  <si>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</si>
  <si>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</si>
  <si>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</si>
  <si>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</si>
  <si>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</si>
  <si>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</si>
  <si>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</si>
  <si>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</si>
  <si>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</si>
  <si>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</si>
  <si>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</si>
  <si>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</si>
  <si>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</si>
  <si>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</si>
  <si>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</si>
  <si>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</si>
  <si>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</si>
  <si>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</si>
  <si>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</si>
  <si>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</si>
  <si>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</si>
  <si>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</si>
  <si>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</si>
  <si>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</si>
  <si>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</si>
  <si>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</si>
  <si>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</si>
  <si>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</si>
  <si>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</si>
  <si>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</si>
  <si>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</si>
  <si>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</si>
  <si>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</si>
  <si>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</si>
  <si>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</si>
  <si>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</si>
  <si>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</si>
  <si>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</si>
  <si>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</si>
  <si>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</si>
  <si>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</si>
  <si>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</si>
  <si>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</si>
  <si>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</si>
  <si>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</si>
  <si>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</si>
  <si>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</si>
  <si>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</si>
  <si>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</si>
  <si>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</si>
  <si>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</si>
  <si>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</si>
  <si>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</si>
  <si>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</si>
  <si>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</si>
  <si>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</si>
  <si>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</si>
  <si>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</si>
  <si>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</si>
  <si>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</si>
  <si>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</si>
  <si>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</si>
  <si>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</si>
  <si>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</si>
  <si>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</si>
  <si>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</si>
  <si>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</si>
  <si>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</si>
  <si>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</si>
  <si>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</si>
  <si>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</si>
  <si>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</si>
  <si>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</si>
  <si>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</si>
  <si>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</si>
  <si>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</si>
  <si>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</si>
  <si>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</si>
  <si>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</si>
  <si>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</si>
  <si>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</si>
  <si>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</si>
  <si>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</si>
  <si>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</si>
  <si>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</si>
  <si>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</si>
  <si>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</si>
  <si>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</si>
  <si>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</si>
  <si>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</si>
  <si>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</si>
  <si>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</si>
  <si>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</si>
  <si>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</si>
  <si>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</si>
  <si>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</si>
  <si>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</si>
  <si>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</si>
  <si>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</si>
  <si>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</si>
  <si>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</si>
  <si>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</si>
  <si>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</si>
  <si>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</si>
  <si>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</si>
  <si>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</si>
  <si>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</si>
  <si>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</si>
  <si>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</si>
  <si>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</si>
  <si>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</si>
  <si>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</si>
  <si>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</si>
  <si>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</si>
  <si>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</si>
  <si>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</si>
  <si>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</si>
  <si>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</si>
  <si>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</si>
  <si>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</si>
  <si>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</si>
  <si>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</si>
  <si>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</si>
  <si>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</si>
  <si>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</si>
  <si>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</si>
  <si>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</si>
  <si>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</si>
  <si>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</si>
  <si>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</si>
  <si>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</si>
  <si>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</si>
  <si>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</si>
  <si>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</si>
  <si>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</si>
  <si>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</si>
  <si>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</si>
  <si>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</si>
  <si>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</si>
  <si>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</si>
  <si>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</si>
  <si>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</si>
  <si>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</si>
  <si>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</si>
  <si>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</si>
  <si>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</si>
  <si>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</si>
  <si>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</si>
  <si>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</si>
  <si>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</si>
  <si>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</si>
  <si>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</si>
  <si>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</si>
  <si>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</si>
  <si>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</si>
  <si>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</si>
  <si>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</si>
  <si>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</si>
  <si>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</si>
  <si>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</si>
  <si>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</si>
  <si>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</si>
  <si>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</si>
  <si>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</si>
  <si>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</si>
  <si>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</si>
  <si>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</si>
  <si>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</si>
  <si>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</si>
  <si>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</si>
  <si>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</si>
  <si>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</si>
  <si>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</si>
  <si>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</si>
  <si>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</si>
  <si>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</si>
  <si>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</si>
  <si>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</si>
  <si>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</si>
  <si>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</si>
  <si>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</si>
  <si>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</si>
  <si>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</si>
  <si>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</si>
  <si>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</si>
  <si>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</si>
  <si>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</si>
  <si>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</si>
  <si>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</si>
  <si>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</si>
  <si>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</si>
  <si>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</si>
  <si>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</si>
  <si>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</si>
  <si>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</si>
  <si>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</si>
  <si>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</si>
  <si>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</si>
  <si>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</si>
  <si>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</si>
  <si>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</si>
  <si>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</si>
  <si>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</si>
  <si>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</si>
  <si>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</si>
  <si>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</si>
  <si>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</si>
  <si>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</si>
  <si>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</si>
  <si>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</si>
  <si>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</si>
  <si>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</si>
  <si>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</si>
  <si>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</si>
  <si>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</si>
  <si>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</si>
  <si>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</si>
  <si>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</si>
  <si>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</si>
  <si>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</si>
  <si>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</si>
  <si>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</si>
  <si>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</si>
  <si>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</si>
  <si>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</si>
  <si>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</si>
  <si>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</si>
  <si>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</si>
  <si>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</si>
  <si>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</si>
  <si>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</si>
  <si>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</si>
  <si>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</si>
  <si>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</si>
  <si>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</si>
  <si>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</si>
  <si>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</si>
  <si>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</si>
  <si>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</si>
  <si>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</si>
  <si>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</si>
  <si>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</si>
  <si>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</si>
  <si>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</si>
  <si>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</si>
  <si>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</si>
  <si>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</si>
  <si>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</si>
  <si>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</si>
  <si>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</si>
  <si>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</si>
  <si>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</si>
  <si>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</si>
  <si>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</si>
  <si>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</si>
  <si>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</si>
  <si>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</si>
  <si>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</si>
  <si>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</si>
  <si>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</si>
  <si>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</si>
  <si>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</si>
  <si>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</si>
  <si>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</si>
  <si>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</si>
  <si>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</si>
  <si>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</si>
  <si>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</si>
  <si>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</si>
  <si>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</si>
  <si>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</si>
  <si>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</si>
  <si>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</si>
  <si>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</si>
  <si>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</si>
  <si>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</si>
  <si>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</si>
  <si>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</si>
  <si>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</si>
  <si>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</si>
  <si>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</si>
  <si>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</si>
  <si>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</si>
  <si>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</si>
  <si>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</si>
  <si>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</si>
  <si>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</si>
  <si>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</si>
  <si>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</si>
  <si>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</si>
  <si>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</si>
  <si>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</si>
  <si>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</si>
  <si>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</si>
  <si>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</si>
  <si>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</si>
  <si>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</si>
  <si>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</si>
  <si>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</si>
  <si>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</si>
  <si>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</si>
  <si>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</si>
  <si>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</si>
  <si>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</si>
  <si>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</si>
  <si>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</si>
  <si>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</si>
  <si>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</si>
  <si>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</si>
  <si>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</si>
  <si>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</si>
  <si>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</si>
  <si>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</si>
  <si>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</si>
  <si>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</si>
  <si>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</si>
  <si>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</si>
  <si>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</si>
  <si>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</si>
  <si>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</si>
  <si>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</si>
  <si>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</si>
  <si>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</si>
  <si>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</si>
  <si>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</si>
  <si>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</si>
  <si>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</si>
  <si>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</si>
  <si>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</si>
  <si>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</si>
  <si>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</si>
  <si>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</si>
  <si>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</si>
  <si>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</si>
  <si>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</si>
  <si>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</si>
  <si>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</si>
  <si>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</si>
  <si>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</si>
  <si>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</si>
  <si>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</si>
  <si>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</si>
  <si>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</si>
  <si>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</si>
  <si>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</si>
  <si>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</si>
  <si>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</si>
  <si>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</si>
  <si>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</si>
  <si>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</si>
  <si>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</si>
  <si>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</si>
  <si>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</si>
  <si>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</si>
  <si>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</si>
  <si>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</si>
  <si>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</si>
  <si>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</si>
  <si>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</si>
  <si>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</si>
  <si>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</si>
  <si>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</si>
  <si>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</si>
  <si>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</si>
  <si>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</si>
  <si>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</si>
  <si>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</si>
  <si>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</si>
  <si>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</si>
  <si>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</si>
  <si>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</si>
  <si>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</si>
  <si>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</si>
  <si>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</si>
  <si>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</si>
  <si>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</si>
  <si>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</si>
  <si>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</si>
  <si>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</si>
  <si>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</si>
  <si>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</si>
  <si>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</si>
  <si>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</si>
  <si>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</si>
  <si>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</si>
  <si>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</si>
  <si>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</si>
  <si>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</si>
  <si>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</si>
  <si>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</si>
  <si>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</si>
  <si>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</si>
  <si>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</si>
  <si>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</si>
  <si>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</si>
  <si>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</si>
  <si>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</si>
  <si>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</si>
  <si>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</si>
  <si>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</si>
  <si>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</si>
  <si>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</si>
  <si>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</si>
  <si>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</si>
  <si>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</si>
  <si>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</si>
  <si>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</si>
  <si>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</si>
  <si>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</si>
  <si>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</si>
  <si>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</si>
  <si>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</si>
  <si>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</si>
  <si>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</si>
  <si>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</si>
  <si>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</si>
  <si>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</si>
  <si>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</si>
  <si>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</si>
  <si>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</si>
  <si>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</si>
  <si>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</si>
  <si>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</si>
  <si>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</si>
  <si>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</si>
  <si>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</si>
  <si>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</si>
  <si>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</si>
  <si>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</si>
  <si>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</si>
  <si>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</si>
  <si>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</si>
  <si>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</si>
  <si>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</si>
  <si>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</si>
  <si>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</si>
  <si>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</si>
  <si>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</si>
  <si>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</si>
  <si>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</si>
  <si>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</si>
  <si>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</si>
  <si>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</si>
  <si>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</si>
  <si>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</si>
  <si>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</si>
  <si>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</si>
  <si>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</si>
  <si>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</si>
  <si>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</si>
  <si>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</si>
  <si>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</si>
  <si>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</si>
  <si>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</si>
  <si>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</si>
  <si>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</si>
  <si>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</si>
  <si>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</si>
  <si>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</si>
  <si>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</si>
  <si>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</si>
  <si>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</si>
  <si>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</si>
  <si>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</si>
  <si>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</si>
  <si>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</si>
  <si>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</si>
  <si>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</si>
  <si>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</si>
  <si>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</si>
  <si>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</si>
  <si>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</si>
  <si>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</si>
  <si>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</si>
  <si>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</si>
  <si>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</si>
  <si>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</si>
  <si>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</si>
  <si>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</si>
  <si>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</si>
  <si>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</si>
  <si>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</si>
  <si>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</si>
  <si>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</si>
  <si>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</si>
  <si>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</si>
  <si>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</si>
  <si>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</si>
  <si>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</si>
  <si>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</si>
  <si>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</si>
  <si>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</si>
  <si>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</si>
  <si>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</si>
  <si>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</si>
  <si>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</si>
  <si>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</si>
  <si>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</si>
  <si>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</si>
  <si>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</si>
  <si>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</si>
  <si>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</si>
  <si>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</si>
  <si>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</si>
  <si>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</si>
  <si>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</si>
  <si>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</si>
  <si>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</si>
  <si>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</si>
  <si>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</si>
  <si>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</si>
  <si>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</si>
  <si>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</si>
  <si>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</si>
  <si>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</si>
  <si>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</si>
  <si>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</si>
  <si>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</si>
  <si>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</si>
  <si>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</si>
  <si>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</si>
  <si>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</si>
  <si>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</si>
  <si>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</si>
  <si>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</si>
  <si>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</si>
  <si>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</si>
  <si>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</si>
  <si>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</si>
  <si>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</si>
  <si>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</si>
  <si>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</si>
  <si>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</si>
  <si>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</si>
  <si>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</si>
  <si>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</si>
  <si>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</si>
  <si>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</si>
  <si>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</si>
  <si>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</si>
  <si>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</si>
  <si>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</si>
  <si>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</si>
  <si>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</si>
  <si>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</si>
  <si>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</si>
  <si>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</si>
  <si>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</si>
  <si>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</si>
  <si>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</si>
  <si>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</si>
  <si>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</si>
  <si>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</si>
  <si>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</si>
  <si>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</si>
  <si>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</si>
  <si>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</si>
  <si>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</si>
  <si>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</si>
  <si>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</si>
  <si>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</si>
  <si>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</si>
  <si>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</si>
  <si>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</si>
  <si>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</si>
  <si>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</si>
  <si>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</si>
  <si>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</si>
  <si>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</si>
  <si>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</si>
  <si>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</si>
  <si>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</si>
  <si>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</si>
  <si>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</si>
  <si>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</si>
  <si>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</si>
  <si>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</si>
  <si>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</si>
  <si>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</si>
  <si>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</si>
  <si>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</si>
  <si>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</si>
  <si>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</si>
  <si>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</si>
  <si>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</si>
  <si>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</si>
  <si>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</si>
  <si>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</si>
  <si>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</si>
  <si>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</si>
  <si>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</si>
  <si>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</si>
  <si>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</si>
  <si>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</si>
  <si>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</si>
  <si>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</si>
  <si>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</si>
  <si>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</si>
  <si>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</si>
  <si>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</si>
  <si>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</si>
  <si>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</si>
  <si>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</si>
  <si>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</si>
  <si>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</si>
  <si>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</si>
  <si>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</si>
  <si>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</si>
  <si>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</si>
  <si>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</si>
  <si>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</si>
  <si>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</si>
  <si>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</si>
  <si>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</si>
  <si>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</si>
  <si>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</si>
  <si>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</si>
  <si>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</si>
  <si>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</si>
  <si>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</si>
  <si>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</si>
  <si>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</si>
  <si>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</si>
  <si>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</si>
  <si>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</si>
  <si>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</si>
  <si>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</si>
  <si>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</si>
  <si>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</si>
  <si>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</si>
  <si>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</si>
  <si>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</si>
  <si>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</si>
  <si>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</si>
  <si>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</si>
  <si>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</si>
  <si>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</si>
  <si>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</si>
  <si>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</si>
  <si>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</si>
  <si>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</si>
  <si>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</si>
  <si>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</si>
  <si>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</si>
  <si>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</si>
  <si>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</si>
  <si>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</si>
  <si>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</si>
  <si>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</si>
  <si>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</si>
  <si>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</si>
  <si>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</si>
  <si>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</si>
  <si>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</si>
  <si>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</si>
  <si>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</si>
  <si>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</si>
  <si>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</si>
  <si>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</si>
  <si>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</si>
  <si>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</si>
  <si>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</si>
  <si>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</si>
  <si>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</si>
  <si>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</si>
  <si>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</si>
  <si>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</si>
  <si>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</si>
  <si>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</si>
  <si>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</si>
  <si>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</si>
  <si>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</si>
  <si>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</si>
  <si>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</si>
  <si>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</si>
  <si>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</si>
  <si>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</si>
  <si>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</si>
  <si>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</si>
  <si>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</si>
  <si>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</si>
  <si>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</si>
  <si>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</si>
  <si>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</si>
  <si>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</si>
  <si>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</si>
  <si>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</si>
  <si>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</si>
  <si>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</si>
  <si>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</si>
  <si>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</si>
  <si>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</si>
  <si>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</si>
  <si>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</si>
  <si>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</si>
  <si>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</si>
  <si>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</si>
  <si>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</si>
  <si>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</si>
  <si>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</si>
  <si>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</si>
  <si>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</si>
  <si>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</si>
  <si>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</si>
  <si>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</si>
  <si>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</si>
  <si>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</si>
  <si>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</si>
  <si>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</si>
  <si>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</si>
  <si>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</si>
  <si>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</si>
  <si>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</si>
  <si>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</si>
  <si>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</si>
  <si>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</si>
  <si>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</si>
  <si>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</si>
  <si>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</si>
  <si>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</si>
  <si>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</si>
  <si>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</si>
  <si>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</si>
  <si>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</si>
  <si>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</si>
  <si>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</si>
  <si>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</si>
  <si>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</si>
  <si>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</si>
  <si>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</si>
  <si>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</si>
  <si>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</si>
  <si>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</si>
  <si>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</si>
  <si>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</si>
  <si>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</si>
  <si>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</si>
  <si>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</si>
  <si>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</si>
  <si>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</si>
  <si>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</si>
  <si>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</si>
  <si>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</si>
  <si>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</si>
  <si>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</si>
  <si>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</si>
  <si>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</si>
  <si>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</si>
  <si>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</si>
  <si>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</si>
  <si>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</si>
  <si>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</si>
  <si>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</si>
  <si>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</si>
  <si>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</si>
  <si>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</si>
  <si>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</si>
  <si>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</si>
  <si>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</si>
  <si>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</si>
  <si>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</si>
  <si>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</si>
  <si>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</si>
  <si>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</si>
  <si>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</si>
  <si>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</si>
  <si>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</si>
  <si>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</si>
  <si>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</si>
  <si>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</si>
  <si>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</si>
  <si>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</si>
  <si>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</si>
  <si>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</si>
  <si>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</si>
  <si>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</si>
  <si>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</si>
  <si>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</si>
  <si>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</si>
  <si>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</si>
  <si>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</si>
  <si>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</si>
  <si>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</si>
  <si>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</si>
  <si>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</si>
  <si>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</si>
  <si>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</si>
  <si>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</si>
  <si>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</si>
  <si>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</si>
  <si>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</si>
  <si>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</si>
  <si>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</si>
  <si>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</si>
  <si>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</si>
  <si>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</si>
  <si>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</si>
  <si>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</si>
  <si>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</si>
  <si>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</si>
  <si>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</si>
  <si>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</si>
  <si>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</si>
  <si>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</si>
  <si>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</si>
  <si>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</si>
  <si>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</si>
  <si>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</si>
  <si>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</si>
  <si>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</si>
  <si>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</si>
  <si>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</si>
  <si>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</si>
  <si>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</si>
  <si>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</si>
  <si>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</si>
  <si>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</si>
  <si>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</si>
  <si>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</si>
  <si>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</si>
  <si>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</si>
  <si>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</si>
  <si>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</si>
  <si>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</si>
  <si>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</si>
  <si>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</si>
  <si>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</si>
  <si>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</si>
  <si>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</si>
  <si>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</si>
  <si>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</si>
  <si>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</si>
  <si>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</si>
  <si>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</si>
  <si>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</si>
  <si>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</si>
  <si>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</si>
  <si>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</si>
  <si>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</si>
  <si>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</si>
  <si>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</si>
  <si>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</si>
  <si>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</si>
  <si>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</si>
  <si>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</si>
  <si>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</si>
  <si>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</si>
  <si>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</si>
  <si>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</si>
  <si>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</si>
  <si>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</si>
  <si>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</si>
  <si>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</si>
  <si>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</si>
  <si>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</si>
  <si>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</si>
  <si>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</si>
  <si>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</si>
  <si>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</si>
  <si>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</si>
  <si>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</si>
  <si>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</si>
  <si>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</si>
  <si>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</si>
  <si>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</si>
  <si>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</si>
  <si>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</si>
  <si>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</si>
  <si>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</si>
  <si>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</si>
  <si>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</si>
  <si>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</si>
  <si>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</si>
  <si>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</si>
  <si>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</si>
  <si>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</si>
  <si>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</si>
  <si>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</si>
  <si>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</si>
  <si>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</si>
  <si>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</si>
  <si>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</si>
  <si>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</si>
  <si>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</si>
  <si>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</si>
  <si>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</si>
  <si>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</si>
  <si>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</si>
  <si>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</si>
  <si>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</si>
  <si>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</si>
  <si>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</si>
  <si>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</si>
  <si>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</si>
  <si>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</si>
  <si>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</si>
  <si>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</si>
  <si>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</si>
  <si>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</si>
  <si>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</si>
  <si>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</si>
  <si>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</si>
  <si>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</si>
  <si>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</si>
  <si>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</si>
  <si>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</si>
  <si>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</si>
  <si>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</si>
  <si>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</si>
  <si>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</si>
  <si>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</si>
  <si>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</si>
  <si>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</si>
  <si>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</si>
  <si>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</si>
  <si>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</si>
  <si>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</si>
  <si>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</si>
  <si>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</si>
  <si>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</si>
  <si>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</si>
  <si>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</si>
  <si>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</si>
  <si>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</si>
  <si>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</si>
  <si>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</si>
  <si>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</si>
  <si>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</si>
  <si>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</si>
  <si>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</si>
  <si>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</si>
  <si>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</si>
  <si>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</si>
  <si>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</si>
  <si>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</si>
  <si>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</si>
  <si>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</si>
  <si>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</si>
  <si>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</si>
  <si>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</si>
  <si>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</si>
  <si>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</si>
  <si>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</si>
  <si>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</si>
  <si>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</si>
  <si>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</si>
  <si>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</si>
  <si>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</si>
  <si>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</si>
  <si>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</si>
  <si>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</si>
  <si>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</si>
  <si>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</si>
  <si>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</si>
  <si>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</si>
  <si>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</si>
  <si>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</si>
  <si>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</si>
  <si>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</si>
  <si>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</si>
  <si>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</si>
  <si>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</si>
  <si>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</si>
  <si>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</si>
  <si>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</si>
  <si>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</si>
  <si>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</si>
  <si>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</si>
  <si>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</si>
  <si>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</si>
  <si>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</si>
  <si>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</si>
  <si>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</si>
  <si>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</si>
  <si>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</si>
  <si>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</si>
  <si>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</si>
  <si>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</si>
  <si>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</si>
  <si>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</si>
  <si>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</si>
  <si>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</si>
  <si>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</si>
  <si>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</si>
  <si>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</si>
  <si>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</si>
  <si>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</si>
  <si>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</si>
  <si>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</si>
  <si>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</si>
  <si>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</si>
  <si>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</si>
  <si>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</si>
  <si>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</si>
  <si>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</si>
  <si>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</si>
  <si>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</si>
  <si>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</si>
  <si>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</si>
  <si>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</si>
  <si>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</si>
  <si>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</si>
  <si>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</si>
  <si>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</si>
  <si>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</si>
  <si>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</si>
  <si>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</si>
  <si>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</si>
  <si>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</si>
  <si>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</si>
  <si>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</si>
  <si>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</si>
  <si>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</si>
  <si>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</si>
  <si>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</si>
  <si>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</si>
  <si>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</si>
  <si>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</si>
  <si>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</si>
  <si>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</si>
  <si>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</si>
  <si>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</si>
  <si>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</si>
  <si>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</si>
  <si>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</si>
  <si>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</si>
  <si>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</si>
  <si>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</si>
  <si>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</si>
  <si>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</si>
  <si>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</si>
  <si>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</si>
  <si>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</si>
  <si>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</si>
  <si>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</si>
  <si>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</si>
  <si>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</si>
  <si>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</si>
  <si>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</si>
  <si>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</si>
  <si>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</si>
  <si>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</si>
  <si>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</si>
  <si>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</si>
  <si>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</si>
  <si>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</si>
  <si>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</si>
  <si>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</si>
  <si>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</si>
  <si>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</si>
  <si>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</si>
  <si>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</si>
  <si>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</si>
  <si>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</si>
  <si>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</si>
  <si>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</si>
  <si>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</si>
  <si>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</si>
  <si>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</si>
  <si>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</si>
  <si>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</si>
  <si>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</si>
  <si>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</si>
  <si>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</si>
  <si>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</si>
  <si>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</si>
  <si>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</si>
  <si>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</si>
  <si>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</si>
  <si>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</si>
  <si>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</si>
  <si>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</si>
  <si>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</si>
  <si>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</si>
  <si>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</si>
  <si>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</si>
  <si>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</si>
  <si>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</si>
  <si>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</si>
  <si>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</si>
  <si>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</si>
  <si>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</si>
  <si>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</si>
  <si>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</si>
  <si>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</si>
  <si>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</si>
  <si>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</si>
  <si>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</si>
  <si>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</si>
  <si>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</si>
  <si>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</si>
  <si>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</si>
  <si>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</si>
  <si>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</si>
  <si>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</si>
  <si>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</si>
  <si>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</si>
  <si>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</si>
  <si>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</si>
  <si>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</si>
  <si>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</si>
  <si>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</si>
  <si>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</si>
  <si>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</si>
  <si>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</si>
  <si>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</si>
  <si>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</si>
  <si>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</si>
  <si>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</si>
  <si>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</si>
  <si>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</si>
  <si>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</si>
  <si>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</si>
  <si>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</si>
  <si>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</si>
  <si>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</si>
  <si>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</si>
  <si>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</si>
  <si>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</si>
  <si>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</si>
  <si>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</si>
  <si>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</si>
  <si>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</si>
  <si>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</si>
  <si>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</si>
  <si>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</si>
  <si>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</si>
  <si>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</si>
  <si>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</si>
  <si>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</si>
  <si>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</si>
  <si>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</si>
  <si>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</si>
  <si>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</si>
  <si>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</si>
  <si>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</si>
  <si>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</si>
  <si>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</si>
  <si>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</si>
  <si>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</si>
  <si>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</si>
  <si>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</si>
  <si>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</si>
  <si>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</si>
  <si>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</si>
  <si>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</si>
  <si>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</si>
  <si>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</si>
  <si>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</si>
  <si>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</si>
  <si>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</si>
  <si>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</si>
  <si>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</si>
  <si>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</si>
  <si>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</si>
  <si>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</si>
  <si>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</si>
  <si>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</si>
  <si>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</si>
  <si>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</si>
  <si>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</si>
  <si>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</si>
  <si>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</si>
  <si>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</si>
  <si>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</si>
  <si>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</si>
  <si>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</si>
  <si>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</si>
  <si>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</si>
  <si>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</si>
  <si>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</si>
  <si>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</si>
  <si>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</si>
  <si>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</si>
  <si>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</si>
  <si>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</si>
  <si>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</si>
  <si>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</si>
  <si>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</si>
  <si>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</si>
  <si>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</si>
  <si>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</si>
  <si>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</si>
  <si>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</si>
  <si>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</si>
  <si>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</si>
  <si>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</si>
  <si>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</si>
  <si>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</si>
  <si>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</si>
  <si>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</si>
  <si>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</si>
  <si>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</si>
  <si>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</si>
  <si>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</si>
  <si>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</si>
  <si>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</si>
  <si>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</si>
  <si>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</si>
  <si>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</si>
  <si>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</si>
  <si>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</si>
  <si>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</si>
  <si>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</si>
  <si>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</si>
  <si>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</si>
  <si>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</si>
  <si>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</si>
  <si>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</si>
  <si>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</si>
  <si>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</si>
  <si>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</si>
  <si>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</si>
  <si>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</si>
  <si>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</si>
  <si>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</si>
  <si>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</si>
  <si>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</si>
  <si>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</si>
  <si>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</si>
  <si>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</si>
  <si>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</si>
  <si>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</si>
  <si>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</si>
  <si>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</si>
  <si>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</si>
  <si>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</si>
  <si>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</si>
  <si>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</si>
  <si>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</si>
  <si>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</si>
  <si>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</si>
  <si>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</si>
  <si>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</si>
  <si>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</si>
  <si>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</si>
  <si>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</si>
  <si>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</si>
  <si>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</si>
  <si>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</si>
  <si>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</si>
  <si>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</si>
  <si>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</si>
  <si>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</si>
  <si>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</si>
  <si>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</si>
  <si>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</si>
  <si>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</si>
  <si>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</si>
  <si>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</si>
  <si>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</si>
  <si>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</si>
  <si>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</si>
  <si>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</si>
  <si>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</si>
  <si>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</si>
  <si>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</si>
  <si>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</si>
  <si>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</si>
  <si>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</si>
  <si>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</si>
  <si>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</si>
  <si>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</si>
  <si>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</si>
  <si>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</si>
  <si>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</si>
  <si>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</si>
  <si>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</si>
  <si>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</si>
  <si>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</si>
  <si>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</si>
  <si>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</si>
  <si>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</si>
  <si>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</si>
  <si>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</si>
  <si>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</si>
  <si>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</si>
  <si>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</si>
  <si>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</si>
  <si>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</si>
  <si>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</si>
  <si>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</si>
  <si>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</si>
  <si>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</si>
  <si>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</si>
  <si>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</si>
  <si>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</si>
  <si>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</si>
  <si>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</si>
  <si>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</si>
  <si>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</si>
  <si>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</si>
  <si>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</si>
  <si>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</si>
  <si>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</si>
  <si>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</si>
  <si>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</si>
  <si>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</si>
  <si>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</si>
  <si>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</si>
  <si>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</si>
  <si>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</si>
  <si>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</si>
  <si>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</si>
  <si>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</si>
  <si>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</si>
  <si>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</si>
  <si>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</si>
  <si>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</si>
  <si>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</si>
  <si>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</si>
  <si>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</si>
  <si>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</si>
  <si>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</si>
  <si>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</si>
  <si>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</si>
  <si>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</si>
  <si>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</si>
  <si>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</si>
  <si>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</si>
  <si>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</si>
  <si>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</si>
  <si>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</si>
  <si>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</si>
  <si>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</si>
  <si>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</si>
  <si>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</si>
  <si>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</si>
  <si>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</si>
  <si>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</si>
  <si>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</si>
  <si>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</si>
  <si>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</si>
  <si>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</si>
  <si>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</si>
  <si>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</si>
  <si>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</si>
  <si>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</si>
  <si>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</si>
  <si>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</si>
  <si>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</si>
  <si>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</si>
  <si>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</si>
  <si>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</si>
  <si>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</si>
  <si>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</si>
  <si>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</si>
  <si>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</si>
  <si>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</si>
  <si>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</si>
  <si>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</si>
  <si>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</si>
  <si>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</si>
  <si>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</si>
  <si>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</si>
  <si>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</si>
  <si>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</si>
  <si>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</si>
  <si>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</si>
  <si>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</si>
  <si>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</si>
  <si>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</si>
  <si>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</si>
  <si>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</si>
  <si>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</si>
  <si>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</si>
  <si>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</si>
  <si>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</si>
  <si>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</si>
  <si>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</si>
  <si>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</si>
  <si>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</si>
  <si>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</si>
  <si>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</si>
  <si>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</si>
  <si>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</si>
  <si>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</si>
  <si>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</si>
  <si>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</si>
  <si>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</si>
  <si>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</si>
  <si>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</si>
  <si>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</si>
  <si>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</si>
  <si>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</si>
  <si>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</si>
  <si>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</si>
  <si>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</si>
  <si>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</si>
  <si>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</si>
  <si>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</si>
  <si>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</si>
  <si>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</si>
  <si>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</si>
  <si>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</si>
  <si>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</si>
  <si>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</si>
  <si>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</si>
  <si>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</si>
  <si>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</si>
  <si>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</si>
  <si>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</si>
  <si>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</si>
  <si>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</si>
  <si>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</si>
  <si>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</si>
  <si>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</si>
  <si>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</si>
  <si>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</si>
  <si>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</si>
  <si>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</si>
  <si>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</si>
  <si>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</si>
  <si>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</si>
  <si>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</si>
  <si>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</si>
  <si>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</si>
  <si>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</si>
  <si>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</si>
  <si>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</si>
  <si>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</si>
  <si>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</si>
  <si>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</si>
  <si>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</si>
  <si>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</si>
  <si>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</si>
  <si>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</si>
  <si>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</si>
  <si>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</si>
  <si>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</si>
  <si>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</si>
  <si>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</si>
  <si>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</si>
  <si>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</si>
  <si>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</si>
  <si>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</si>
  <si>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</si>
  <si>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</si>
  <si>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</si>
  <si>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</si>
  <si>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</si>
  <si>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</si>
  <si>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</si>
  <si>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</si>
  <si>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</si>
  <si>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</si>
  <si>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</si>
  <si>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</si>
  <si>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</si>
  <si>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</si>
  <si>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</si>
  <si>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</si>
  <si>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</si>
  <si>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</si>
  <si>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</si>
  <si>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</si>
  <si>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</si>
  <si>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</si>
  <si>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</si>
  <si>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</si>
  <si>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</si>
  <si>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</si>
  <si>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</si>
  <si>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</si>
  <si>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</si>
  <si>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</si>
  <si>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</si>
  <si>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</si>
  <si>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</si>
  <si>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</si>
  <si>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</si>
  <si>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</si>
  <si>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</si>
  <si>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</si>
  <si>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</si>
  <si>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</si>
  <si>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</si>
  <si>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</si>
  <si>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</si>
  <si>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</si>
  <si>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</si>
  <si>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</si>
  <si>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</si>
  <si>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</si>
  <si>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</si>
  <si>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</si>
  <si>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</si>
  <si>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</si>
  <si>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</si>
  <si>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</si>
  <si>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</si>
  <si>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</si>
  <si>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</si>
  <si>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</si>
  <si>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</si>
  <si>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</si>
  <si>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</si>
  <si>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</si>
  <si>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</si>
  <si>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</si>
  <si>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</si>
  <si>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</si>
  <si>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</si>
  <si>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</si>
  <si>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</si>
  <si>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</si>
  <si>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</si>
  <si>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</si>
  <si>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</si>
  <si>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</si>
  <si>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</si>
  <si>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</si>
  <si>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</si>
  <si>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</si>
  <si>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</si>
  <si>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</si>
  <si>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</si>
  <si>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</si>
  <si>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</si>
  <si>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</si>
  <si>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</si>
  <si>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</si>
  <si>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</si>
  <si>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</si>
  <si>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</si>
  <si>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</si>
  <si>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</si>
  <si>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</si>
  <si>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</si>
  <si>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</si>
  <si>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</si>
  <si>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</si>
  <si>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</si>
  <si>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</si>
  <si>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</si>
  <si>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</si>
  <si>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</si>
  <si>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</si>
  <si>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</si>
  <si>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</si>
  <si>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</si>
  <si>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</si>
  <si>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</si>
  <si>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</si>
  <si>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</si>
  <si>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</si>
  <si>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</si>
  <si>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</si>
  <si>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</si>
  <si>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</si>
  <si>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</si>
  <si>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</si>
  <si>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</si>
  <si>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</si>
  <si>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</si>
  <si>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</si>
  <si>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</si>
  <si>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</si>
  <si>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</si>
  <si>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</si>
  <si>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</si>
  <si>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</si>
  <si>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</si>
  <si>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</si>
  <si>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</si>
  <si>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</si>
  <si>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</si>
  <si>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</si>
  <si>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</si>
  <si>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</si>
  <si>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</si>
  <si>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</si>
  <si>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</si>
  <si>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</si>
  <si>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</si>
  <si>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</si>
  <si>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</si>
  <si>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</si>
  <si>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</si>
  <si>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</si>
  <si>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</si>
  <si>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</si>
  <si>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</si>
  <si>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</si>
  <si>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</si>
  <si>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</si>
  <si>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</si>
  <si>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</si>
  <si>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</si>
  <si>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</si>
  <si>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</si>
  <si>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</si>
  <si>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</si>
  <si>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</si>
  <si>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</si>
  <si>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</si>
  <si>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</si>
  <si>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</si>
  <si>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</si>
  <si>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</si>
  <si>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</si>
  <si>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</si>
  <si>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</si>
  <si>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</si>
  <si>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</si>
  <si>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</si>
  <si>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</si>
  <si>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</si>
  <si>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</si>
  <si>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</si>
  <si>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</si>
  <si>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</si>
  <si>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</si>
  <si>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</si>
  <si>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</si>
  <si>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</si>
  <si>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</si>
  <si>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</si>
  <si>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</si>
  <si>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</si>
  <si>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</si>
  <si>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</si>
  <si>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</si>
  <si>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</si>
  <si>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</si>
  <si>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</si>
  <si>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</si>
  <si>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</si>
  <si>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</si>
  <si>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</si>
  <si>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</si>
  <si>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</si>
  <si>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</si>
  <si>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</si>
  <si>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</si>
  <si>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</si>
  <si>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</si>
  <si>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</si>
  <si>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</si>
  <si>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</si>
  <si>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</si>
  <si>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</si>
  <si>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</si>
  <si>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</si>
  <si>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</si>
  <si>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</si>
  <si>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</si>
  <si>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</si>
  <si>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</si>
  <si>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</si>
  <si>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</si>
  <si>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</si>
  <si>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</si>
  <si>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</si>
  <si>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</si>
  <si>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</si>
  <si>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</si>
  <si>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Execution Complete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</si>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</sst>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0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13" sqref="U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5" t="s">
        <v>2382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2383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2288</v>
      </c>
      <c r="Q8" s="167"/>
      <c r="R8" s="100"/>
      <c r="S8" s="150" cm="1">
        <f t="array" ref="S8">IF(P8="",0,IF(OR(O8=";",P8="EQU",P8="ORG"),0,IF(P8="DS",HEX2DEC(Q8),IF(P8="DB",LEN(Q8)+1,HlpGetInstructionSize(P8,Q8,R8)))))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9"/>
      <c r="P9" s="99" t="s">
        <v>2266</v>
      </c>
      <c r="Q9" s="167" t="s">
        <v>2420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0103</v>
      </c>
      <c r="N10" s="69">
        <f t="shared" ref="N10:N73" si="15">N9+S9</f>
        <v>259</v>
      </c>
      <c r="O10" s="99"/>
      <c r="P10" s="99" t="s">
        <v>870</v>
      </c>
      <c r="Q10" s="167" t="s">
        <v>2397</v>
      </c>
      <c r="R10" s="100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9" t="s">
        <v>2420</v>
      </c>
      <c r="P11" s="99" t="s">
        <v>2316</v>
      </c>
      <c r="Q11" s="167" t="s">
        <v>2366</v>
      </c>
      <c r="R11" s="100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9"/>
      <c r="P12" s="99" t="s">
        <v>2343</v>
      </c>
      <c r="Q12" s="167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2425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9"/>
      <c r="P13" s="99" t="s">
        <v>2269</v>
      </c>
      <c r="Q13" s="167" t="s">
        <v>2421</v>
      </c>
      <c r="R13" s="100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9"/>
      <c r="P14" s="99" t="s">
        <v>870</v>
      </c>
      <c r="Q14" s="167" t="s">
        <v>2397</v>
      </c>
      <c r="R14" s="100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261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>
        <f>IFERROR(HEX2DEC(INDEX(MemoryTable,_xlfn.XMATCH(1,$AK$15:$AK$1070),_xlfn.XMATCH(1,$AC$13:$AJ$13))),"")</f>
        <v>52</v>
      </c>
      <c r="AN14" s="54" t="str">
        <f>CHAR(AM14)</f>
        <v>4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010C</v>
      </c>
      <c r="N15" s="69">
        <f t="shared" si="15"/>
        <v>268</v>
      </c>
      <c r="O15" s="99" t="s">
        <v>2421</v>
      </c>
      <c r="P15" s="99" t="s">
        <v>2320</v>
      </c>
      <c r="Q15" s="167" t="s">
        <v>2422</v>
      </c>
      <c r="R15" s="100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  <c r="AK15">
        <v>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9"/>
      <c r="P16" s="99" t="s">
        <v>190</v>
      </c>
      <c r="Q16" s="167"/>
      <c r="R16" s="100"/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010F</v>
      </c>
      <c r="N17" s="69">
        <f t="shared" si="15"/>
        <v>271</v>
      </c>
      <c r="O17" s="95"/>
      <c r="P17" s="96"/>
      <c r="Q17" s="97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010F</v>
      </c>
      <c r="N28" s="69">
        <f t="shared" si="15"/>
        <v>271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010F</v>
      </c>
      <c r="N29" s="69">
        <f t="shared" si="15"/>
        <v>271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010F</v>
      </c>
      <c r="N30" s="69">
        <f t="shared" si="15"/>
        <v>271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010F</v>
      </c>
      <c r="N31" s="69">
        <f t="shared" si="15"/>
        <v>271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2424</v>
      </c>
      <c r="H32" s="254">
        <v>1</v>
      </c>
      <c r="K32" s="85"/>
      <c r="L32" s="54" t="str">
        <f t="shared" si="14"/>
        <v/>
      </c>
      <c r="M32" s="38" t="str">
        <f t="shared" si="29"/>
        <v>010F</v>
      </c>
      <c r="N32" s="69">
        <f t="shared" si="15"/>
        <v>271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010F</v>
      </c>
      <c r="N33" s="69">
        <f t="shared" si="15"/>
        <v>271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010F</v>
      </c>
      <c r="N34" s="69">
        <f t="shared" si="15"/>
        <v>271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010F</v>
      </c>
      <c r="N35" s="69">
        <f t="shared" si="15"/>
        <v>271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010F</v>
      </c>
      <c r="N36" s="69">
        <f t="shared" si="15"/>
        <v>271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010F</v>
      </c>
      <c r="N37" s="69">
        <f t="shared" si="15"/>
        <v>271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010F</v>
      </c>
      <c r="N38" s="69">
        <f t="shared" si="15"/>
        <v>271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010F</v>
      </c>
      <c r="N39" s="69">
        <f t="shared" si="15"/>
        <v>271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010F</v>
      </c>
      <c r="N40" s="69">
        <f t="shared" si="15"/>
        <v>271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010F</v>
      </c>
      <c r="N41" s="69">
        <f t="shared" si="15"/>
        <v>271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010F</v>
      </c>
      <c r="N42" s="69">
        <f t="shared" si="15"/>
        <v>271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010F</v>
      </c>
      <c r="N43" s="69">
        <f t="shared" si="15"/>
        <v>271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010F</v>
      </c>
      <c r="N44" s="69">
        <f t="shared" si="15"/>
        <v>271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010F</v>
      </c>
      <c r="N45" s="69">
        <f t="shared" si="15"/>
        <v>271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010F</v>
      </c>
      <c r="N46" s="69">
        <f t="shared" si="15"/>
        <v>271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010F</v>
      </c>
      <c r="N47" s="69">
        <f t="shared" si="15"/>
        <v>271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010F</v>
      </c>
      <c r="N48" s="69">
        <f t="shared" si="15"/>
        <v>271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010F</v>
      </c>
      <c r="N49" s="69">
        <f t="shared" si="15"/>
        <v>271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010F</v>
      </c>
      <c r="N50" s="69">
        <f t="shared" si="15"/>
        <v>271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010F</v>
      </c>
      <c r="N51" s="69">
        <f t="shared" si="15"/>
        <v>271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010F</v>
      </c>
      <c r="N52" s="69">
        <f t="shared" si="15"/>
        <v>271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010F</v>
      </c>
      <c r="N53" s="69">
        <f t="shared" si="15"/>
        <v>271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010F</v>
      </c>
      <c r="N54" s="69">
        <f t="shared" si="15"/>
        <v>271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010F</v>
      </c>
      <c r="N55" s="69">
        <f t="shared" si="15"/>
        <v>271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010F</v>
      </c>
      <c r="N56" s="69">
        <f t="shared" si="15"/>
        <v>271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010F</v>
      </c>
      <c r="N57" s="69">
        <f t="shared" si="15"/>
        <v>271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010F</v>
      </c>
      <c r="N58" s="69">
        <f t="shared" si="15"/>
        <v>271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010F</v>
      </c>
      <c r="N59" s="69">
        <f t="shared" si="15"/>
        <v>271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010F</v>
      </c>
      <c r="N60" s="69">
        <f t="shared" si="15"/>
        <v>271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010F</v>
      </c>
      <c r="N61" s="69">
        <f t="shared" si="15"/>
        <v>271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010F</v>
      </c>
      <c r="N62" s="69">
        <f t="shared" si="15"/>
        <v>271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010F</v>
      </c>
      <c r="N63" s="69">
        <f t="shared" si="15"/>
        <v>271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010F</v>
      </c>
      <c r="N64" s="69">
        <f t="shared" si="15"/>
        <v>271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010F</v>
      </c>
      <c r="N65" s="69">
        <f t="shared" si="15"/>
        <v>271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010F</v>
      </c>
      <c r="N66" s="69">
        <f t="shared" si="15"/>
        <v>271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010F</v>
      </c>
      <c r="N67" s="69">
        <f t="shared" si="15"/>
        <v>271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010F</v>
      </c>
      <c r="N68" s="69">
        <f t="shared" si="15"/>
        <v>271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010F</v>
      </c>
      <c r="N69" s="69">
        <f t="shared" si="15"/>
        <v>271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010F</v>
      </c>
      <c r="N70" s="69">
        <f t="shared" si="15"/>
        <v>271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010F</v>
      </c>
      <c r="N71" s="69">
        <f t="shared" si="15"/>
        <v>271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010F</v>
      </c>
      <c r="N72" s="69">
        <f t="shared" si="15"/>
        <v>271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010F</v>
      </c>
      <c r="N73" s="69">
        <f t="shared" si="15"/>
        <v>271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010F</v>
      </c>
      <c r="N74" s="69">
        <f t="shared" ref="N74:N137" si="36">N73+S73</f>
        <v>271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010F</v>
      </c>
      <c r="N75" s="69">
        <f t="shared" si="36"/>
        <v>271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010F</v>
      </c>
      <c r="N76" s="69">
        <f t="shared" si="36"/>
        <v>271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010F</v>
      </c>
      <c r="N77" s="69">
        <f t="shared" si="36"/>
        <v>271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010F</v>
      </c>
      <c r="N78" s="69">
        <f t="shared" si="36"/>
        <v>271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010F</v>
      </c>
      <c r="N79" s="69">
        <f t="shared" si="36"/>
        <v>271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010F</v>
      </c>
      <c r="N80" s="69">
        <f t="shared" si="36"/>
        <v>271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010F</v>
      </c>
      <c r="N81" s="69">
        <f t="shared" si="36"/>
        <v>271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010F</v>
      </c>
      <c r="N82" s="69">
        <f t="shared" si="36"/>
        <v>271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010F</v>
      </c>
      <c r="N83" s="69">
        <f t="shared" si="36"/>
        <v>271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010F</v>
      </c>
      <c r="N84" s="69">
        <f t="shared" si="36"/>
        <v>271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010F</v>
      </c>
      <c r="N85" s="69">
        <f t="shared" si="36"/>
        <v>271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010F</v>
      </c>
      <c r="N86" s="69">
        <f t="shared" si="36"/>
        <v>271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010F</v>
      </c>
      <c r="N87" s="69">
        <f t="shared" si="36"/>
        <v>271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010F</v>
      </c>
      <c r="N88" s="69">
        <f t="shared" si="36"/>
        <v>271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010F</v>
      </c>
      <c r="N89" s="69">
        <f t="shared" si="36"/>
        <v>271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010F</v>
      </c>
      <c r="N90" s="69">
        <f t="shared" si="36"/>
        <v>271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010F</v>
      </c>
      <c r="N91" s="69">
        <f t="shared" si="36"/>
        <v>271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010F</v>
      </c>
      <c r="N92" s="69">
        <f t="shared" si="36"/>
        <v>271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010F</v>
      </c>
      <c r="N93" s="69">
        <f t="shared" si="36"/>
        <v>271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010F</v>
      </c>
      <c r="N94" s="69">
        <f t="shared" si="36"/>
        <v>271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010F</v>
      </c>
      <c r="N95" s="69">
        <f t="shared" si="36"/>
        <v>271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010F</v>
      </c>
      <c r="N96" s="69">
        <f t="shared" si="36"/>
        <v>271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010F</v>
      </c>
      <c r="N97" s="69">
        <f t="shared" si="36"/>
        <v>271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010F</v>
      </c>
      <c r="N98" s="69">
        <f t="shared" si="36"/>
        <v>271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010F</v>
      </c>
      <c r="N99" s="69">
        <f t="shared" si="36"/>
        <v>271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010F</v>
      </c>
      <c r="N100" s="69">
        <f t="shared" si="36"/>
        <v>271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010F</v>
      </c>
      <c r="N101" s="69">
        <f t="shared" si="36"/>
        <v>271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010F</v>
      </c>
      <c r="N102" s="69">
        <f t="shared" si="36"/>
        <v>271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010F</v>
      </c>
      <c r="N103" s="69">
        <f t="shared" si="36"/>
        <v>271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010F</v>
      </c>
      <c r="N104" s="69">
        <f t="shared" si="36"/>
        <v>271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010F</v>
      </c>
      <c r="N105" s="69">
        <f t="shared" si="36"/>
        <v>271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010F</v>
      </c>
      <c r="N106" s="69">
        <f t="shared" si="36"/>
        <v>271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010F</v>
      </c>
      <c r="N107" s="69">
        <f t="shared" si="36"/>
        <v>271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010F</v>
      </c>
      <c r="N108" s="69">
        <f t="shared" si="36"/>
        <v>271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010F</v>
      </c>
      <c r="N109" s="69">
        <f t="shared" si="36"/>
        <v>271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010F</v>
      </c>
      <c r="N110" s="69">
        <f t="shared" si="36"/>
        <v>271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010F</v>
      </c>
      <c r="N111" s="69">
        <f t="shared" si="36"/>
        <v>271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010F</v>
      </c>
      <c r="N112" s="69">
        <f t="shared" si="36"/>
        <v>271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010F</v>
      </c>
      <c r="N113" s="69">
        <f t="shared" si="36"/>
        <v>271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010F</v>
      </c>
      <c r="N114" s="69">
        <f t="shared" si="36"/>
        <v>271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010F</v>
      </c>
      <c r="N115" s="69">
        <f t="shared" si="36"/>
        <v>271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010F</v>
      </c>
      <c r="N116" s="69">
        <f t="shared" si="36"/>
        <v>271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010F</v>
      </c>
      <c r="N117" s="69">
        <f t="shared" si="36"/>
        <v>271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010F</v>
      </c>
      <c r="N118" s="69">
        <f t="shared" si="36"/>
        <v>271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010F</v>
      </c>
      <c r="N119" s="69">
        <f t="shared" si="36"/>
        <v>271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010F</v>
      </c>
      <c r="N120" s="69">
        <f t="shared" si="36"/>
        <v>271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010F</v>
      </c>
      <c r="N121" s="69">
        <f t="shared" si="36"/>
        <v>271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010F</v>
      </c>
      <c r="N122" s="69">
        <f t="shared" si="36"/>
        <v>271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010F</v>
      </c>
      <c r="N123" s="69">
        <f t="shared" si="36"/>
        <v>271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010F</v>
      </c>
      <c r="N124" s="69">
        <f t="shared" si="36"/>
        <v>271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010F</v>
      </c>
      <c r="N125" s="69">
        <f t="shared" si="36"/>
        <v>271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010F</v>
      </c>
      <c r="N126" s="69">
        <f t="shared" si="36"/>
        <v>271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010F</v>
      </c>
      <c r="N127" s="69">
        <f t="shared" si="36"/>
        <v>271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010F</v>
      </c>
      <c r="N128" s="69">
        <f t="shared" si="36"/>
        <v>271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010F</v>
      </c>
      <c r="N129" s="69">
        <f t="shared" si="36"/>
        <v>271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010F</v>
      </c>
      <c r="N130" s="69">
        <f t="shared" si="36"/>
        <v>271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010F</v>
      </c>
      <c r="N131" s="69">
        <f t="shared" si="36"/>
        <v>271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010F</v>
      </c>
      <c r="N132" s="69">
        <f t="shared" si="36"/>
        <v>271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010F</v>
      </c>
      <c r="N133" s="69">
        <f t="shared" si="36"/>
        <v>271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010F</v>
      </c>
      <c r="N134" s="69">
        <f t="shared" si="36"/>
        <v>271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010F</v>
      </c>
      <c r="N135" s="69">
        <f t="shared" si="36"/>
        <v>271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010F</v>
      </c>
      <c r="N136" s="69">
        <f t="shared" si="36"/>
        <v>271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010F</v>
      </c>
      <c r="N137" s="69">
        <f t="shared" si="36"/>
        <v>271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010F</v>
      </c>
      <c r="N138" s="69">
        <f t="shared" ref="N138:N201" si="40">N137+S137</f>
        <v>271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010F</v>
      </c>
      <c r="N139" s="69">
        <f t="shared" si="40"/>
        <v>271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010F</v>
      </c>
      <c r="N140" s="69">
        <f t="shared" si="40"/>
        <v>271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010F</v>
      </c>
      <c r="N141" s="69">
        <f t="shared" si="40"/>
        <v>271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010F</v>
      </c>
      <c r="N142" s="69">
        <f t="shared" si="40"/>
        <v>271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010F</v>
      </c>
      <c r="N143" s="69">
        <f t="shared" si="40"/>
        <v>271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010F</v>
      </c>
      <c r="N144" s="69">
        <f t="shared" si="40"/>
        <v>271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010F</v>
      </c>
      <c r="N145" s="69">
        <f t="shared" si="40"/>
        <v>271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010F</v>
      </c>
      <c r="N146" s="69">
        <f t="shared" si="40"/>
        <v>271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010F</v>
      </c>
      <c r="N147" s="69">
        <f t="shared" si="40"/>
        <v>271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010F</v>
      </c>
      <c r="N148" s="69">
        <f t="shared" si="40"/>
        <v>271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010F</v>
      </c>
      <c r="N149" s="69">
        <f t="shared" si="40"/>
        <v>271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010F</v>
      </c>
      <c r="N150" s="69">
        <f t="shared" si="40"/>
        <v>271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010F</v>
      </c>
      <c r="N151" s="69">
        <f t="shared" si="40"/>
        <v>271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010F</v>
      </c>
      <c r="N152" s="69">
        <f t="shared" si="40"/>
        <v>271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010F</v>
      </c>
      <c r="N153" s="69">
        <f t="shared" si="40"/>
        <v>271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010F</v>
      </c>
      <c r="N154" s="69">
        <f t="shared" si="40"/>
        <v>271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010F</v>
      </c>
      <c r="N155" s="69">
        <f t="shared" si="40"/>
        <v>271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010F</v>
      </c>
      <c r="N156" s="69">
        <f t="shared" si="40"/>
        <v>271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010F</v>
      </c>
      <c r="N157" s="69">
        <f t="shared" si="40"/>
        <v>271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010F</v>
      </c>
      <c r="N158" s="69">
        <f t="shared" si="40"/>
        <v>271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010F</v>
      </c>
      <c r="N159" s="69">
        <f t="shared" si="40"/>
        <v>271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010F</v>
      </c>
      <c r="N160" s="69">
        <f t="shared" si="40"/>
        <v>271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010F</v>
      </c>
      <c r="N161" s="69">
        <f t="shared" si="40"/>
        <v>271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010F</v>
      </c>
      <c r="N162" s="69">
        <f t="shared" si="40"/>
        <v>271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010F</v>
      </c>
      <c r="N163" s="69">
        <f t="shared" si="40"/>
        <v>271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010F</v>
      </c>
      <c r="N164" s="69">
        <f t="shared" si="40"/>
        <v>271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010F</v>
      </c>
      <c r="N165" s="69">
        <f t="shared" si="40"/>
        <v>271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010F</v>
      </c>
      <c r="N166" s="69">
        <f t="shared" si="40"/>
        <v>271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010F</v>
      </c>
      <c r="N167" s="69">
        <f t="shared" si="40"/>
        <v>271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010F</v>
      </c>
      <c r="N168" s="69">
        <f t="shared" si="40"/>
        <v>271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010F</v>
      </c>
      <c r="N169" s="69">
        <f t="shared" si="40"/>
        <v>271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010F</v>
      </c>
      <c r="N170" s="69">
        <f t="shared" si="40"/>
        <v>271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010F</v>
      </c>
      <c r="N171" s="69">
        <f t="shared" si="40"/>
        <v>271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010F</v>
      </c>
      <c r="N172" s="69">
        <f t="shared" si="40"/>
        <v>271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010F</v>
      </c>
      <c r="N173" s="69">
        <f t="shared" si="40"/>
        <v>271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010F</v>
      </c>
      <c r="N174" s="69">
        <f t="shared" si="40"/>
        <v>271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010F</v>
      </c>
      <c r="N175" s="69">
        <f t="shared" si="40"/>
        <v>271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010F</v>
      </c>
      <c r="N176" s="69">
        <f t="shared" si="40"/>
        <v>271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010F</v>
      </c>
      <c r="N177" s="69">
        <f t="shared" si="40"/>
        <v>271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010F</v>
      </c>
      <c r="N178" s="69">
        <f t="shared" si="40"/>
        <v>271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010F</v>
      </c>
      <c r="N179" s="69">
        <f t="shared" si="40"/>
        <v>271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010F</v>
      </c>
      <c r="N180" s="69">
        <f t="shared" si="40"/>
        <v>271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010F</v>
      </c>
      <c r="N181" s="69">
        <f t="shared" si="40"/>
        <v>271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010F</v>
      </c>
      <c r="N182" s="69">
        <f t="shared" si="40"/>
        <v>271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010F</v>
      </c>
      <c r="N183" s="69">
        <f t="shared" si="40"/>
        <v>271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010F</v>
      </c>
      <c r="N184" s="69">
        <f t="shared" si="40"/>
        <v>271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010F</v>
      </c>
      <c r="N185" s="69">
        <f t="shared" si="40"/>
        <v>271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010F</v>
      </c>
      <c r="N186" s="69">
        <f t="shared" si="40"/>
        <v>271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010F</v>
      </c>
      <c r="N187" s="69">
        <f t="shared" si="40"/>
        <v>271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010F</v>
      </c>
      <c r="N188" s="69">
        <f t="shared" si="40"/>
        <v>271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010F</v>
      </c>
      <c r="N189" s="69">
        <f t="shared" si="40"/>
        <v>271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010F</v>
      </c>
      <c r="N190" s="69">
        <f t="shared" si="40"/>
        <v>271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010F</v>
      </c>
      <c r="N191" s="69">
        <f t="shared" si="40"/>
        <v>271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010F</v>
      </c>
      <c r="N192" s="69">
        <f t="shared" si="40"/>
        <v>271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010F</v>
      </c>
      <c r="N193" s="69">
        <f t="shared" si="40"/>
        <v>271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010F</v>
      </c>
      <c r="N194" s="69">
        <f t="shared" si="40"/>
        <v>271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010F</v>
      </c>
      <c r="N195" s="69">
        <f t="shared" si="40"/>
        <v>271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010F</v>
      </c>
      <c r="N196" s="69">
        <f t="shared" si="40"/>
        <v>271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010F</v>
      </c>
      <c r="N197" s="69">
        <f t="shared" si="40"/>
        <v>271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010F</v>
      </c>
      <c r="N198" s="69">
        <f t="shared" si="40"/>
        <v>271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010F</v>
      </c>
      <c r="N199" s="69">
        <f t="shared" si="40"/>
        <v>271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010F</v>
      </c>
      <c r="N200" s="69">
        <f t="shared" si="40"/>
        <v>271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010F</v>
      </c>
      <c r="N201" s="69">
        <f t="shared" si="40"/>
        <v>271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010F</v>
      </c>
      <c r="N202" s="69">
        <f t="shared" ref="N202:N265" si="44">N201+S201</f>
        <v>271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010F</v>
      </c>
      <c r="N203" s="69">
        <f t="shared" si="44"/>
        <v>271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010F</v>
      </c>
      <c r="N204" s="69">
        <f t="shared" si="44"/>
        <v>271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010F</v>
      </c>
      <c r="N205" s="69">
        <f t="shared" si="44"/>
        <v>271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010F</v>
      </c>
      <c r="N206" s="69">
        <f t="shared" si="44"/>
        <v>271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010F</v>
      </c>
      <c r="N207" s="69">
        <f t="shared" si="44"/>
        <v>271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010F</v>
      </c>
      <c r="N208" s="69">
        <f t="shared" si="44"/>
        <v>271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010F</v>
      </c>
      <c r="N209" s="69">
        <f t="shared" si="44"/>
        <v>271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010F</v>
      </c>
      <c r="N210" s="69">
        <f t="shared" si="44"/>
        <v>271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010F</v>
      </c>
      <c r="N211" s="69">
        <f t="shared" si="44"/>
        <v>271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010F</v>
      </c>
      <c r="N212" s="69">
        <f t="shared" si="44"/>
        <v>271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010F</v>
      </c>
      <c r="N213" s="69">
        <f t="shared" si="44"/>
        <v>271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010F</v>
      </c>
      <c r="N214" s="69">
        <f t="shared" si="44"/>
        <v>271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010F</v>
      </c>
      <c r="N215" s="69">
        <f t="shared" si="44"/>
        <v>271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010F</v>
      </c>
      <c r="N216" s="69">
        <f t="shared" si="44"/>
        <v>271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010F</v>
      </c>
      <c r="N217" s="69">
        <f t="shared" si="44"/>
        <v>271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010F</v>
      </c>
      <c r="N218" s="69">
        <f t="shared" si="44"/>
        <v>271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010F</v>
      </c>
      <c r="N219" s="69">
        <f t="shared" si="44"/>
        <v>271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010F</v>
      </c>
      <c r="N220" s="69">
        <f t="shared" si="44"/>
        <v>271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010F</v>
      </c>
      <c r="N221" s="69">
        <f t="shared" si="44"/>
        <v>271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010F</v>
      </c>
      <c r="N222" s="69">
        <f t="shared" si="44"/>
        <v>271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010F</v>
      </c>
      <c r="N223" s="69">
        <f t="shared" si="44"/>
        <v>271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010F</v>
      </c>
      <c r="N224" s="69">
        <f t="shared" si="44"/>
        <v>271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010F</v>
      </c>
      <c r="N225" s="69">
        <f t="shared" si="44"/>
        <v>271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010F</v>
      </c>
      <c r="N226" s="69">
        <f t="shared" si="44"/>
        <v>271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010F</v>
      </c>
      <c r="N227" s="69">
        <f t="shared" si="44"/>
        <v>271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010F</v>
      </c>
      <c r="N228" s="69">
        <f t="shared" si="44"/>
        <v>271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010F</v>
      </c>
      <c r="N229" s="69">
        <f t="shared" si="44"/>
        <v>271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010F</v>
      </c>
      <c r="N230" s="69">
        <f t="shared" si="44"/>
        <v>271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010F</v>
      </c>
      <c r="N231" s="69">
        <f t="shared" si="44"/>
        <v>271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010F</v>
      </c>
      <c r="N232" s="69">
        <f t="shared" si="44"/>
        <v>271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010F</v>
      </c>
      <c r="N233" s="69">
        <f t="shared" si="44"/>
        <v>271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010F</v>
      </c>
      <c r="N234" s="69">
        <f t="shared" si="44"/>
        <v>271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010F</v>
      </c>
      <c r="N235" s="69">
        <f t="shared" si="44"/>
        <v>271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010F</v>
      </c>
      <c r="N236" s="69">
        <f t="shared" si="44"/>
        <v>271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010F</v>
      </c>
      <c r="N237" s="69">
        <f t="shared" si="44"/>
        <v>271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010F</v>
      </c>
      <c r="N238" s="69">
        <f t="shared" si="44"/>
        <v>271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010F</v>
      </c>
      <c r="N239" s="69">
        <f t="shared" si="44"/>
        <v>271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010F</v>
      </c>
      <c r="N240" s="69">
        <f t="shared" si="44"/>
        <v>271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010F</v>
      </c>
      <c r="N241" s="69">
        <f t="shared" si="44"/>
        <v>271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010F</v>
      </c>
      <c r="N242" s="69">
        <f t="shared" si="44"/>
        <v>271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010F</v>
      </c>
      <c r="N243" s="69">
        <f t="shared" si="44"/>
        <v>271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010F</v>
      </c>
      <c r="N244" s="69">
        <f t="shared" si="44"/>
        <v>271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010F</v>
      </c>
      <c r="N245" s="69">
        <f t="shared" si="44"/>
        <v>271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010F</v>
      </c>
      <c r="N246" s="69">
        <f t="shared" si="44"/>
        <v>271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010F</v>
      </c>
      <c r="N247" s="69">
        <f t="shared" si="44"/>
        <v>271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010F</v>
      </c>
      <c r="N248" s="69">
        <f t="shared" si="44"/>
        <v>271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010F</v>
      </c>
      <c r="N249" s="69">
        <f t="shared" si="44"/>
        <v>271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010F</v>
      </c>
      <c r="N250" s="69">
        <f t="shared" si="44"/>
        <v>271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010F</v>
      </c>
      <c r="N251" s="69">
        <f t="shared" si="44"/>
        <v>271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010F</v>
      </c>
      <c r="N252" s="69">
        <f t="shared" si="44"/>
        <v>271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010F</v>
      </c>
      <c r="N253" s="69">
        <f t="shared" si="44"/>
        <v>271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010F</v>
      </c>
      <c r="N254" s="69">
        <f t="shared" si="44"/>
        <v>271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010F</v>
      </c>
      <c r="N255" s="69">
        <f t="shared" si="44"/>
        <v>271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010F</v>
      </c>
      <c r="N256" s="69">
        <f t="shared" si="44"/>
        <v>271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010F</v>
      </c>
      <c r="N257" s="69">
        <f t="shared" si="44"/>
        <v>271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010F</v>
      </c>
      <c r="N258" s="69">
        <f t="shared" si="44"/>
        <v>271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010F</v>
      </c>
      <c r="N259" s="69">
        <f t="shared" si="44"/>
        <v>271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010F</v>
      </c>
      <c r="N260" s="69">
        <f t="shared" si="44"/>
        <v>271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010F</v>
      </c>
      <c r="N261" s="69">
        <f t="shared" si="44"/>
        <v>271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010F</v>
      </c>
      <c r="N262" s="69">
        <f t="shared" si="44"/>
        <v>271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010F</v>
      </c>
      <c r="N263" s="69">
        <f t="shared" si="44"/>
        <v>271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010F</v>
      </c>
      <c r="N264" s="69">
        <f t="shared" si="44"/>
        <v>271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010F</v>
      </c>
      <c r="N265" s="69">
        <f t="shared" si="44"/>
        <v>271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010F</v>
      </c>
      <c r="N266" s="69">
        <f t="shared" ref="N266:N329" si="48">N265+S265</f>
        <v>271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010F</v>
      </c>
      <c r="N267" s="69">
        <f t="shared" si="48"/>
        <v>271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010F</v>
      </c>
      <c r="N268" s="69">
        <f t="shared" si="48"/>
        <v>271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010F</v>
      </c>
      <c r="N269" s="69">
        <f t="shared" si="48"/>
        <v>271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010F</v>
      </c>
      <c r="N270" s="69">
        <f t="shared" si="48"/>
        <v>271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010F</v>
      </c>
      <c r="N271" s="69">
        <f t="shared" si="48"/>
        <v>271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010F</v>
      </c>
      <c r="N272" s="69">
        <f t="shared" si="48"/>
        <v>271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010F</v>
      </c>
      <c r="N273" s="69">
        <f t="shared" si="48"/>
        <v>271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010F</v>
      </c>
      <c r="N274" s="69">
        <f t="shared" si="48"/>
        <v>271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010F</v>
      </c>
      <c r="N275" s="69">
        <f t="shared" si="48"/>
        <v>271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010F</v>
      </c>
      <c r="N276" s="69">
        <f t="shared" si="48"/>
        <v>271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010F</v>
      </c>
      <c r="N277" s="69">
        <f t="shared" si="48"/>
        <v>271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010F</v>
      </c>
      <c r="N278" s="69">
        <f t="shared" si="48"/>
        <v>271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010F</v>
      </c>
      <c r="N279" s="69">
        <f t="shared" si="48"/>
        <v>271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010F</v>
      </c>
      <c r="N280" s="69">
        <f t="shared" si="48"/>
        <v>271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010F</v>
      </c>
      <c r="N281" s="69">
        <f t="shared" si="48"/>
        <v>271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010F</v>
      </c>
      <c r="N282" s="69">
        <f t="shared" si="48"/>
        <v>271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010F</v>
      </c>
      <c r="N283" s="69">
        <f t="shared" si="48"/>
        <v>271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010F</v>
      </c>
      <c r="N284" s="69">
        <f t="shared" si="48"/>
        <v>271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010F</v>
      </c>
      <c r="N285" s="69">
        <f t="shared" si="48"/>
        <v>271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010F</v>
      </c>
      <c r="N286" s="69">
        <f t="shared" si="48"/>
        <v>271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010F</v>
      </c>
      <c r="N287" s="69">
        <f t="shared" si="48"/>
        <v>271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010F</v>
      </c>
      <c r="N288" s="69">
        <f t="shared" si="48"/>
        <v>271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010F</v>
      </c>
      <c r="N289" s="69">
        <f t="shared" si="48"/>
        <v>271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010F</v>
      </c>
      <c r="N290" s="69">
        <f t="shared" si="48"/>
        <v>271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010F</v>
      </c>
      <c r="N291" s="69">
        <f t="shared" si="48"/>
        <v>271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010F</v>
      </c>
      <c r="N292" s="69">
        <f t="shared" si="48"/>
        <v>271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010F</v>
      </c>
      <c r="N293" s="69">
        <f t="shared" si="48"/>
        <v>271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010F</v>
      </c>
      <c r="N294" s="69">
        <f t="shared" si="48"/>
        <v>271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010F</v>
      </c>
      <c r="N295" s="69">
        <f t="shared" si="48"/>
        <v>271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010F</v>
      </c>
      <c r="N296" s="69">
        <f t="shared" si="48"/>
        <v>271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010F</v>
      </c>
      <c r="N297" s="69">
        <f t="shared" si="48"/>
        <v>271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010F</v>
      </c>
      <c r="N298" s="69">
        <f t="shared" si="48"/>
        <v>271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010F</v>
      </c>
      <c r="N299" s="69">
        <f t="shared" si="48"/>
        <v>271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010F</v>
      </c>
      <c r="N300" s="69">
        <f t="shared" si="48"/>
        <v>271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010F</v>
      </c>
      <c r="N301" s="69">
        <f t="shared" si="48"/>
        <v>271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010F</v>
      </c>
      <c r="N302" s="69">
        <f t="shared" si="48"/>
        <v>271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010F</v>
      </c>
      <c r="N303" s="69">
        <f t="shared" si="48"/>
        <v>271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010F</v>
      </c>
      <c r="N304" s="69">
        <f t="shared" si="48"/>
        <v>271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010F</v>
      </c>
      <c r="N305" s="69">
        <f t="shared" si="48"/>
        <v>271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010F</v>
      </c>
      <c r="N306" s="69">
        <f t="shared" si="48"/>
        <v>271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010F</v>
      </c>
      <c r="N307" s="69">
        <f t="shared" si="48"/>
        <v>271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010F</v>
      </c>
      <c r="N308" s="69">
        <f t="shared" si="48"/>
        <v>271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010F</v>
      </c>
      <c r="N309" s="69">
        <f t="shared" si="48"/>
        <v>271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010F</v>
      </c>
      <c r="N310" s="69">
        <f t="shared" si="48"/>
        <v>271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010F</v>
      </c>
      <c r="N311" s="69">
        <f t="shared" si="48"/>
        <v>271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010F</v>
      </c>
      <c r="N312" s="69">
        <f t="shared" si="48"/>
        <v>271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010F</v>
      </c>
      <c r="N313" s="69">
        <f t="shared" si="48"/>
        <v>271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010F</v>
      </c>
      <c r="N314" s="69">
        <f t="shared" si="48"/>
        <v>271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010F</v>
      </c>
      <c r="N315" s="69">
        <f t="shared" si="48"/>
        <v>271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010F</v>
      </c>
      <c r="N316" s="69">
        <f t="shared" si="48"/>
        <v>271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010F</v>
      </c>
      <c r="N317" s="69">
        <f t="shared" si="48"/>
        <v>271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010F</v>
      </c>
      <c r="N318" s="69">
        <f t="shared" si="48"/>
        <v>271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010F</v>
      </c>
      <c r="N319" s="69">
        <f t="shared" si="48"/>
        <v>271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010F</v>
      </c>
      <c r="N320" s="69">
        <f t="shared" si="48"/>
        <v>271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010F</v>
      </c>
      <c r="N321" s="69">
        <f t="shared" si="48"/>
        <v>271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010F</v>
      </c>
      <c r="N322" s="69">
        <f t="shared" si="48"/>
        <v>271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010F</v>
      </c>
      <c r="N323" s="69">
        <f t="shared" si="48"/>
        <v>271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010F</v>
      </c>
      <c r="N324" s="69">
        <f t="shared" si="48"/>
        <v>271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010F</v>
      </c>
      <c r="N325" s="69">
        <f t="shared" si="48"/>
        <v>271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010F</v>
      </c>
      <c r="N326" s="69">
        <f t="shared" si="48"/>
        <v>271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010F</v>
      </c>
      <c r="N327" s="69">
        <f t="shared" si="48"/>
        <v>271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010F</v>
      </c>
      <c r="N328" s="69">
        <f t="shared" si="48"/>
        <v>271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010F</v>
      </c>
      <c r="N329" s="69">
        <f t="shared" si="48"/>
        <v>271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010F</v>
      </c>
      <c r="N330" s="69">
        <f t="shared" ref="N330:N393" si="52">N329+S329</f>
        <v>271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010F</v>
      </c>
      <c r="N331" s="69">
        <f t="shared" si="52"/>
        <v>271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010F</v>
      </c>
      <c r="N332" s="69">
        <f t="shared" si="52"/>
        <v>271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010F</v>
      </c>
      <c r="N333" s="69">
        <f t="shared" si="52"/>
        <v>271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010F</v>
      </c>
      <c r="N334" s="69">
        <f t="shared" si="52"/>
        <v>271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010F</v>
      </c>
      <c r="N335" s="69">
        <f t="shared" si="52"/>
        <v>271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010F</v>
      </c>
      <c r="N336" s="69">
        <f t="shared" si="52"/>
        <v>271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010F</v>
      </c>
      <c r="N337" s="69">
        <f t="shared" si="52"/>
        <v>271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010F</v>
      </c>
      <c r="N338" s="69">
        <f t="shared" si="52"/>
        <v>271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010F</v>
      </c>
      <c r="N339" s="69">
        <f t="shared" si="52"/>
        <v>271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010F</v>
      </c>
      <c r="N340" s="69">
        <f t="shared" si="52"/>
        <v>271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010F</v>
      </c>
      <c r="N341" s="69">
        <f t="shared" si="52"/>
        <v>271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010F</v>
      </c>
      <c r="N342" s="69">
        <f t="shared" si="52"/>
        <v>271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010F</v>
      </c>
      <c r="N343" s="69">
        <f t="shared" si="52"/>
        <v>271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010F</v>
      </c>
      <c r="N344" s="69">
        <f t="shared" si="52"/>
        <v>271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010F</v>
      </c>
      <c r="N345" s="69">
        <f t="shared" si="52"/>
        <v>271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010F</v>
      </c>
      <c r="N346" s="69">
        <f t="shared" si="52"/>
        <v>271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010F</v>
      </c>
      <c r="N347" s="69">
        <f t="shared" si="52"/>
        <v>271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010F</v>
      </c>
      <c r="N348" s="69">
        <f t="shared" si="52"/>
        <v>271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010F</v>
      </c>
      <c r="N349" s="69">
        <f t="shared" si="52"/>
        <v>271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010F</v>
      </c>
      <c r="N350" s="69">
        <f t="shared" si="52"/>
        <v>271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010F</v>
      </c>
      <c r="N351" s="69">
        <f t="shared" si="52"/>
        <v>271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010F</v>
      </c>
      <c r="N352" s="69">
        <f t="shared" si="52"/>
        <v>271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010F</v>
      </c>
      <c r="N353" s="69">
        <f t="shared" si="52"/>
        <v>271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010F</v>
      </c>
      <c r="N354" s="69">
        <f t="shared" si="52"/>
        <v>271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010F</v>
      </c>
      <c r="N355" s="69">
        <f t="shared" si="52"/>
        <v>271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010F</v>
      </c>
      <c r="N356" s="69">
        <f t="shared" si="52"/>
        <v>271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010F</v>
      </c>
      <c r="N357" s="69">
        <f t="shared" si="52"/>
        <v>271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010F</v>
      </c>
      <c r="N358" s="69">
        <f t="shared" si="52"/>
        <v>271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010F</v>
      </c>
      <c r="N359" s="69">
        <f t="shared" si="52"/>
        <v>271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010F</v>
      </c>
      <c r="N360" s="69">
        <f t="shared" si="52"/>
        <v>271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010F</v>
      </c>
      <c r="N361" s="69">
        <f t="shared" si="52"/>
        <v>271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010F</v>
      </c>
      <c r="N362" s="69">
        <f t="shared" si="52"/>
        <v>271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010F</v>
      </c>
      <c r="N363" s="69">
        <f t="shared" si="52"/>
        <v>271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010F</v>
      </c>
      <c r="N364" s="69">
        <f t="shared" si="52"/>
        <v>271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010F</v>
      </c>
      <c r="N365" s="69">
        <f t="shared" si="52"/>
        <v>271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010F</v>
      </c>
      <c r="N366" s="69">
        <f t="shared" si="52"/>
        <v>271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010F</v>
      </c>
      <c r="N367" s="69">
        <f t="shared" si="52"/>
        <v>271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010F</v>
      </c>
      <c r="N368" s="69">
        <f t="shared" si="52"/>
        <v>271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010F</v>
      </c>
      <c r="N369" s="69">
        <f t="shared" si="52"/>
        <v>271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010F</v>
      </c>
      <c r="N370" s="69">
        <f t="shared" si="52"/>
        <v>271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010F</v>
      </c>
      <c r="N371" s="69">
        <f t="shared" si="52"/>
        <v>271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010F</v>
      </c>
      <c r="N372" s="69">
        <f t="shared" si="52"/>
        <v>271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010F</v>
      </c>
      <c r="N373" s="69">
        <f t="shared" si="52"/>
        <v>271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010F</v>
      </c>
      <c r="N374" s="69">
        <f t="shared" si="52"/>
        <v>271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010F</v>
      </c>
      <c r="N375" s="69">
        <f t="shared" si="52"/>
        <v>271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010F</v>
      </c>
      <c r="N376" s="69">
        <f t="shared" si="52"/>
        <v>271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010F</v>
      </c>
      <c r="N377" s="69">
        <f t="shared" si="52"/>
        <v>271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010F</v>
      </c>
      <c r="N378" s="69">
        <f t="shared" si="52"/>
        <v>271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010F</v>
      </c>
      <c r="N379" s="69">
        <f t="shared" si="52"/>
        <v>271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010F</v>
      </c>
      <c r="N380" s="69">
        <f t="shared" si="52"/>
        <v>271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010F</v>
      </c>
      <c r="N381" s="69">
        <f t="shared" si="52"/>
        <v>271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010F</v>
      </c>
      <c r="N382" s="69">
        <f t="shared" si="52"/>
        <v>271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010F</v>
      </c>
      <c r="N383" s="69">
        <f t="shared" si="52"/>
        <v>271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010F</v>
      </c>
      <c r="N384" s="69">
        <f t="shared" si="52"/>
        <v>271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010F</v>
      </c>
      <c r="N385" s="69">
        <f t="shared" si="52"/>
        <v>271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010F</v>
      </c>
      <c r="N386" s="69">
        <f t="shared" si="52"/>
        <v>271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010F</v>
      </c>
      <c r="N387" s="69">
        <f t="shared" si="52"/>
        <v>271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010F</v>
      </c>
      <c r="N388" s="69">
        <f t="shared" si="52"/>
        <v>271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010F</v>
      </c>
      <c r="N389" s="69">
        <f t="shared" si="52"/>
        <v>271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010F</v>
      </c>
      <c r="N390" s="69">
        <f t="shared" si="52"/>
        <v>271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010F</v>
      </c>
      <c r="N391" s="69">
        <f t="shared" si="52"/>
        <v>271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010F</v>
      </c>
      <c r="N392" s="69">
        <f t="shared" si="52"/>
        <v>271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2"/>
        <v>271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010F</v>
      </c>
      <c r="N413" s="69">
        <f t="shared" si="56"/>
        <v>271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010F</v>
      </c>
      <c r="N414" s="69">
        <f t="shared" si="56"/>
        <v>271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010F</v>
      </c>
      <c r="N415" s="69">
        <f t="shared" si="56"/>
        <v>271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010F</v>
      </c>
      <c r="N416" s="69">
        <f t="shared" si="56"/>
        <v>271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010F</v>
      </c>
      <c r="N417" s="69">
        <f t="shared" si="56"/>
        <v>271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010F</v>
      </c>
      <c r="N418" s="69">
        <f t="shared" si="56"/>
        <v>271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010F</v>
      </c>
      <c r="N419" s="69">
        <f t="shared" si="56"/>
        <v>271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010F</v>
      </c>
      <c r="N420" s="69">
        <f t="shared" si="56"/>
        <v>271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010F</v>
      </c>
      <c r="N421" s="69">
        <f t="shared" si="56"/>
        <v>271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010F</v>
      </c>
      <c r="N422" s="69">
        <f t="shared" si="56"/>
        <v>271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010F</v>
      </c>
      <c r="N423" s="69">
        <f t="shared" si="56"/>
        <v>271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010F</v>
      </c>
      <c r="N424" s="69">
        <f t="shared" si="56"/>
        <v>271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010F</v>
      </c>
      <c r="N425" s="69">
        <f t="shared" si="56"/>
        <v>271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010F</v>
      </c>
      <c r="N426" s="69">
        <f t="shared" si="56"/>
        <v>271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010F</v>
      </c>
      <c r="N427" s="69">
        <f t="shared" si="56"/>
        <v>271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010F</v>
      </c>
      <c r="N428" s="69">
        <f t="shared" si="56"/>
        <v>271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010F</v>
      </c>
      <c r="N429" s="69">
        <f t="shared" si="56"/>
        <v>271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010F</v>
      </c>
      <c r="N430" s="69">
        <f t="shared" si="56"/>
        <v>271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010F</v>
      </c>
      <c r="N431" s="69">
        <f t="shared" si="56"/>
        <v>271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010F</v>
      </c>
      <c r="N432" s="69">
        <f t="shared" si="56"/>
        <v>271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010F</v>
      </c>
      <c r="N433" s="69">
        <f t="shared" si="56"/>
        <v>271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010F</v>
      </c>
      <c r="N434" s="69">
        <f t="shared" si="56"/>
        <v>271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010F</v>
      </c>
      <c r="N435" s="69">
        <f t="shared" si="56"/>
        <v>271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010F</v>
      </c>
      <c r="N436" s="69">
        <f t="shared" si="56"/>
        <v>271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010F</v>
      </c>
      <c r="N437" s="69">
        <f t="shared" si="56"/>
        <v>271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010F</v>
      </c>
      <c r="N438" s="69">
        <f t="shared" si="56"/>
        <v>271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010F</v>
      </c>
      <c r="N439" s="69">
        <f t="shared" si="56"/>
        <v>271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010F</v>
      </c>
      <c r="N440" s="69">
        <f t="shared" si="56"/>
        <v>271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010F</v>
      </c>
      <c r="N441" s="69">
        <f t="shared" si="56"/>
        <v>271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010F</v>
      </c>
      <c r="N442" s="69">
        <f t="shared" si="56"/>
        <v>271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010F</v>
      </c>
      <c r="N443" s="69">
        <f t="shared" si="56"/>
        <v>271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010F</v>
      </c>
      <c r="N444" s="69">
        <f t="shared" si="56"/>
        <v>271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010F</v>
      </c>
      <c r="N445" s="69">
        <f t="shared" si="56"/>
        <v>271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010F</v>
      </c>
      <c r="N446" s="69">
        <f t="shared" si="56"/>
        <v>271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010F</v>
      </c>
      <c r="N447" s="69">
        <f t="shared" si="56"/>
        <v>271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010F</v>
      </c>
      <c r="N448" s="69">
        <f t="shared" si="56"/>
        <v>271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010F</v>
      </c>
      <c r="N449" s="69">
        <f t="shared" si="56"/>
        <v>271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010F</v>
      </c>
      <c r="N450" s="69">
        <f t="shared" si="56"/>
        <v>271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010F</v>
      </c>
      <c r="N451" s="69">
        <f t="shared" si="56"/>
        <v>271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010F</v>
      </c>
      <c r="N452" s="69">
        <f t="shared" si="56"/>
        <v>271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010F</v>
      </c>
      <c r="N453" s="69">
        <f t="shared" si="56"/>
        <v>271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010F</v>
      </c>
      <c r="N454" s="69">
        <f t="shared" si="56"/>
        <v>271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010F</v>
      </c>
      <c r="N455" s="69">
        <f t="shared" si="56"/>
        <v>271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010F</v>
      </c>
      <c r="N456" s="69">
        <f t="shared" si="56"/>
        <v>271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010F</v>
      </c>
      <c r="N457" s="69">
        <f t="shared" si="56"/>
        <v>271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010F</v>
      </c>
      <c r="N458" s="69">
        <f t="shared" ref="N458:N521" si="60">N457+S457</f>
        <v>271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010F</v>
      </c>
      <c r="N459" s="69">
        <f t="shared" si="60"/>
        <v>271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010F</v>
      </c>
      <c r="N460" s="69">
        <f t="shared" si="60"/>
        <v>271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010F</v>
      </c>
      <c r="N461" s="69">
        <f t="shared" si="60"/>
        <v>271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010F</v>
      </c>
      <c r="N462" s="69">
        <f t="shared" si="60"/>
        <v>271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010F</v>
      </c>
      <c r="N463" s="69">
        <f t="shared" si="60"/>
        <v>271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010F</v>
      </c>
      <c r="N464" s="69">
        <f t="shared" si="60"/>
        <v>271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010F</v>
      </c>
      <c r="N465" s="69">
        <f t="shared" si="60"/>
        <v>271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010F</v>
      </c>
      <c r="N466" s="69">
        <f t="shared" si="60"/>
        <v>271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010F</v>
      </c>
      <c r="N467" s="69">
        <f t="shared" si="60"/>
        <v>271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010F</v>
      </c>
      <c r="N468" s="69">
        <f t="shared" si="60"/>
        <v>271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010F</v>
      </c>
      <c r="N469" s="69">
        <f t="shared" si="60"/>
        <v>271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010F</v>
      </c>
      <c r="N470" s="69">
        <f t="shared" si="60"/>
        <v>271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010F</v>
      </c>
      <c r="N471" s="69">
        <f t="shared" si="60"/>
        <v>271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010F</v>
      </c>
      <c r="N472" s="69">
        <f t="shared" si="60"/>
        <v>271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010F</v>
      </c>
      <c r="N473" s="69">
        <f t="shared" si="60"/>
        <v>271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010F</v>
      </c>
      <c r="N474" s="69">
        <f t="shared" si="60"/>
        <v>271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010F</v>
      </c>
      <c r="N475" s="69">
        <f t="shared" si="60"/>
        <v>271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010F</v>
      </c>
      <c r="N476" s="69">
        <f t="shared" si="60"/>
        <v>271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010F</v>
      </c>
      <c r="N477" s="69">
        <f t="shared" si="60"/>
        <v>271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010F</v>
      </c>
      <c r="N478" s="69">
        <f t="shared" si="60"/>
        <v>271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010F</v>
      </c>
      <c r="N479" s="69">
        <f t="shared" si="60"/>
        <v>271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010F</v>
      </c>
      <c r="N480" s="69">
        <f t="shared" si="60"/>
        <v>271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010F</v>
      </c>
      <c r="N481" s="69">
        <f t="shared" si="60"/>
        <v>271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010F</v>
      </c>
      <c r="N482" s="69">
        <f t="shared" si="60"/>
        <v>271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010F</v>
      </c>
      <c r="N483" s="69">
        <f t="shared" si="60"/>
        <v>271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010F</v>
      </c>
      <c r="N484" s="69">
        <f t="shared" si="60"/>
        <v>271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010F</v>
      </c>
      <c r="N485" s="69">
        <f t="shared" si="60"/>
        <v>271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010F</v>
      </c>
      <c r="N486" s="69">
        <f t="shared" si="60"/>
        <v>271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010F</v>
      </c>
      <c r="N487" s="69">
        <f t="shared" si="60"/>
        <v>271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010F</v>
      </c>
      <c r="N488" s="69">
        <f t="shared" si="60"/>
        <v>271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010F</v>
      </c>
      <c r="N489" s="69">
        <f t="shared" si="60"/>
        <v>271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010F</v>
      </c>
      <c r="N490" s="69">
        <f t="shared" si="60"/>
        <v>271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010F</v>
      </c>
      <c r="N491" s="69">
        <f t="shared" si="60"/>
        <v>271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010F</v>
      </c>
      <c r="N492" s="69">
        <f t="shared" si="60"/>
        <v>271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010F</v>
      </c>
      <c r="N493" s="69">
        <f t="shared" si="60"/>
        <v>271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010F</v>
      </c>
      <c r="N494" s="69">
        <f t="shared" si="60"/>
        <v>271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010F</v>
      </c>
      <c r="N495" s="69">
        <f t="shared" si="60"/>
        <v>271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010F</v>
      </c>
      <c r="N496" s="69">
        <f t="shared" si="60"/>
        <v>271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010F</v>
      </c>
      <c r="N497" s="69">
        <f t="shared" si="60"/>
        <v>271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010F</v>
      </c>
      <c r="N498" s="69">
        <f t="shared" si="60"/>
        <v>271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010F</v>
      </c>
      <c r="N499" s="69">
        <f t="shared" si="60"/>
        <v>271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010F</v>
      </c>
      <c r="N500" s="69">
        <f t="shared" si="60"/>
        <v>271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010F</v>
      </c>
      <c r="N501" s="69">
        <f t="shared" si="60"/>
        <v>271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010F</v>
      </c>
      <c r="N502" s="69">
        <f t="shared" si="60"/>
        <v>271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010F</v>
      </c>
      <c r="N503" s="69">
        <f t="shared" si="60"/>
        <v>271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010F</v>
      </c>
      <c r="N504" s="69">
        <f t="shared" si="60"/>
        <v>271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010F</v>
      </c>
      <c r="N505" s="69">
        <f t="shared" si="60"/>
        <v>271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010F</v>
      </c>
      <c r="N506" s="69">
        <f t="shared" si="60"/>
        <v>271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010F</v>
      </c>
      <c r="N507" s="69">
        <f t="shared" si="60"/>
        <v>271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010F</v>
      </c>
      <c r="N508" s="69">
        <f t="shared" si="60"/>
        <v>271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010F</v>
      </c>
      <c r="N509" s="69">
        <f t="shared" si="60"/>
        <v>271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010F</v>
      </c>
      <c r="N510" s="69">
        <f t="shared" si="60"/>
        <v>271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010F</v>
      </c>
      <c r="N511" s="69">
        <f t="shared" si="60"/>
        <v>271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010F</v>
      </c>
      <c r="N512" s="69">
        <f t="shared" si="60"/>
        <v>271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010F</v>
      </c>
      <c r="N513" s="69">
        <f t="shared" si="60"/>
        <v>271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010F</v>
      </c>
      <c r="N514" s="69">
        <f t="shared" si="60"/>
        <v>271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010F</v>
      </c>
      <c r="N515" s="69">
        <f t="shared" si="60"/>
        <v>271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010F</v>
      </c>
      <c r="N516" s="69">
        <f t="shared" si="60"/>
        <v>271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010F</v>
      </c>
      <c r="N517" s="69">
        <f t="shared" si="60"/>
        <v>271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010F</v>
      </c>
      <c r="N518" s="69">
        <f t="shared" si="60"/>
        <v>271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010F</v>
      </c>
      <c r="N519" s="69">
        <f t="shared" si="60"/>
        <v>271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010F</v>
      </c>
      <c r="N520" s="69">
        <f t="shared" si="60"/>
        <v>271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010F</v>
      </c>
      <c r="N521" s="69">
        <f t="shared" si="60"/>
        <v>271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010F</v>
      </c>
      <c r="N522" s="69">
        <f t="shared" ref="N522:N585" si="64">N521+S521</f>
        <v>271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010F</v>
      </c>
      <c r="N523" s="69">
        <f t="shared" si="64"/>
        <v>271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010F</v>
      </c>
      <c r="N524" s="69">
        <f t="shared" si="64"/>
        <v>271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010F</v>
      </c>
      <c r="N525" s="69">
        <f t="shared" si="64"/>
        <v>271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010F</v>
      </c>
      <c r="N526" s="69">
        <f t="shared" si="64"/>
        <v>271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010F</v>
      </c>
      <c r="N527" s="69">
        <f t="shared" si="64"/>
        <v>271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010F</v>
      </c>
      <c r="N528" s="69">
        <f t="shared" si="64"/>
        <v>271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010F</v>
      </c>
      <c r="N529" s="69">
        <f t="shared" si="64"/>
        <v>271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010F</v>
      </c>
      <c r="N530" s="69">
        <f t="shared" si="64"/>
        <v>271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010F</v>
      </c>
      <c r="N531" s="69">
        <f t="shared" si="64"/>
        <v>271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010F</v>
      </c>
      <c r="N532" s="69">
        <f t="shared" si="64"/>
        <v>271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010F</v>
      </c>
      <c r="N533" s="69">
        <f t="shared" si="64"/>
        <v>271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010F</v>
      </c>
      <c r="N534" s="69">
        <f t="shared" si="64"/>
        <v>271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010F</v>
      </c>
      <c r="N535" s="69">
        <f t="shared" si="64"/>
        <v>271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010F</v>
      </c>
      <c r="N536" s="69">
        <f t="shared" si="64"/>
        <v>271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010F</v>
      </c>
      <c r="N537" s="69">
        <f t="shared" si="64"/>
        <v>271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010F</v>
      </c>
      <c r="N538" s="69">
        <f t="shared" si="64"/>
        <v>271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010F</v>
      </c>
      <c r="N539" s="69">
        <f t="shared" si="64"/>
        <v>271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010F</v>
      </c>
      <c r="N540" s="69">
        <f t="shared" si="64"/>
        <v>271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010F</v>
      </c>
      <c r="N541" s="69">
        <f t="shared" si="64"/>
        <v>271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010F</v>
      </c>
      <c r="N542" s="69">
        <f t="shared" si="64"/>
        <v>271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010F</v>
      </c>
      <c r="N543" s="69">
        <f t="shared" si="64"/>
        <v>271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010F</v>
      </c>
      <c r="N544" s="69">
        <f t="shared" si="64"/>
        <v>271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010F</v>
      </c>
      <c r="N545" s="69">
        <f t="shared" si="64"/>
        <v>271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010F</v>
      </c>
      <c r="N546" s="69">
        <f t="shared" si="64"/>
        <v>271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010F</v>
      </c>
      <c r="N547" s="69">
        <f t="shared" si="64"/>
        <v>271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010F</v>
      </c>
      <c r="N548" s="69">
        <f t="shared" si="64"/>
        <v>271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010F</v>
      </c>
      <c r="N549" s="69">
        <f t="shared" si="64"/>
        <v>271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010F</v>
      </c>
      <c r="N550" s="69">
        <f t="shared" si="64"/>
        <v>271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010F</v>
      </c>
      <c r="N551" s="69">
        <f t="shared" si="64"/>
        <v>271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010F</v>
      </c>
      <c r="N552" s="69">
        <f t="shared" si="64"/>
        <v>271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010F</v>
      </c>
      <c r="N553" s="69">
        <f t="shared" si="64"/>
        <v>271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010F</v>
      </c>
      <c r="N554" s="69">
        <f t="shared" si="64"/>
        <v>271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010F</v>
      </c>
      <c r="N555" s="69">
        <f t="shared" si="64"/>
        <v>271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010F</v>
      </c>
      <c r="N556" s="69">
        <f t="shared" si="64"/>
        <v>271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010F</v>
      </c>
      <c r="N557" s="69">
        <f t="shared" si="64"/>
        <v>271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010F</v>
      </c>
      <c r="N558" s="69">
        <f t="shared" si="64"/>
        <v>271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010F</v>
      </c>
      <c r="N559" s="69">
        <f t="shared" si="64"/>
        <v>271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010F</v>
      </c>
      <c r="N560" s="69">
        <f t="shared" si="64"/>
        <v>271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010F</v>
      </c>
      <c r="N561" s="69">
        <f t="shared" si="64"/>
        <v>271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010F</v>
      </c>
      <c r="N562" s="69">
        <f t="shared" si="64"/>
        <v>271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010F</v>
      </c>
      <c r="N563" s="69">
        <f t="shared" si="64"/>
        <v>271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010F</v>
      </c>
      <c r="N564" s="69">
        <f t="shared" si="64"/>
        <v>271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010F</v>
      </c>
      <c r="N565" s="69">
        <f t="shared" si="64"/>
        <v>271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010F</v>
      </c>
      <c r="N566" s="69">
        <f t="shared" si="64"/>
        <v>271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010F</v>
      </c>
      <c r="N567" s="69">
        <f t="shared" si="64"/>
        <v>271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010F</v>
      </c>
      <c r="N568" s="69">
        <f t="shared" si="64"/>
        <v>271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010F</v>
      </c>
      <c r="N569" s="69">
        <f t="shared" si="64"/>
        <v>271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010F</v>
      </c>
      <c r="N570" s="69">
        <f t="shared" si="64"/>
        <v>271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010F</v>
      </c>
      <c r="N571" s="69">
        <f t="shared" si="64"/>
        <v>271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010F</v>
      </c>
      <c r="N572" s="69">
        <f t="shared" si="64"/>
        <v>271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010F</v>
      </c>
      <c r="N573" s="69">
        <f t="shared" si="64"/>
        <v>271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010F</v>
      </c>
      <c r="N574" s="69">
        <f t="shared" si="64"/>
        <v>271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010F</v>
      </c>
      <c r="N575" s="69">
        <f t="shared" si="64"/>
        <v>271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010F</v>
      </c>
      <c r="N576" s="69">
        <f t="shared" si="64"/>
        <v>271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010F</v>
      </c>
      <c r="N577" s="69">
        <f t="shared" si="64"/>
        <v>271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010F</v>
      </c>
      <c r="N578" s="69">
        <f t="shared" si="64"/>
        <v>271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010F</v>
      </c>
      <c r="N579" s="69">
        <f t="shared" si="64"/>
        <v>271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010F</v>
      </c>
      <c r="N580" s="69">
        <f t="shared" si="64"/>
        <v>271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010F</v>
      </c>
      <c r="N581" s="69">
        <f t="shared" si="64"/>
        <v>271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010F</v>
      </c>
      <c r="N582" s="69">
        <f t="shared" si="64"/>
        <v>271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010F</v>
      </c>
      <c r="N583" s="69">
        <f t="shared" si="64"/>
        <v>271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010F</v>
      </c>
      <c r="N584" s="69">
        <f t="shared" si="64"/>
        <v>271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010F</v>
      </c>
      <c r="N585" s="69">
        <f t="shared" si="64"/>
        <v>271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010F</v>
      </c>
      <c r="N586" s="69">
        <f t="shared" ref="N586:N649" si="68">N585+S585</f>
        <v>271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010F</v>
      </c>
      <c r="N587" s="69">
        <f t="shared" si="68"/>
        <v>271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010F</v>
      </c>
      <c r="N588" s="69">
        <f t="shared" si="68"/>
        <v>271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010F</v>
      </c>
      <c r="N589" s="69">
        <f t="shared" si="68"/>
        <v>271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010F</v>
      </c>
      <c r="N590" s="69">
        <f t="shared" si="68"/>
        <v>271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010F</v>
      </c>
      <c r="N591" s="69">
        <f t="shared" si="68"/>
        <v>271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010F</v>
      </c>
      <c r="N592" s="69">
        <f t="shared" si="68"/>
        <v>271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010F</v>
      </c>
      <c r="N593" s="69">
        <f t="shared" si="68"/>
        <v>271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010F</v>
      </c>
      <c r="N594" s="69">
        <f t="shared" si="68"/>
        <v>271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010F</v>
      </c>
      <c r="N595" s="69">
        <f t="shared" si="68"/>
        <v>271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010F</v>
      </c>
      <c r="N596" s="69">
        <f t="shared" si="68"/>
        <v>271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010F</v>
      </c>
      <c r="N597" s="69">
        <f t="shared" si="68"/>
        <v>271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010F</v>
      </c>
      <c r="N598" s="69">
        <f t="shared" si="68"/>
        <v>271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010F</v>
      </c>
      <c r="N599" s="69">
        <f t="shared" si="68"/>
        <v>271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010F</v>
      </c>
      <c r="N600" s="69">
        <f t="shared" si="68"/>
        <v>271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010F</v>
      </c>
      <c r="N601" s="69">
        <f t="shared" si="68"/>
        <v>271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010F</v>
      </c>
      <c r="N602" s="69">
        <f t="shared" si="68"/>
        <v>271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010F</v>
      </c>
      <c r="N603" s="69">
        <f t="shared" si="68"/>
        <v>271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010F</v>
      </c>
      <c r="N604" s="69">
        <f t="shared" si="68"/>
        <v>271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010F</v>
      </c>
      <c r="N605" s="69">
        <f t="shared" si="68"/>
        <v>271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010F</v>
      </c>
      <c r="N606" s="69">
        <f t="shared" si="68"/>
        <v>271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010F</v>
      </c>
      <c r="N607" s="69">
        <f t="shared" si="68"/>
        <v>271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010F</v>
      </c>
      <c r="N608" s="69">
        <f t="shared" si="68"/>
        <v>271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010F</v>
      </c>
      <c r="N609" s="69">
        <f t="shared" si="68"/>
        <v>271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010F</v>
      </c>
      <c r="N610" s="69">
        <f t="shared" si="68"/>
        <v>271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010F</v>
      </c>
      <c r="N611" s="69">
        <f t="shared" si="68"/>
        <v>271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010F</v>
      </c>
      <c r="N612" s="69">
        <f t="shared" si="68"/>
        <v>271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010F</v>
      </c>
      <c r="N613" s="69">
        <f t="shared" si="68"/>
        <v>271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010F</v>
      </c>
      <c r="N614" s="69">
        <f t="shared" si="68"/>
        <v>271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010F</v>
      </c>
      <c r="N615" s="69">
        <f t="shared" si="68"/>
        <v>271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010F</v>
      </c>
      <c r="N616" s="69">
        <f t="shared" si="68"/>
        <v>271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010F</v>
      </c>
      <c r="N617" s="69">
        <f t="shared" si="68"/>
        <v>271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010F</v>
      </c>
      <c r="N618" s="69">
        <f t="shared" si="68"/>
        <v>271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010F</v>
      </c>
      <c r="N619" s="69">
        <f t="shared" si="68"/>
        <v>271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010F</v>
      </c>
      <c r="N620" s="69">
        <f t="shared" si="68"/>
        <v>271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010F</v>
      </c>
      <c r="N621" s="69">
        <f t="shared" si="68"/>
        <v>271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010F</v>
      </c>
      <c r="N622" s="69">
        <f t="shared" si="68"/>
        <v>271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010F</v>
      </c>
      <c r="N623" s="69">
        <f t="shared" si="68"/>
        <v>271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010F</v>
      </c>
      <c r="N624" s="69">
        <f t="shared" si="68"/>
        <v>271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010F</v>
      </c>
      <c r="N625" s="69">
        <f t="shared" si="68"/>
        <v>271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010F</v>
      </c>
      <c r="N626" s="69">
        <f t="shared" si="68"/>
        <v>271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010F</v>
      </c>
      <c r="N627" s="69">
        <f t="shared" si="68"/>
        <v>271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010F</v>
      </c>
      <c r="N628" s="69">
        <f t="shared" si="68"/>
        <v>271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010F</v>
      </c>
      <c r="N629" s="69">
        <f t="shared" si="68"/>
        <v>271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010F</v>
      </c>
      <c r="N630" s="69">
        <f t="shared" si="68"/>
        <v>271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010F</v>
      </c>
      <c r="N631" s="69">
        <f t="shared" si="68"/>
        <v>271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010F</v>
      </c>
      <c r="N632" s="69">
        <f t="shared" si="68"/>
        <v>271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010F</v>
      </c>
      <c r="N633" s="69">
        <f t="shared" si="68"/>
        <v>271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010F</v>
      </c>
      <c r="N634" s="69">
        <f t="shared" si="68"/>
        <v>271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010F</v>
      </c>
      <c r="N635" s="69">
        <f t="shared" si="68"/>
        <v>271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010F</v>
      </c>
      <c r="N636" s="69">
        <f t="shared" si="68"/>
        <v>271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010F</v>
      </c>
      <c r="N637" s="69">
        <f t="shared" si="68"/>
        <v>271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010F</v>
      </c>
      <c r="N638" s="69">
        <f t="shared" si="68"/>
        <v>271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010F</v>
      </c>
      <c r="N639" s="69">
        <f t="shared" si="68"/>
        <v>271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010F</v>
      </c>
      <c r="N640" s="69">
        <f t="shared" si="68"/>
        <v>271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010F</v>
      </c>
      <c r="N641" s="69">
        <f t="shared" si="68"/>
        <v>271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010F</v>
      </c>
      <c r="N642" s="69">
        <f t="shared" si="68"/>
        <v>271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010F</v>
      </c>
      <c r="N643" s="69">
        <f t="shared" si="68"/>
        <v>271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010F</v>
      </c>
      <c r="N644" s="69">
        <f t="shared" si="68"/>
        <v>271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010F</v>
      </c>
      <c r="N645" s="69">
        <f t="shared" si="68"/>
        <v>271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010F</v>
      </c>
      <c r="N646" s="69">
        <f t="shared" si="68"/>
        <v>271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010F</v>
      </c>
      <c r="N647" s="69">
        <f t="shared" si="68"/>
        <v>271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010F</v>
      </c>
      <c r="N648" s="69">
        <f t="shared" si="68"/>
        <v>271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010F</v>
      </c>
      <c r="N649" s="69">
        <f t="shared" si="68"/>
        <v>271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010F</v>
      </c>
      <c r="N650" s="69">
        <f t="shared" ref="N650:N713" si="72">N649+S649</f>
        <v>271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010F</v>
      </c>
      <c r="N651" s="69">
        <f t="shared" si="72"/>
        <v>271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010F</v>
      </c>
      <c r="N652" s="69">
        <f t="shared" si="72"/>
        <v>271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010F</v>
      </c>
      <c r="N653" s="69">
        <f t="shared" si="72"/>
        <v>271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010F</v>
      </c>
      <c r="N654" s="69">
        <f t="shared" si="72"/>
        <v>271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010F</v>
      </c>
      <c r="N655" s="69">
        <f t="shared" si="72"/>
        <v>271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010F</v>
      </c>
      <c r="N656" s="69">
        <f t="shared" si="72"/>
        <v>271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010F</v>
      </c>
      <c r="N657" s="69">
        <f t="shared" si="72"/>
        <v>271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010F</v>
      </c>
      <c r="N658" s="69">
        <f t="shared" si="72"/>
        <v>271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010F</v>
      </c>
      <c r="N659" s="69">
        <f t="shared" si="72"/>
        <v>271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010F</v>
      </c>
      <c r="N660" s="69">
        <f t="shared" si="72"/>
        <v>271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010F</v>
      </c>
      <c r="N661" s="69">
        <f t="shared" si="72"/>
        <v>271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010F</v>
      </c>
      <c r="N662" s="69">
        <f t="shared" si="72"/>
        <v>271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010F</v>
      </c>
      <c r="N663" s="69">
        <f t="shared" si="72"/>
        <v>271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010F</v>
      </c>
      <c r="N664" s="69">
        <f t="shared" si="72"/>
        <v>271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010F</v>
      </c>
      <c r="N665" s="69">
        <f t="shared" si="72"/>
        <v>271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010F</v>
      </c>
      <c r="N666" s="69">
        <f t="shared" si="72"/>
        <v>271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010F</v>
      </c>
      <c r="N667" s="69">
        <f t="shared" si="72"/>
        <v>271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010F</v>
      </c>
      <c r="N668" s="69">
        <f t="shared" si="72"/>
        <v>271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010F</v>
      </c>
      <c r="N669" s="69">
        <f t="shared" si="72"/>
        <v>271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010F</v>
      </c>
      <c r="N670" s="69">
        <f t="shared" si="72"/>
        <v>271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010F</v>
      </c>
      <c r="N671" s="69">
        <f t="shared" si="72"/>
        <v>271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010F</v>
      </c>
      <c r="N672" s="69">
        <f t="shared" si="72"/>
        <v>271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010F</v>
      </c>
      <c r="N673" s="69">
        <f t="shared" si="72"/>
        <v>271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010F</v>
      </c>
      <c r="N674" s="69">
        <f t="shared" si="72"/>
        <v>271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010F</v>
      </c>
      <c r="N675" s="69">
        <f t="shared" si="72"/>
        <v>271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010F</v>
      </c>
      <c r="N676" s="69">
        <f t="shared" si="72"/>
        <v>271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010F</v>
      </c>
      <c r="N677" s="69">
        <f t="shared" si="72"/>
        <v>271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010F</v>
      </c>
      <c r="N678" s="69">
        <f t="shared" si="72"/>
        <v>271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010F</v>
      </c>
      <c r="N679" s="69">
        <f t="shared" si="72"/>
        <v>271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010F</v>
      </c>
      <c r="N680" s="69">
        <f t="shared" si="72"/>
        <v>271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010F</v>
      </c>
      <c r="N681" s="69">
        <f t="shared" si="72"/>
        <v>271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010F</v>
      </c>
      <c r="N682" s="69">
        <f t="shared" si="72"/>
        <v>271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010F</v>
      </c>
      <c r="N683" s="69">
        <f t="shared" si="72"/>
        <v>271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010F</v>
      </c>
      <c r="N684" s="69">
        <f t="shared" si="72"/>
        <v>271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010F</v>
      </c>
      <c r="N685" s="69">
        <f t="shared" si="72"/>
        <v>271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010F</v>
      </c>
      <c r="N686" s="69">
        <f t="shared" si="72"/>
        <v>271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010F</v>
      </c>
      <c r="N687" s="69">
        <f t="shared" si="72"/>
        <v>271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010F</v>
      </c>
      <c r="N688" s="69">
        <f t="shared" si="72"/>
        <v>271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010F</v>
      </c>
      <c r="N689" s="69">
        <f t="shared" si="72"/>
        <v>271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010F</v>
      </c>
      <c r="N690" s="69">
        <f t="shared" si="72"/>
        <v>271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010F</v>
      </c>
      <c r="N691" s="69">
        <f t="shared" si="72"/>
        <v>271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010F</v>
      </c>
      <c r="N692" s="69">
        <f t="shared" si="72"/>
        <v>271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010F</v>
      </c>
      <c r="N693" s="69">
        <f t="shared" si="72"/>
        <v>271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010F</v>
      </c>
      <c r="N694" s="69">
        <f t="shared" si="72"/>
        <v>271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010F</v>
      </c>
      <c r="N695" s="69">
        <f t="shared" si="72"/>
        <v>271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010F</v>
      </c>
      <c r="N696" s="69">
        <f t="shared" si="72"/>
        <v>271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010F</v>
      </c>
      <c r="N697" s="69">
        <f t="shared" si="72"/>
        <v>271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010F</v>
      </c>
      <c r="N698" s="69">
        <f t="shared" si="72"/>
        <v>271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010F</v>
      </c>
      <c r="N699" s="69">
        <f t="shared" si="72"/>
        <v>271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010F</v>
      </c>
      <c r="N700" s="69">
        <f t="shared" si="72"/>
        <v>271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010F</v>
      </c>
      <c r="N701" s="69">
        <f t="shared" si="72"/>
        <v>271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010F</v>
      </c>
      <c r="N702" s="69">
        <f t="shared" si="72"/>
        <v>271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010F</v>
      </c>
      <c r="N703" s="69">
        <f t="shared" si="72"/>
        <v>271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010F</v>
      </c>
      <c r="N704" s="69">
        <f t="shared" si="72"/>
        <v>271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010F</v>
      </c>
      <c r="N705" s="69">
        <f t="shared" si="72"/>
        <v>271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010F</v>
      </c>
      <c r="N706" s="69">
        <f t="shared" si="72"/>
        <v>271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010F</v>
      </c>
      <c r="N707" s="69">
        <f t="shared" si="72"/>
        <v>271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010F</v>
      </c>
      <c r="N708" s="69">
        <f t="shared" si="72"/>
        <v>271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010F</v>
      </c>
      <c r="N709" s="69">
        <f t="shared" si="72"/>
        <v>271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010F</v>
      </c>
      <c r="N710" s="69">
        <f t="shared" si="72"/>
        <v>271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010F</v>
      </c>
      <c r="N711" s="69">
        <f t="shared" si="72"/>
        <v>271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010F</v>
      </c>
      <c r="N712" s="69">
        <f t="shared" si="72"/>
        <v>271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010F</v>
      </c>
      <c r="N713" s="69">
        <f t="shared" si="72"/>
        <v>271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010F</v>
      </c>
      <c r="N714" s="69">
        <f t="shared" ref="N714:N777" si="76">N713+S713</f>
        <v>271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010F</v>
      </c>
      <c r="N715" s="69">
        <f t="shared" si="76"/>
        <v>271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010F</v>
      </c>
      <c r="N716" s="69">
        <f t="shared" si="76"/>
        <v>271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010F</v>
      </c>
      <c r="N717" s="69">
        <f t="shared" si="76"/>
        <v>271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010F</v>
      </c>
      <c r="N718" s="69">
        <f t="shared" si="76"/>
        <v>271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010F</v>
      </c>
      <c r="N719" s="69">
        <f t="shared" si="76"/>
        <v>271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010F</v>
      </c>
      <c r="N720" s="69">
        <f t="shared" si="76"/>
        <v>271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010F</v>
      </c>
      <c r="N721" s="69">
        <f t="shared" si="76"/>
        <v>271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010F</v>
      </c>
      <c r="N722" s="69">
        <f t="shared" si="76"/>
        <v>271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010F</v>
      </c>
      <c r="N723" s="69">
        <f t="shared" si="76"/>
        <v>271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010F</v>
      </c>
      <c r="N724" s="69">
        <f t="shared" si="76"/>
        <v>271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010F</v>
      </c>
      <c r="N725" s="69">
        <f t="shared" si="76"/>
        <v>271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010F</v>
      </c>
      <c r="N726" s="69">
        <f t="shared" si="76"/>
        <v>271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010F</v>
      </c>
      <c r="N727" s="69">
        <f t="shared" si="76"/>
        <v>271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010F</v>
      </c>
      <c r="N728" s="69">
        <f t="shared" si="76"/>
        <v>271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010F</v>
      </c>
      <c r="N729" s="69">
        <f t="shared" si="76"/>
        <v>271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010F</v>
      </c>
      <c r="N730" s="69">
        <f t="shared" si="76"/>
        <v>271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010F</v>
      </c>
      <c r="N731" s="69">
        <f t="shared" si="76"/>
        <v>271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010F</v>
      </c>
      <c r="N732" s="69">
        <f t="shared" si="76"/>
        <v>271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010F</v>
      </c>
      <c r="N733" s="69">
        <f t="shared" si="76"/>
        <v>271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010F</v>
      </c>
      <c r="N734" s="69">
        <f t="shared" si="76"/>
        <v>271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010F</v>
      </c>
      <c r="N735" s="69">
        <f t="shared" si="76"/>
        <v>271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010F</v>
      </c>
      <c r="N736" s="69">
        <f t="shared" si="76"/>
        <v>271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010F</v>
      </c>
      <c r="N737" s="69">
        <f t="shared" si="76"/>
        <v>271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010F</v>
      </c>
      <c r="N738" s="69">
        <f t="shared" si="76"/>
        <v>271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010F</v>
      </c>
      <c r="N739" s="69">
        <f t="shared" si="76"/>
        <v>271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010F</v>
      </c>
      <c r="N740" s="69">
        <f t="shared" si="76"/>
        <v>271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010F</v>
      </c>
      <c r="N741" s="69">
        <f t="shared" si="76"/>
        <v>271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010F</v>
      </c>
      <c r="N742" s="69">
        <f t="shared" si="76"/>
        <v>271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010F</v>
      </c>
      <c r="N743" s="69">
        <f t="shared" si="76"/>
        <v>271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010F</v>
      </c>
      <c r="N744" s="69">
        <f t="shared" si="76"/>
        <v>271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010F</v>
      </c>
      <c r="N745" s="69">
        <f t="shared" si="76"/>
        <v>271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010F</v>
      </c>
      <c r="N746" s="69">
        <f t="shared" si="76"/>
        <v>271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010F</v>
      </c>
      <c r="N747" s="69">
        <f t="shared" si="76"/>
        <v>271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010F</v>
      </c>
      <c r="N748" s="69">
        <f t="shared" si="76"/>
        <v>271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010F</v>
      </c>
      <c r="N749" s="69">
        <f t="shared" si="76"/>
        <v>271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010F</v>
      </c>
      <c r="N750" s="69">
        <f t="shared" si="76"/>
        <v>271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010F</v>
      </c>
      <c r="N751" s="69">
        <f t="shared" si="76"/>
        <v>271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010F</v>
      </c>
      <c r="N752" s="69">
        <f t="shared" si="76"/>
        <v>271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010F</v>
      </c>
      <c r="N753" s="69">
        <f t="shared" si="76"/>
        <v>271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010F</v>
      </c>
      <c r="N754" s="69">
        <f t="shared" si="76"/>
        <v>271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010F</v>
      </c>
      <c r="N755" s="69">
        <f t="shared" si="76"/>
        <v>271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010F</v>
      </c>
      <c r="N756" s="69">
        <f t="shared" si="76"/>
        <v>271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010F</v>
      </c>
      <c r="N757" s="69">
        <f t="shared" si="76"/>
        <v>271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010F</v>
      </c>
      <c r="N758" s="69">
        <f t="shared" si="76"/>
        <v>271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010F</v>
      </c>
      <c r="N759" s="69">
        <f t="shared" si="76"/>
        <v>271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010F</v>
      </c>
      <c r="N760" s="69">
        <f t="shared" si="76"/>
        <v>271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010F</v>
      </c>
      <c r="N761" s="69">
        <f t="shared" si="76"/>
        <v>271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010F</v>
      </c>
      <c r="N762" s="69">
        <f t="shared" si="76"/>
        <v>271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010F</v>
      </c>
      <c r="N763" s="69">
        <f t="shared" si="76"/>
        <v>271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010F</v>
      </c>
      <c r="N764" s="69">
        <f t="shared" si="76"/>
        <v>271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010F</v>
      </c>
      <c r="N765" s="69">
        <f t="shared" si="76"/>
        <v>271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010F</v>
      </c>
      <c r="N766" s="69">
        <f t="shared" si="76"/>
        <v>271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010F</v>
      </c>
      <c r="N767" s="69">
        <f t="shared" si="76"/>
        <v>271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010F</v>
      </c>
      <c r="N768" s="69">
        <f t="shared" si="76"/>
        <v>271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010F</v>
      </c>
      <c r="N769" s="69">
        <f t="shared" si="76"/>
        <v>271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010F</v>
      </c>
      <c r="N770" s="69">
        <f t="shared" si="76"/>
        <v>271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010F</v>
      </c>
      <c r="N771" s="69">
        <f t="shared" si="76"/>
        <v>271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010F</v>
      </c>
      <c r="N772" s="69">
        <f t="shared" si="76"/>
        <v>271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010F</v>
      </c>
      <c r="N773" s="69">
        <f t="shared" si="76"/>
        <v>271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010F</v>
      </c>
      <c r="N774" s="69">
        <f t="shared" si="76"/>
        <v>271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010F</v>
      </c>
      <c r="N775" s="69">
        <f t="shared" si="76"/>
        <v>271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010F</v>
      </c>
      <c r="N776" s="69">
        <f t="shared" si="76"/>
        <v>271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010F</v>
      </c>
      <c r="N777" s="69">
        <f t="shared" si="76"/>
        <v>271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010F</v>
      </c>
      <c r="N778" s="69">
        <f t="shared" ref="N778:N841" si="80">N777+S777</f>
        <v>271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010F</v>
      </c>
      <c r="N779" s="69">
        <f t="shared" si="80"/>
        <v>271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010F</v>
      </c>
      <c r="N780" s="69">
        <f t="shared" si="80"/>
        <v>271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010F</v>
      </c>
      <c r="N781" s="69">
        <f t="shared" si="80"/>
        <v>271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010F</v>
      </c>
      <c r="N782" s="69">
        <f t="shared" si="80"/>
        <v>271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010F</v>
      </c>
      <c r="N783" s="69">
        <f t="shared" si="80"/>
        <v>271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010F</v>
      </c>
      <c r="N784" s="69">
        <f t="shared" si="80"/>
        <v>271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010F</v>
      </c>
      <c r="N785" s="69">
        <f t="shared" si="80"/>
        <v>271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010F</v>
      </c>
      <c r="N786" s="69">
        <f t="shared" si="80"/>
        <v>271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010F</v>
      </c>
      <c r="N787" s="69">
        <f t="shared" si="80"/>
        <v>271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010F</v>
      </c>
      <c r="N788" s="69">
        <f t="shared" si="80"/>
        <v>271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010F</v>
      </c>
      <c r="N789" s="69">
        <f t="shared" si="80"/>
        <v>271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010F</v>
      </c>
      <c r="N790" s="69">
        <f t="shared" si="80"/>
        <v>271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010F</v>
      </c>
      <c r="N791" s="69">
        <f t="shared" si="80"/>
        <v>271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010F</v>
      </c>
      <c r="N792" s="69">
        <f t="shared" si="80"/>
        <v>271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010F</v>
      </c>
      <c r="N793" s="69">
        <f t="shared" si="80"/>
        <v>271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010F</v>
      </c>
      <c r="N794" s="69">
        <f t="shared" si="80"/>
        <v>271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010F</v>
      </c>
      <c r="N795" s="69">
        <f t="shared" si="80"/>
        <v>271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010F</v>
      </c>
      <c r="N796" s="69">
        <f t="shared" si="80"/>
        <v>271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010F</v>
      </c>
      <c r="N797" s="69">
        <f t="shared" si="80"/>
        <v>271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010F</v>
      </c>
      <c r="N798" s="69">
        <f t="shared" si="80"/>
        <v>271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010F</v>
      </c>
      <c r="N799" s="69">
        <f t="shared" si="80"/>
        <v>271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010F</v>
      </c>
      <c r="N800" s="69">
        <f t="shared" si="80"/>
        <v>271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010F</v>
      </c>
      <c r="N801" s="69">
        <f t="shared" si="80"/>
        <v>271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010F</v>
      </c>
      <c r="N802" s="69">
        <f t="shared" si="80"/>
        <v>271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010F</v>
      </c>
      <c r="N803" s="69">
        <f t="shared" si="80"/>
        <v>271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010F</v>
      </c>
      <c r="N804" s="69">
        <f t="shared" si="80"/>
        <v>271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010F</v>
      </c>
      <c r="N805" s="69">
        <f t="shared" si="80"/>
        <v>271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010F</v>
      </c>
      <c r="N806" s="69">
        <f t="shared" si="80"/>
        <v>271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010F</v>
      </c>
      <c r="N807" s="69">
        <f t="shared" si="80"/>
        <v>271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010F</v>
      </c>
      <c r="N808" s="69">
        <f t="shared" si="80"/>
        <v>271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010F</v>
      </c>
      <c r="N809" s="69">
        <f t="shared" si="80"/>
        <v>271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010F</v>
      </c>
      <c r="N810" s="69">
        <f t="shared" si="80"/>
        <v>271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010F</v>
      </c>
      <c r="N811" s="69">
        <f t="shared" si="80"/>
        <v>271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010F</v>
      </c>
      <c r="N812" s="69">
        <f t="shared" si="80"/>
        <v>271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010F</v>
      </c>
      <c r="N813" s="69">
        <f t="shared" si="80"/>
        <v>271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010F</v>
      </c>
      <c r="N814" s="69">
        <f t="shared" si="80"/>
        <v>271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010F</v>
      </c>
      <c r="N815" s="69">
        <f t="shared" si="80"/>
        <v>271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010F</v>
      </c>
      <c r="N816" s="69">
        <f t="shared" si="80"/>
        <v>271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010F</v>
      </c>
      <c r="N817" s="69">
        <f t="shared" si="80"/>
        <v>271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010F</v>
      </c>
      <c r="N818" s="69">
        <f t="shared" si="80"/>
        <v>271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010F</v>
      </c>
      <c r="N819" s="69">
        <f t="shared" si="80"/>
        <v>271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010F</v>
      </c>
      <c r="N820" s="69">
        <f t="shared" si="80"/>
        <v>271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010F</v>
      </c>
      <c r="N821" s="69">
        <f t="shared" si="80"/>
        <v>271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010F</v>
      </c>
      <c r="N822" s="69">
        <f t="shared" si="80"/>
        <v>271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010F</v>
      </c>
      <c r="N823" s="69">
        <f t="shared" si="80"/>
        <v>271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010F</v>
      </c>
      <c r="N824" s="69">
        <f t="shared" si="80"/>
        <v>271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010F</v>
      </c>
      <c r="N825" s="69">
        <f t="shared" si="80"/>
        <v>271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010F</v>
      </c>
      <c r="N826" s="69">
        <f t="shared" si="80"/>
        <v>271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010F</v>
      </c>
      <c r="N827" s="69">
        <f t="shared" si="80"/>
        <v>271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010F</v>
      </c>
      <c r="N828" s="69">
        <f t="shared" si="80"/>
        <v>271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010F</v>
      </c>
      <c r="N829" s="69">
        <f t="shared" si="80"/>
        <v>271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010F</v>
      </c>
      <c r="N830" s="69">
        <f t="shared" si="80"/>
        <v>271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010F</v>
      </c>
      <c r="N831" s="69">
        <f t="shared" si="80"/>
        <v>271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010F</v>
      </c>
      <c r="N832" s="69">
        <f t="shared" si="80"/>
        <v>271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010F</v>
      </c>
      <c r="N833" s="69">
        <f t="shared" si="80"/>
        <v>271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010F</v>
      </c>
      <c r="N834" s="69">
        <f t="shared" si="80"/>
        <v>271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010F</v>
      </c>
      <c r="N835" s="69">
        <f t="shared" si="80"/>
        <v>271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010F</v>
      </c>
      <c r="N836" s="69">
        <f t="shared" si="80"/>
        <v>271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010F</v>
      </c>
      <c r="N837" s="69">
        <f t="shared" si="80"/>
        <v>271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010F</v>
      </c>
      <c r="N838" s="69">
        <f t="shared" si="80"/>
        <v>271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010F</v>
      </c>
      <c r="N839" s="69">
        <f t="shared" si="80"/>
        <v>271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010F</v>
      </c>
      <c r="N840" s="69">
        <f t="shared" si="80"/>
        <v>271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010F</v>
      </c>
      <c r="N841" s="69">
        <f t="shared" si="80"/>
        <v>271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010F</v>
      </c>
      <c r="N842" s="69">
        <f t="shared" ref="N842:N905" si="84">N841+S841</f>
        <v>271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010F</v>
      </c>
      <c r="N843" s="69">
        <f t="shared" si="84"/>
        <v>271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010F</v>
      </c>
      <c r="N844" s="69">
        <f t="shared" si="84"/>
        <v>271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010F</v>
      </c>
      <c r="N845" s="69">
        <f t="shared" si="84"/>
        <v>271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010F</v>
      </c>
      <c r="N846" s="69">
        <f t="shared" si="84"/>
        <v>271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010F</v>
      </c>
      <c r="N847" s="69">
        <f t="shared" si="84"/>
        <v>271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010F</v>
      </c>
      <c r="N848" s="69">
        <f t="shared" si="84"/>
        <v>271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010F</v>
      </c>
      <c r="N849" s="69">
        <f t="shared" si="84"/>
        <v>271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010F</v>
      </c>
      <c r="N850" s="69">
        <f t="shared" si="84"/>
        <v>271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010F</v>
      </c>
      <c r="N851" s="69">
        <f t="shared" si="84"/>
        <v>271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010F</v>
      </c>
      <c r="N852" s="69">
        <f t="shared" si="84"/>
        <v>271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010F</v>
      </c>
      <c r="N853" s="69">
        <f t="shared" si="84"/>
        <v>271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010F</v>
      </c>
      <c r="N854" s="69">
        <f t="shared" si="84"/>
        <v>271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010F</v>
      </c>
      <c r="N855" s="69">
        <f t="shared" si="84"/>
        <v>271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010F</v>
      </c>
      <c r="N856" s="69">
        <f t="shared" si="84"/>
        <v>271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010F</v>
      </c>
      <c r="N857" s="69">
        <f t="shared" si="84"/>
        <v>271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010F</v>
      </c>
      <c r="N858" s="69">
        <f t="shared" si="84"/>
        <v>271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010F</v>
      </c>
      <c r="N859" s="69">
        <f t="shared" si="84"/>
        <v>271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010F</v>
      </c>
      <c r="N860" s="69">
        <f t="shared" si="84"/>
        <v>271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010F</v>
      </c>
      <c r="N861" s="69">
        <f t="shared" si="84"/>
        <v>271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010F</v>
      </c>
      <c r="N862" s="69">
        <f t="shared" si="84"/>
        <v>271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010F</v>
      </c>
      <c r="N863" s="69">
        <f t="shared" si="84"/>
        <v>271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010F</v>
      </c>
      <c r="N864" s="69">
        <f t="shared" si="84"/>
        <v>271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010F</v>
      </c>
      <c r="N865" s="69">
        <f t="shared" si="84"/>
        <v>271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010F</v>
      </c>
      <c r="N866" s="69">
        <f t="shared" si="84"/>
        <v>271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010F</v>
      </c>
      <c r="N867" s="69">
        <f t="shared" si="84"/>
        <v>271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010F</v>
      </c>
      <c r="N868" s="69">
        <f t="shared" si="84"/>
        <v>271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010F</v>
      </c>
      <c r="N869" s="69">
        <f t="shared" si="84"/>
        <v>271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010F</v>
      </c>
      <c r="N870" s="69">
        <f t="shared" si="84"/>
        <v>271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010F</v>
      </c>
      <c r="N871" s="69">
        <f t="shared" si="84"/>
        <v>271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010F</v>
      </c>
      <c r="N872" s="69">
        <f t="shared" si="84"/>
        <v>271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010F</v>
      </c>
      <c r="N873" s="69">
        <f t="shared" si="84"/>
        <v>271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010F</v>
      </c>
      <c r="N874" s="69">
        <f t="shared" si="84"/>
        <v>271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010F</v>
      </c>
      <c r="N875" s="69">
        <f t="shared" si="84"/>
        <v>271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010F</v>
      </c>
      <c r="N876" s="69">
        <f t="shared" si="84"/>
        <v>271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010F</v>
      </c>
      <c r="N877" s="69">
        <f t="shared" si="84"/>
        <v>271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010F</v>
      </c>
      <c r="N878" s="69">
        <f t="shared" si="84"/>
        <v>271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010F</v>
      </c>
      <c r="N879" s="69">
        <f t="shared" si="84"/>
        <v>271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010F</v>
      </c>
      <c r="N880" s="69">
        <f t="shared" si="84"/>
        <v>271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010F</v>
      </c>
      <c r="N881" s="69">
        <f t="shared" si="84"/>
        <v>271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010F</v>
      </c>
      <c r="N882" s="69">
        <f t="shared" si="84"/>
        <v>271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010F</v>
      </c>
      <c r="N883" s="69">
        <f t="shared" si="84"/>
        <v>271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010F</v>
      </c>
      <c r="N884" s="69">
        <f t="shared" si="84"/>
        <v>271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010F</v>
      </c>
      <c r="N885" s="69">
        <f t="shared" si="84"/>
        <v>271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010F</v>
      </c>
      <c r="N886" s="69">
        <f t="shared" si="84"/>
        <v>271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010F</v>
      </c>
      <c r="N887" s="69">
        <f t="shared" si="84"/>
        <v>271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010F</v>
      </c>
      <c r="N888" s="69">
        <f t="shared" si="84"/>
        <v>271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010F</v>
      </c>
      <c r="N889" s="69">
        <f t="shared" si="84"/>
        <v>271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010F</v>
      </c>
      <c r="N890" s="69">
        <f t="shared" si="84"/>
        <v>271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010F</v>
      </c>
      <c r="N891" s="69">
        <f t="shared" si="84"/>
        <v>271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010F</v>
      </c>
      <c r="N892" s="69">
        <f t="shared" si="84"/>
        <v>271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010F</v>
      </c>
      <c r="N893" s="69">
        <f t="shared" si="84"/>
        <v>271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010F</v>
      </c>
      <c r="N894" s="69">
        <f t="shared" si="84"/>
        <v>271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010F</v>
      </c>
      <c r="N895" s="69">
        <f t="shared" si="84"/>
        <v>271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010F</v>
      </c>
      <c r="N896" s="69">
        <f t="shared" si="84"/>
        <v>271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010F</v>
      </c>
      <c r="N897" s="69">
        <f t="shared" si="84"/>
        <v>271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010F</v>
      </c>
      <c r="N898" s="69">
        <f t="shared" si="84"/>
        <v>271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010F</v>
      </c>
      <c r="N899" s="69">
        <f t="shared" si="84"/>
        <v>271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010F</v>
      </c>
      <c r="N900" s="69">
        <f t="shared" si="84"/>
        <v>271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010F</v>
      </c>
      <c r="N901" s="69">
        <f t="shared" si="84"/>
        <v>271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010F</v>
      </c>
      <c r="N902" s="69">
        <f t="shared" si="84"/>
        <v>271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010F</v>
      </c>
      <c r="N903" s="69">
        <f t="shared" si="84"/>
        <v>271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010F</v>
      </c>
      <c r="N904" s="69">
        <f t="shared" si="84"/>
        <v>271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010F</v>
      </c>
      <c r="N905" s="69">
        <f t="shared" si="84"/>
        <v>271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010F</v>
      </c>
      <c r="N906" s="69">
        <f t="shared" ref="N906:N969" si="88">N905+S905</f>
        <v>271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010F</v>
      </c>
      <c r="N907" s="69">
        <f t="shared" si="88"/>
        <v>271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010F</v>
      </c>
      <c r="N908" s="69">
        <f t="shared" si="88"/>
        <v>271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010F</v>
      </c>
      <c r="N909" s="69">
        <f t="shared" si="88"/>
        <v>271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010F</v>
      </c>
      <c r="N910" s="69">
        <f t="shared" si="88"/>
        <v>271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010F</v>
      </c>
      <c r="N911" s="69">
        <f t="shared" si="88"/>
        <v>271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010F</v>
      </c>
      <c r="N912" s="69">
        <f t="shared" si="88"/>
        <v>271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010F</v>
      </c>
      <c r="N913" s="69">
        <f t="shared" si="88"/>
        <v>271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010F</v>
      </c>
      <c r="N914" s="69">
        <f t="shared" si="88"/>
        <v>271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010F</v>
      </c>
      <c r="N915" s="69">
        <f t="shared" si="88"/>
        <v>271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010F</v>
      </c>
      <c r="N916" s="69">
        <f t="shared" si="88"/>
        <v>271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010F</v>
      </c>
      <c r="N917" s="69">
        <f t="shared" si="88"/>
        <v>271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010F</v>
      </c>
      <c r="N918" s="69">
        <f t="shared" si="88"/>
        <v>271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010F</v>
      </c>
      <c r="N919" s="69">
        <f t="shared" si="88"/>
        <v>271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010F</v>
      </c>
      <c r="N920" s="69">
        <f t="shared" si="88"/>
        <v>271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010F</v>
      </c>
      <c r="N921" s="69">
        <f t="shared" si="88"/>
        <v>271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010F</v>
      </c>
      <c r="N922" s="69">
        <f t="shared" si="88"/>
        <v>271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010F</v>
      </c>
      <c r="N923" s="69">
        <f t="shared" si="88"/>
        <v>271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010F</v>
      </c>
      <c r="N924" s="69">
        <f t="shared" si="88"/>
        <v>271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010F</v>
      </c>
      <c r="N925" s="69">
        <f t="shared" si="88"/>
        <v>271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010F</v>
      </c>
      <c r="N926" s="69">
        <f t="shared" si="88"/>
        <v>271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010F</v>
      </c>
      <c r="N927" s="69">
        <f t="shared" si="88"/>
        <v>271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010F</v>
      </c>
      <c r="N928" s="69">
        <f t="shared" si="88"/>
        <v>271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010F</v>
      </c>
      <c r="N929" s="69">
        <f t="shared" si="88"/>
        <v>271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010F</v>
      </c>
      <c r="N930" s="69">
        <f t="shared" si="88"/>
        <v>271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010F</v>
      </c>
      <c r="N931" s="69">
        <f t="shared" si="88"/>
        <v>271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010F</v>
      </c>
      <c r="N932" s="69">
        <f t="shared" si="88"/>
        <v>271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010F</v>
      </c>
      <c r="N933" s="69">
        <f t="shared" si="88"/>
        <v>271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010F</v>
      </c>
      <c r="N934" s="69">
        <f t="shared" si="88"/>
        <v>271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010F</v>
      </c>
      <c r="N935" s="69">
        <f t="shared" si="88"/>
        <v>271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010F</v>
      </c>
      <c r="N936" s="69">
        <f t="shared" si="88"/>
        <v>271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010F</v>
      </c>
      <c r="N937" s="69">
        <f t="shared" si="88"/>
        <v>271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010F</v>
      </c>
      <c r="N938" s="69">
        <f t="shared" si="88"/>
        <v>271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010F</v>
      </c>
      <c r="N939" s="69">
        <f t="shared" si="88"/>
        <v>271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010F</v>
      </c>
      <c r="N940" s="69">
        <f t="shared" si="88"/>
        <v>271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010F</v>
      </c>
      <c r="N941" s="69">
        <f t="shared" si="88"/>
        <v>271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010F</v>
      </c>
      <c r="N942" s="69">
        <f t="shared" si="88"/>
        <v>271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010F</v>
      </c>
      <c r="N943" s="69">
        <f t="shared" si="88"/>
        <v>271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010F</v>
      </c>
      <c r="N944" s="69">
        <f t="shared" si="88"/>
        <v>271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010F</v>
      </c>
      <c r="N945" s="69">
        <f t="shared" si="88"/>
        <v>271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010F</v>
      </c>
      <c r="N946" s="69">
        <f t="shared" si="88"/>
        <v>271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010F</v>
      </c>
      <c r="N947" s="69">
        <f t="shared" si="88"/>
        <v>271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010F</v>
      </c>
      <c r="N948" s="69">
        <f t="shared" si="88"/>
        <v>271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010F</v>
      </c>
      <c r="N949" s="69">
        <f t="shared" si="88"/>
        <v>271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010F</v>
      </c>
      <c r="N950" s="69">
        <f t="shared" si="88"/>
        <v>271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010F</v>
      </c>
      <c r="N951" s="69">
        <f t="shared" si="88"/>
        <v>271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010F</v>
      </c>
      <c r="N952" s="69">
        <f t="shared" si="88"/>
        <v>271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010F</v>
      </c>
      <c r="N953" s="69">
        <f t="shared" si="88"/>
        <v>271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010F</v>
      </c>
      <c r="N954" s="69">
        <f t="shared" si="88"/>
        <v>271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010F</v>
      </c>
      <c r="N955" s="69">
        <f t="shared" si="88"/>
        <v>271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010F</v>
      </c>
      <c r="N956" s="69">
        <f t="shared" si="88"/>
        <v>271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010F</v>
      </c>
      <c r="N957" s="69">
        <f t="shared" si="88"/>
        <v>271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010F</v>
      </c>
      <c r="N958" s="69">
        <f t="shared" si="88"/>
        <v>271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010F</v>
      </c>
      <c r="N959" s="69">
        <f t="shared" si="88"/>
        <v>271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010F</v>
      </c>
      <c r="N960" s="69">
        <f t="shared" si="88"/>
        <v>271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010F</v>
      </c>
      <c r="N961" s="69">
        <f t="shared" si="88"/>
        <v>271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010F</v>
      </c>
      <c r="N962" s="69">
        <f t="shared" si="88"/>
        <v>271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010F</v>
      </c>
      <c r="N963" s="69">
        <f t="shared" si="88"/>
        <v>271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010F</v>
      </c>
      <c r="N964" s="69">
        <f t="shared" si="88"/>
        <v>271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010F</v>
      </c>
      <c r="N965" s="69">
        <f t="shared" si="88"/>
        <v>271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010F</v>
      </c>
      <c r="N966" s="69">
        <f t="shared" si="88"/>
        <v>271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010F</v>
      </c>
      <c r="N967" s="69">
        <f t="shared" si="88"/>
        <v>271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010F</v>
      </c>
      <c r="N968" s="69">
        <f t="shared" si="88"/>
        <v>271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010F</v>
      </c>
      <c r="N969" s="69">
        <f t="shared" si="88"/>
        <v>271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010F</v>
      </c>
      <c r="N970" s="69">
        <f t="shared" ref="N970:N1033" si="92">N969+S969</f>
        <v>271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010F</v>
      </c>
      <c r="N971" s="69">
        <f t="shared" si="92"/>
        <v>271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010F</v>
      </c>
      <c r="N972" s="69">
        <f t="shared" si="92"/>
        <v>271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010F</v>
      </c>
      <c r="N973" s="69">
        <f t="shared" si="92"/>
        <v>271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010F</v>
      </c>
      <c r="N974" s="69">
        <f t="shared" si="92"/>
        <v>271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010F</v>
      </c>
      <c r="N975" s="69">
        <f t="shared" si="92"/>
        <v>271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010F</v>
      </c>
      <c r="N976" s="69">
        <f t="shared" si="92"/>
        <v>271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010F</v>
      </c>
      <c r="N977" s="69">
        <f t="shared" si="92"/>
        <v>271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010F</v>
      </c>
      <c r="N978" s="69">
        <f t="shared" si="92"/>
        <v>271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010F</v>
      </c>
      <c r="N979" s="69">
        <f t="shared" si="92"/>
        <v>271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010F</v>
      </c>
      <c r="N980" s="69">
        <f t="shared" si="92"/>
        <v>271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010F</v>
      </c>
      <c r="N981" s="69">
        <f t="shared" si="92"/>
        <v>271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010F</v>
      </c>
      <c r="N982" s="69">
        <f t="shared" si="92"/>
        <v>271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010F</v>
      </c>
      <c r="N983" s="69">
        <f t="shared" si="92"/>
        <v>271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010F</v>
      </c>
      <c r="N984" s="69">
        <f t="shared" si="92"/>
        <v>271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010F</v>
      </c>
      <c r="N985" s="69">
        <f t="shared" si="92"/>
        <v>271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010F</v>
      </c>
      <c r="N986" s="69">
        <f t="shared" si="92"/>
        <v>271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010F</v>
      </c>
      <c r="N987" s="69">
        <f t="shared" si="92"/>
        <v>271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010F</v>
      </c>
      <c r="N988" s="69">
        <f t="shared" si="92"/>
        <v>271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010F</v>
      </c>
      <c r="N989" s="69">
        <f t="shared" si="92"/>
        <v>271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010F</v>
      </c>
      <c r="N990" s="69">
        <f t="shared" si="92"/>
        <v>271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010F</v>
      </c>
      <c r="N991" s="69">
        <f t="shared" si="92"/>
        <v>271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010F</v>
      </c>
      <c r="N992" s="69">
        <f t="shared" si="92"/>
        <v>271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010F</v>
      </c>
      <c r="N993" s="69">
        <f t="shared" si="92"/>
        <v>271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010F</v>
      </c>
      <c r="N994" s="69">
        <f t="shared" si="92"/>
        <v>271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010F</v>
      </c>
      <c r="N995" s="69">
        <f t="shared" si="92"/>
        <v>271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010F</v>
      </c>
      <c r="N996" s="69">
        <f t="shared" si="92"/>
        <v>271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010F</v>
      </c>
      <c r="N997" s="69">
        <f t="shared" si="92"/>
        <v>271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010F</v>
      </c>
      <c r="N998" s="69">
        <f t="shared" si="92"/>
        <v>271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010F</v>
      </c>
      <c r="N999" s="69">
        <f t="shared" si="92"/>
        <v>271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010F</v>
      </c>
      <c r="N1000" s="69">
        <f t="shared" si="92"/>
        <v>271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010F</v>
      </c>
      <c r="N1001" s="69">
        <f t="shared" si="92"/>
        <v>271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010F</v>
      </c>
      <c r="N1002" s="69">
        <f t="shared" si="92"/>
        <v>271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010F</v>
      </c>
      <c r="N1003" s="69">
        <f t="shared" si="92"/>
        <v>271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010F</v>
      </c>
      <c r="N1004" s="69">
        <f t="shared" si="92"/>
        <v>271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010F</v>
      </c>
      <c r="N1005" s="69">
        <f t="shared" si="92"/>
        <v>271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010F</v>
      </c>
      <c r="N1006" s="69">
        <f t="shared" si="92"/>
        <v>271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010F</v>
      </c>
      <c r="N1007" s="69">
        <f t="shared" si="92"/>
        <v>271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010F</v>
      </c>
      <c r="N1008" s="69">
        <f t="shared" si="92"/>
        <v>271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010F</v>
      </c>
      <c r="N1009" s="69">
        <f t="shared" si="92"/>
        <v>271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010F</v>
      </c>
      <c r="N1010" s="69">
        <f t="shared" si="92"/>
        <v>271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010F</v>
      </c>
      <c r="N1011" s="69">
        <f t="shared" si="92"/>
        <v>271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010F</v>
      </c>
      <c r="N1012" s="69">
        <f t="shared" si="92"/>
        <v>271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010F</v>
      </c>
      <c r="N1013" s="69">
        <f t="shared" si="92"/>
        <v>271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010F</v>
      </c>
      <c r="N1014" s="69">
        <f t="shared" si="92"/>
        <v>271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010F</v>
      </c>
      <c r="N1015" s="69">
        <f t="shared" si="92"/>
        <v>271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010F</v>
      </c>
      <c r="N1016" s="69">
        <f t="shared" si="92"/>
        <v>271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010F</v>
      </c>
      <c r="N1017" s="69">
        <f t="shared" si="92"/>
        <v>271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010F</v>
      </c>
      <c r="N1018" s="69">
        <f t="shared" si="92"/>
        <v>271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010F</v>
      </c>
      <c r="N1019" s="69">
        <f t="shared" si="92"/>
        <v>271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010F</v>
      </c>
      <c r="N1020" s="69">
        <f t="shared" si="92"/>
        <v>271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010F</v>
      </c>
      <c r="N1021" s="69">
        <f t="shared" si="92"/>
        <v>271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010F</v>
      </c>
      <c r="N1022" s="69">
        <f t="shared" si="92"/>
        <v>271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010F</v>
      </c>
      <c r="N1023" s="69">
        <f t="shared" si="92"/>
        <v>271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010F</v>
      </c>
      <c r="N1024" s="69">
        <f t="shared" si="92"/>
        <v>271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010F</v>
      </c>
      <c r="N1025" s="69">
        <f t="shared" si="92"/>
        <v>271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010F</v>
      </c>
      <c r="N1026" s="69">
        <f t="shared" si="92"/>
        <v>271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010F</v>
      </c>
      <c r="N1027" s="69">
        <f t="shared" si="92"/>
        <v>271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010F</v>
      </c>
      <c r="N1028" s="69">
        <f t="shared" si="92"/>
        <v>271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010F</v>
      </c>
      <c r="N1029" s="69">
        <f t="shared" si="92"/>
        <v>271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010F</v>
      </c>
      <c r="N1030" s="69">
        <f t="shared" si="92"/>
        <v>271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010F</v>
      </c>
      <c r="N1031" s="69">
        <f t="shared" si="92"/>
        <v>271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010F</v>
      </c>
      <c r="N1032" s="69">
        <f t="shared" si="92"/>
        <v>271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010F</v>
      </c>
      <c r="N1033" s="69">
        <f t="shared" si="92"/>
        <v>271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010F</v>
      </c>
      <c r="N1034" s="69">
        <f t="shared" ref="N1034:N1070" si="95">N1033+S1033</f>
        <v>271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010F</v>
      </c>
      <c r="N1035" s="69">
        <f t="shared" si="95"/>
        <v>271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010F</v>
      </c>
      <c r="N1036" s="69">
        <f t="shared" si="95"/>
        <v>271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010F</v>
      </c>
      <c r="N1037" s="69">
        <f t="shared" si="95"/>
        <v>271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010F</v>
      </c>
      <c r="N1038" s="69">
        <f t="shared" si="95"/>
        <v>271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010F</v>
      </c>
      <c r="N1039" s="69">
        <f t="shared" si="95"/>
        <v>271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010F</v>
      </c>
      <c r="N1040" s="69">
        <f t="shared" si="95"/>
        <v>271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010F</v>
      </c>
      <c r="N1041" s="69">
        <f t="shared" si="95"/>
        <v>271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010F</v>
      </c>
      <c r="N1042" s="69">
        <f t="shared" si="95"/>
        <v>271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010F</v>
      </c>
      <c r="N1043" s="69">
        <f t="shared" si="95"/>
        <v>271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010F</v>
      </c>
      <c r="N1044" s="69">
        <f t="shared" si="95"/>
        <v>271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010F</v>
      </c>
      <c r="N1045" s="69">
        <f t="shared" si="95"/>
        <v>271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010F</v>
      </c>
      <c r="N1046" s="69">
        <f t="shared" si="95"/>
        <v>271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010F</v>
      </c>
      <c r="N1047" s="69">
        <f t="shared" si="95"/>
        <v>271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010F</v>
      </c>
      <c r="N1048" s="69">
        <f t="shared" si="95"/>
        <v>271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010F</v>
      </c>
      <c r="N1049" s="69">
        <f t="shared" si="95"/>
        <v>271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010F</v>
      </c>
      <c r="N1050" s="69">
        <f t="shared" si="95"/>
        <v>271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010F</v>
      </c>
      <c r="N1051" s="69">
        <f t="shared" si="95"/>
        <v>271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010F</v>
      </c>
      <c r="N1052" s="69">
        <f t="shared" si="95"/>
        <v>271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010F</v>
      </c>
      <c r="N1053" s="69">
        <f t="shared" si="95"/>
        <v>271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010F</v>
      </c>
      <c r="N1054" s="69">
        <f t="shared" si="95"/>
        <v>271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010F</v>
      </c>
      <c r="N1055" s="69">
        <f t="shared" si="95"/>
        <v>271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010F</v>
      </c>
      <c r="N1056" s="69">
        <f t="shared" si="95"/>
        <v>271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010F</v>
      </c>
      <c r="N1057" s="69">
        <f t="shared" si="95"/>
        <v>271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010F</v>
      </c>
      <c r="N1058" s="69">
        <f t="shared" si="95"/>
        <v>271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010F</v>
      </c>
      <c r="N1059" s="69">
        <f t="shared" si="95"/>
        <v>271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010F</v>
      </c>
      <c r="N1060" s="69">
        <f t="shared" si="95"/>
        <v>271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010F</v>
      </c>
      <c r="N1061" s="69">
        <f t="shared" si="95"/>
        <v>271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010F</v>
      </c>
      <c r="N1062" s="69">
        <f t="shared" si="95"/>
        <v>271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010F</v>
      </c>
      <c r="N1063" s="69">
        <f t="shared" si="95"/>
        <v>271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010F</v>
      </c>
      <c r="N1064" s="69">
        <f t="shared" si="95"/>
        <v>271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010F</v>
      </c>
      <c r="N1065" s="69">
        <f t="shared" si="95"/>
        <v>271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010F</v>
      </c>
      <c r="N1066" s="69">
        <f t="shared" si="95"/>
        <v>271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010F</v>
      </c>
      <c r="N1067" s="69">
        <f t="shared" si="95"/>
        <v>271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010F</v>
      </c>
      <c r="N1068" s="69">
        <f t="shared" si="95"/>
        <v>271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010F</v>
      </c>
      <c r="N1069" s="69">
        <f t="shared" si="95"/>
        <v>271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010F</v>
      </c>
      <c r="N1070" s="133">
        <f t="shared" si="95"/>
        <v>271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3" priority="50" operator="equal">
      <formula>0</formula>
    </cfRule>
    <cfRule type="cellIs" dxfId="692" priority="51" operator="greaterThan">
      <formula>0</formula>
    </cfRule>
  </conditionalFormatting>
  <conditionalFormatting sqref="F1:W1">
    <cfRule type="containsText" dxfId="691" priority="41" operator="containsText" text="Halted">
      <formula>NOT(ISERROR(SEARCH("Halted",F1)))</formula>
    </cfRule>
    <cfRule type="containsText" dxfId="690" priority="48" operator="containsText" text="Error">
      <formula>NOT(ISERROR(SEARCH("Error",F1)))</formula>
    </cfRule>
    <cfRule type="expression" dxfId="689" priority="49">
      <formula>$F$1&lt;&gt;""</formula>
    </cfRule>
  </conditionalFormatting>
  <conditionalFormatting sqref="P41:R1070">
    <cfRule type="expression" dxfId="688" priority="73">
      <formula>$N41=$E$13</formula>
    </cfRule>
  </conditionalFormatting>
  <conditionalFormatting sqref="M7:T7 M8:N1070 M41:R1070">
    <cfRule type="containsText" dxfId="687" priority="29" operator="containsText" text=" ">
      <formula>NOT(ISERROR(SEARCH(" ",M7)))</formula>
    </cfRule>
  </conditionalFormatting>
  <conditionalFormatting sqref="AL5:AM5">
    <cfRule type="cellIs" dxfId="686" priority="27" operator="equal">
      <formula>0</formula>
    </cfRule>
    <cfRule type="cellIs" dxfId="685" priority="28" operator="equal">
      <formula>1</formula>
    </cfRule>
  </conditionalFormatting>
  <conditionalFormatting sqref="H23:H27">
    <cfRule type="cellIs" dxfId="684" priority="25" operator="equal">
      <formula>0</formula>
    </cfRule>
    <cfRule type="cellIs" dxfId="683" priority="26" operator="equal">
      <formula>1</formula>
    </cfRule>
  </conditionalFormatting>
  <conditionalFormatting sqref="K7:T7 K8:N40 K41:R1070 O40">
    <cfRule type="expression" dxfId="682" priority="24">
      <formula>$E$13=$N7</formula>
    </cfRule>
  </conditionalFormatting>
  <conditionalFormatting sqref="AD5:AK5">
    <cfRule type="cellIs" dxfId="681" priority="22" operator="equal">
      <formula>0</formula>
    </cfRule>
    <cfRule type="cellIs" dxfId="680" priority="23" operator="equal">
      <formula>1</formula>
    </cfRule>
  </conditionalFormatting>
  <conditionalFormatting sqref="AA13:AJ13">
    <cfRule type="cellIs" dxfId="679" priority="17" operator="equal">
      <formula>1</formula>
    </cfRule>
  </conditionalFormatting>
  <conditionalFormatting sqref="H30">
    <cfRule type="cellIs" dxfId="678" priority="14" operator="equal">
      <formula>0</formula>
    </cfRule>
    <cfRule type="cellIs" dxfId="677" priority="15" operator="equal">
      <formula>1</formula>
    </cfRule>
  </conditionalFormatting>
  <conditionalFormatting sqref="AK15:AK1070">
    <cfRule type="cellIs" dxfId="676" priority="13" operator="equal">
      <formula>1</formula>
    </cfRule>
  </conditionalFormatting>
  <conditionalFormatting sqref="O40">
    <cfRule type="containsText" dxfId="675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79" activePane="bottomRight" state="frozen"/>
      <selection pane="topRight" activeCell="B1" sqref="B1"/>
      <selection pane="bottomLeft" activeCell="A5" sqref="A5"/>
      <selection pane="bottomRight" activeCell="D1001" sqref="D1001:G100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2386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 t="s">
        <v>2430</v>
      </c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1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>IFERROR(VLOOKUP(P7,$A$4:$L$1048576,12,0),"")</f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1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>IFERROR(VLOOKUP(P8,$A$4:$L$1048576,12,0),"")</f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1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>IFERROR(VLOOKUP(P9,$A$4:$L$1048576,12,0),"")</f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>IFERROR(VLOOKUP(P10,$A$4:$L$1048576,12,0),"")</f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2386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>IFERROR(VLOOKUP(P11,$A$4:$L$1048576,12,0),"")</f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>IFERROR(VLOOKUP(P12,$A$4:$L$1048576,12,0),"")</f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>IFERROR(VLOOKUP(P13,$A$4:$L$1048576,12,0),"")</f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>IFERROR(VLOOKUP(P14,$A$4:$L$1048576,12,0),"")</f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>IFERROR(VLOOKUP(P15,$A$4:$L$1048576,12,0),"")</f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2386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>IFERROR(VLOOKUP(P16,$A$4:$L$1048576,12,0),"")</f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2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>IFERROR(VLOOKUP(P17,$A$4:$L$1048576,12,0),"")</f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2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>IFERROR(VLOOKUP(P18,$A$4:$L$1048576,12,0),"")</f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2"/>
        <v>2</v>
      </c>
      <c r="C19" s="6">
        <f t="shared" ref="C19:C27" si="3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>IFERROR(VLOOKUP(P19,$A$4:$L$1048576,12,0),"")</f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2"/>
        <v>3</v>
      </c>
      <c r="C20" s="6">
        <f t="shared" si="3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>IFERROR(VLOOKUP(P20,$A$4:$L$1048576,12,0),"")</f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2"/>
        <v>4</v>
      </c>
      <c r="C21" s="6">
        <f t="shared" si="3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>IFERROR(VLOOKUP(P21,$A$4:$L$1048576,12,0),"")</f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4">DEC2HEX(C22)</f>
        <v>5</v>
      </c>
      <c r="C22" s="6">
        <f t="shared" si="3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>IFERROR(VLOOKUP(P22,$A$4:$L$1048576,12,0),"")</f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4"/>
        <v>6</v>
      </c>
      <c r="C23" s="6">
        <f t="shared" si="3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>IFERROR(VLOOKUP(P23,$A$4:$L$1048576,12,0),"")</f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4"/>
        <v>7</v>
      </c>
      <c r="C24" s="6">
        <f t="shared" si="3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>IFERROR(VLOOKUP(P24,$A$4:$L$1048576,12,0),"")</f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4"/>
        <v>8</v>
      </c>
      <c r="C25" s="6">
        <f t="shared" si="3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>IFERROR(VLOOKUP(P25,$A$4:$L$1048576,12,0),"")</f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4"/>
        <v>9</v>
      </c>
      <c r="C26" s="6">
        <f t="shared" si="3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>IFERROR(VLOOKUP(P26,$A$4:$L$1048576,12,0),"")</f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4"/>
        <v>A</v>
      </c>
      <c r="C27" s="6">
        <f t="shared" si="3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>IFERROR(VLOOKUP(P27,$A$4:$L$1048576,12,0),"")</f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>IFERROR(VLOOKUP(P28,$A$4:$L$1048576,12,0),"")</f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2386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>IFERROR(VLOOKUP(P29,$A$4:$L$1048576,12,0),"")</f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5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>IFERROR(VLOOKUP(P30,$A$4:$L$1048576,12,0),"")</f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5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>IFERROR(VLOOKUP(P31,$A$4:$L$1048576,12,0),"")</f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6">DEC2HEX(C32)</f>
        <v>2</v>
      </c>
      <c r="C32" s="6">
        <f t="shared" ref="C32:C36" si="7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>IFERROR(VLOOKUP(P32,$A$4:$L$1048576,12,0),"")</f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6"/>
        <v>3</v>
      </c>
      <c r="C33" s="6">
        <f t="shared" si="7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>IFERROR(VLOOKUP(P33,$A$4:$L$1048576,12,0),"")</f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6"/>
        <v>4</v>
      </c>
      <c r="C34" s="6">
        <f t="shared" si="7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>IFERROR(VLOOKUP(P34,$A$4:$L$1048576,12,0),"")</f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6"/>
        <v>5</v>
      </c>
      <c r="C35" s="6">
        <f t="shared" si="7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>IFERROR(VLOOKUP(P35,$A$4:$L$1048576,12,0),"")</f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6"/>
        <v>6</v>
      </c>
      <c r="C36" s="6">
        <f t="shared" si="7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>IFERROR(VLOOKUP(P36,$A$4:$L$1048576,12,0),"")</f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>IFERROR(VLOOKUP(P37,$A$4:$L$1048576,12,0),"")</f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2386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8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>IFERROR(VLOOKUP(P39,$A$4:$L$1048576,12,0),"")</f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8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>IFERROR(VLOOKUP(P40,$A$4:$L$1048576,12,0),"")</f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8"/>
        <v>2</v>
      </c>
      <c r="C41" s="6">
        <f t="shared" ref="C41:C43" si="9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>IFERROR(VLOOKUP(P41,$A$4:$L$1048576,12,0),"")</f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8"/>
        <v>3</v>
      </c>
      <c r="C42" s="6">
        <f t="shared" si="9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>IFERROR(VLOOKUP(P42,$A$4:$L$1048576,12,0),"")</f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8"/>
        <v>4</v>
      </c>
      <c r="C43" s="6">
        <f t="shared" si="9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>IFERROR(VLOOKUP(P43,$A$4:$L$1048576,12,0),"")</f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0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>IFERROR(VLOOKUP(P44,$A$4:$L$1048576,12,0),"")</f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0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>IFERROR(VLOOKUP(P45,$A$4:$L$1048576,12,0),"")</f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0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>IFERROR(VLOOKUP(P46,$A$4:$L$1048576,12,0),"")</f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0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>IFERROR(VLOOKUP(P47,$A$4:$L$1048576,12,0),"")</f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>IFERROR(VLOOKUP(P48,$A$4:$L$1048576,12,0),"")</f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2386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>IFERROR(VLOOKUP(P49,$A$4:$L$1048576,12,0),"")</f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1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>IFERROR(VLOOKUP(P50,$A$4:$L$1048576,12,0),"")</f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1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>IFERROR(VLOOKUP(P51,$A$4:$L$1048576,12,0),"")</f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2">DEC2HEX(C52)</f>
        <v>2</v>
      </c>
      <c r="C52" s="6">
        <f t="shared" ref="C52:C55" si="13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>IFERROR(VLOOKUP(P52,$A$4:$L$1048576,12,0),"")</f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2"/>
        <v>3</v>
      </c>
      <c r="C53" s="6">
        <f t="shared" si="13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>IFERROR(VLOOKUP(P53,$A$4:$L$1048576,12,0),"")</f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2"/>
        <v>4</v>
      </c>
      <c r="C54" s="6">
        <f t="shared" si="13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>IFERROR(VLOOKUP(P54,$A$4:$L$1048576,12,0),"")</f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2"/>
        <v>5</v>
      </c>
      <c r="C55" s="6">
        <f t="shared" si="13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>IFERROR(VLOOKUP(P55,$A$4:$L$1048576,12,0),"")</f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>IFERROR(VLOOKUP(P56,$A$4:$L$1048576,12,0),"")</f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2386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>IFERROR(VLOOKUP(P57,$A$4:$L$1048576,12,0),"")</f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4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>IFERROR(VLOOKUP(P58,$A$4:$L$1048576,12,0),"")</f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4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>IFERROR(VLOOKUP(P59,$A$4:$L$1048576,12,0),"")</f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4"/>
        <v>2</v>
      </c>
      <c r="C60" s="6">
        <f t="shared" ref="C60" si="15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>IFERROR(VLOOKUP(P60,$A$4:$L$1048576,12,0),"")</f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6">DEC2HEX(C61)</f>
        <v>3</v>
      </c>
      <c r="C61" s="6">
        <f t="shared" ref="C61:C64" si="17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>IFERROR(VLOOKUP(P61,$A$4:$L$1048576,12,0),"")</f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6"/>
        <v>4</v>
      </c>
      <c r="C62" s="6">
        <f t="shared" si="17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>IFERROR(VLOOKUP(P62,$A$4:$L$1048576,12,0),"")</f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6"/>
        <v>5</v>
      </c>
      <c r="C63" s="6">
        <f t="shared" si="17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>IFERROR(VLOOKUP(P63,$A$4:$L$1048576,12,0),"")</f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6"/>
        <v>6</v>
      </c>
      <c r="C64" s="6">
        <f t="shared" si="17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>IFERROR(VLOOKUP(P64,$A$4:$L$1048576,12,0),"")</f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>IFERROR(VLOOKUP(P65,$A$4:$L$1048576,12,0),"")</f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2386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>IFERROR(VLOOKUP(P66,$A$4:$L$1048576,12,0),"")</f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18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>IFERROR(VLOOKUP(P67,$A$4:$L$1048576,12,0),"")</f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18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>IFERROR(VLOOKUP(P68,$A$4:$L$1048576,12,0),"")</f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18"/>
        <v>2</v>
      </c>
      <c r="C69" s="6">
        <f t="shared" ref="C69" si="19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>IFERROR(VLOOKUP(P69,$A$4:$L$1048576,12,0),"")</f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0">DEC2HEX(C70)</f>
        <v>3</v>
      </c>
      <c r="C70" s="6">
        <f t="shared" ref="C70:C72" si="21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0"/>
        <v>4</v>
      </c>
      <c r="C71" s="6">
        <f t="shared" si="21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>IFERROR(VLOOKUP(P71,$A$4:$L$1048576,12,0),"")</f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0"/>
        <v>5</v>
      </c>
      <c r="C72" s="6">
        <f t="shared" si="21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>IFERROR(VLOOKUP(P72,$A$4:$L$1048576,12,0),"")</f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>IFERROR(VLOOKUP(P73,$A$4:$L$1048576,12,0),"")</f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2386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>IFERROR(VLOOKUP(P74,$A$4:$L$1048576,12,0),"")</f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2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>IFERROR(VLOOKUP(P75,$A$4:$L$1048576,12,0),"")</f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2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>IFERROR(VLOOKUP(P76,$A$4:$L$1048576,12,0),"")</f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2"/>
        <v>2</v>
      </c>
      <c r="C77" s="6">
        <f t="shared" ref="C77" si="23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>IFERROR(VLOOKUP(P77,$A$4:$L$1048576,12,0),"")</f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4">DEC2HEX(C78)</f>
        <v>3</v>
      </c>
      <c r="C78" s="6">
        <f t="shared" ref="C78:C81" si="25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>IFERROR(VLOOKUP(P78,$A$4:$L$1048576,12,0),"")</f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4"/>
        <v>4</v>
      </c>
      <c r="C79" s="6">
        <f t="shared" si="25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>IFERROR(VLOOKUP(P79,$A$4:$L$1048576,12,0),"")</f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4"/>
        <v>5</v>
      </c>
      <c r="C80" s="6">
        <f t="shared" si="25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>IFERROR(VLOOKUP(P80,$A$4:$L$1048576,12,0),"")</f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4"/>
        <v>6</v>
      </c>
      <c r="C81" s="6">
        <f t="shared" si="25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>IFERROR(VLOOKUP(P81,$A$4:$L$1048576,12,0),"")</f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>IFERROR(VLOOKUP(P82,$A$4:$L$1048576,12,0),"")</f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2386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>IFERROR(VLOOKUP(P83,$A$4:$L$1048576,12,0),"")</f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6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>IFERROR(VLOOKUP(P84,$A$4:$L$1048576,12,0),"")</f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6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>IFERROR(VLOOKUP(P85,$A$4:$L$1048576,12,0),"")</f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6"/>
        <v>2</v>
      </c>
      <c r="C86" s="6">
        <f t="shared" ref="C86" si="27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>IFERROR(VLOOKUP(P86,$A$4:$L$1048576,12,0),"")</f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28">DEC2HEX(C87)</f>
        <v>3</v>
      </c>
      <c r="C87" s="6">
        <f t="shared" ref="C87:C95" si="29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>IFERROR(VLOOKUP(P87,$A$4:$L$1048576,12,0),"")</f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28"/>
        <v>4</v>
      </c>
      <c r="C88" s="6">
        <f t="shared" si="29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>IFERROR(VLOOKUP(P88,$A$4:$L$1048576,12,0),"")</f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28"/>
        <v>5</v>
      </c>
      <c r="C89" s="6">
        <f t="shared" si="29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>IFERROR(VLOOKUP(P89,$A$4:$L$1048576,12,0),"")</f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28"/>
        <v>6</v>
      </c>
      <c r="C90" s="6">
        <f t="shared" si="29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>IFERROR(VLOOKUP(P90,$A$4:$L$1048576,12,0),"")</f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28"/>
        <v>7</v>
      </c>
      <c r="C91" s="6">
        <f t="shared" si="29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>IFERROR(VLOOKUP(P91,$A$4:$L$1048576,12,0),"")</f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28"/>
        <v>8</v>
      </c>
      <c r="C92" s="6">
        <f t="shared" si="29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>IFERROR(VLOOKUP(P92,$A$4:$L$1048576,12,0),"")</f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28"/>
        <v>9</v>
      </c>
      <c r="C93" s="6">
        <f t="shared" si="29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>IFERROR(VLOOKUP(P93,$A$4:$L$1048576,12,0),"")</f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28"/>
        <v>A</v>
      </c>
      <c r="C94" s="6">
        <f t="shared" si="29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28"/>
        <v>B</v>
      </c>
      <c r="C95" s="6">
        <f t="shared" si="29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>IFERROR(VLOOKUP(P95,$A$4:$L$1048576,12,0),"")</f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>IFERROR(VLOOKUP(P96,$A$4:$L$1048576,12,0),"")</f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2386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>IFERROR(VLOOKUP(P97,$A$4:$L$1048576,12,0),"")</f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0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>IFERROR(VLOOKUP(P98,$A$4:$L$1048576,12,0),"")</f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0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>IFERROR(VLOOKUP(P99,$A$4:$L$1048576,12,0),"")</f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0"/>
        <v>2</v>
      </c>
      <c r="C100" s="6">
        <f t="shared" ref="C100:C111" si="31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>IFERROR(VLOOKUP(P100,$A$4:$L$1048576,12,0),"")</f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0"/>
        <v>3</v>
      </c>
      <c r="C101" s="6">
        <f t="shared" si="31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>IFERROR(VLOOKUP(P101,$A$4:$L$1048576,12,0),"")</f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0"/>
        <v>4</v>
      </c>
      <c r="C102" s="6">
        <f t="shared" si="31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0"/>
        <v>5</v>
      </c>
      <c r="C103" s="6">
        <f t="shared" si="31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>IFERROR(VLOOKUP(P103,$A$4:$L$1048576,12,0),"")</f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>IFERROR(VLOOKUP(P104,$A$4:$L$1048576,12,0),"")</f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2386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>IFERROR(VLOOKUP(P105,$A$4:$L$1048576,12,0),"")</f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2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>IFERROR(VLOOKUP(P106,$A$4:$L$1048576,12,0),"")</f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2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>IFERROR(VLOOKUP(P107,$A$4:$L$1048576,12,0),"")</f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2"/>
        <v>2</v>
      </c>
      <c r="C108" s="6">
        <f t="shared" si="31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>IFERROR(VLOOKUP(P108,$A$4:$L$1048576,12,0),"")</f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2"/>
        <v>3</v>
      </c>
      <c r="C109" s="6">
        <f t="shared" si="31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>IFERROR(VLOOKUP(P109,$A$4:$L$1048576,12,0),"")</f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2"/>
        <v>4</v>
      </c>
      <c r="C110" s="6">
        <f t="shared" si="31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>IFERROR(VLOOKUP(P110,$A$4:$L$1048576,12,0),"")</f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2"/>
        <v>5</v>
      </c>
      <c r="C111" s="6">
        <f t="shared" si="31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>IFERROR(VLOOKUP(P111,$A$4:$L$1048576,12,0),"")</f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>IFERROR(VLOOKUP(P112,$A$4:$L$1048576,12,0),"")</f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2386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>IFERROR(VLOOKUP(P113,$A$4:$L$1048576,12,0),"")</f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3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>IFERROR(VLOOKUP(P114,$A$4:$L$1048576,12,0),"")</f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3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>IFERROR(VLOOKUP(P115,$A$4:$L$1048576,12,0),"")</f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3"/>
        <v>2</v>
      </c>
      <c r="C116" s="39">
        <f t="shared" ref="C116:C123" si="34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>IFERROR(VLOOKUP(P116,$A$4:$L$1048576,12,0),"")</f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3"/>
        <v>3</v>
      </c>
      <c r="C117" s="39">
        <f t="shared" si="34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3"/>
        <v>4</v>
      </c>
      <c r="C118" s="39">
        <f t="shared" si="34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3"/>
        <v>5</v>
      </c>
      <c r="C119" s="39">
        <f t="shared" si="34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5">DEC2HEX(C120)</f>
        <v>6</v>
      </c>
      <c r="C120" s="39">
        <f t="shared" si="34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5"/>
        <v>7</v>
      </c>
      <c r="C121" s="39">
        <f t="shared" si="34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5"/>
        <v>8</v>
      </c>
      <c r="C122" s="39">
        <f t="shared" si="34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5"/>
        <v>9</v>
      </c>
      <c r="C123" s="39">
        <f t="shared" si="34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2386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36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36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36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6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6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6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7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6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2386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38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38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38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38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38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38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38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38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38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38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38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2386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39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39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39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39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39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39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39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39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39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39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39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39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39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2386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0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0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0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0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0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0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0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0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0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2386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1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1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1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1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1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1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1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1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2386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2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2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2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2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2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2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2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2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2386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3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3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3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3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3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3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3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3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2386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4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4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4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4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4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2386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5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5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5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5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5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5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5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5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5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5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5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2386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6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6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6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6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6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6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46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46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2386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7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7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7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7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7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47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7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7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47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7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7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2386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48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48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48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48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2386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49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49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49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49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2386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0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0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0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0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2386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1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1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1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1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2386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2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2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2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2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2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2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2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2386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3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3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3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3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3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3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3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2386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4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4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4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4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4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4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4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2386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5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5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5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5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5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5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5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2386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6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56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6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6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6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6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56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2386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7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7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7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7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7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7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57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2386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58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58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58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58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58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58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58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2386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59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59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59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59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59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59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59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2386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0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0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0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0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0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0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0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2386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1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1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1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1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1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1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1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2386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2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2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2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2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2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2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2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2386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3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3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3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3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3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3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3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2386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4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4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4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4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4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4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4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2386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5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5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5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5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5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5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5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2386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6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6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6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6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6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6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66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2386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7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7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7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7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7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68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68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68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68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2386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69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69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69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69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69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69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69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2386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0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0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0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0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0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0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0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2386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1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1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1"/>
        <v>2</v>
      </c>
      <c r="C448" s="39">
        <f t="shared" ref="C448:C452" si="72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1"/>
        <v>3</v>
      </c>
      <c r="C449" s="39">
        <f t="shared" si="72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1"/>
        <v>4</v>
      </c>
      <c r="C450" s="39">
        <f t="shared" si="72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1"/>
        <v>5</v>
      </c>
      <c r="C451" s="39">
        <f t="shared" si="72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1"/>
        <v>6</v>
      </c>
      <c r="C452" s="39">
        <f t="shared" si="72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3">DEC2HEX(C453)</f>
        <v>7</v>
      </c>
      <c r="C453" s="39">
        <f t="shared" ref="C453:C458" si="74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3"/>
        <v>8</v>
      </c>
      <c r="C454" s="39">
        <f t="shared" si="74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3"/>
        <v>9</v>
      </c>
      <c r="C455" s="39">
        <f t="shared" si="74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3"/>
        <v>A</v>
      </c>
      <c r="C456" s="39">
        <f t="shared" si="74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3"/>
        <v>B</v>
      </c>
      <c r="C457" s="39">
        <f t="shared" si="74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3"/>
        <v>C</v>
      </c>
      <c r="C458" s="39">
        <f t="shared" si="74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2386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5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5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5"/>
        <v>2</v>
      </c>
      <c r="C463" s="39">
        <f t="shared" ref="C463:C465" si="76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5"/>
        <v>3</v>
      </c>
      <c r="C464" s="39">
        <f t="shared" si="76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5"/>
        <v>4</v>
      </c>
      <c r="C465" s="39">
        <f t="shared" si="76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2386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7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7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7"/>
        <v>2</v>
      </c>
      <c r="C470" s="39">
        <f t="shared" ref="C470:C472" si="78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7"/>
        <v>3</v>
      </c>
      <c r="C471" s="39">
        <f t="shared" si="78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7"/>
        <v>4</v>
      </c>
      <c r="C472" s="39">
        <f t="shared" si="78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79">DEC2HEX(C473)</f>
        <v>5</v>
      </c>
      <c r="C473" s="39">
        <f t="shared" ref="C473:C476" si="80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79"/>
        <v>6</v>
      </c>
      <c r="C474" s="39">
        <f t="shared" si="80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79"/>
        <v>7</v>
      </c>
      <c r="C475" s="39">
        <f t="shared" si="80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79"/>
        <v>8</v>
      </c>
      <c r="C476" s="39">
        <f t="shared" si="80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2386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1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1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1"/>
        <v>2</v>
      </c>
      <c r="C481" s="39">
        <f t="shared" ref="C481" si="82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2386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3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3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4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4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4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2386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5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5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6">DEC2HEX(C493)</f>
        <v>2</v>
      </c>
      <c r="C493" s="39">
        <f t="shared" ref="C493:C497" si="87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6"/>
        <v>3</v>
      </c>
      <c r="C494" s="39">
        <f t="shared" si="87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6"/>
        <v>4</v>
      </c>
      <c r="C495" s="39">
        <f t="shared" si="87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6"/>
        <v>5</v>
      </c>
      <c r="C496" s="39">
        <f t="shared" si="87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86"/>
        <v>6</v>
      </c>
      <c r="C497" s="39">
        <f t="shared" si="87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88">DEC2HEX(C498)</f>
        <v>7</v>
      </c>
      <c r="C498" s="39">
        <f t="shared" ref="C498" si="89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2386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0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0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1">DEC2HEX(C503)</f>
        <v>2</v>
      </c>
      <c r="C503" s="39">
        <f t="shared" ref="C503:C528" si="92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3">NOT(ISERROR(FIND(I503,consoleText)))</f>
        <v>1</v>
      </c>
      <c r="K503" s="54"/>
      <c r="L503" s="39"/>
      <c r="M503" s="39"/>
    </row>
    <row r="504" spans="1:14">
      <c r="B504" s="39" t="str">
        <f t="shared" si="91"/>
        <v>3</v>
      </c>
      <c r="C504" s="39">
        <f t="shared" si="92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3"/>
        <v>1</v>
      </c>
      <c r="K504" s="54"/>
      <c r="L504" s="39"/>
      <c r="M504" s="39"/>
    </row>
    <row r="505" spans="1:14">
      <c r="B505" s="39" t="str">
        <f t="shared" si="91"/>
        <v>4</v>
      </c>
      <c r="C505" s="39">
        <f t="shared" si="92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3"/>
        <v>1</v>
      </c>
      <c r="K505" s="54"/>
      <c r="L505" s="39"/>
      <c r="M505" s="39"/>
    </row>
    <row r="506" spans="1:14">
      <c r="B506" s="39" t="str">
        <f t="shared" si="91"/>
        <v>5</v>
      </c>
      <c r="C506" s="39">
        <f t="shared" si="92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3"/>
        <v>1</v>
      </c>
      <c r="K506" s="54"/>
      <c r="L506" s="39"/>
      <c r="M506" s="39"/>
    </row>
    <row r="507" spans="1:14">
      <c r="B507" s="39" t="str">
        <f t="shared" si="91"/>
        <v>6</v>
      </c>
      <c r="C507" s="39">
        <f t="shared" si="92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3"/>
        <v>0</v>
      </c>
      <c r="K507" s="54"/>
      <c r="L507" s="39"/>
      <c r="M507" s="39"/>
    </row>
    <row r="508" spans="1:14">
      <c r="B508" s="39" t="str">
        <f t="shared" si="91"/>
        <v>7</v>
      </c>
      <c r="C508" s="39">
        <f t="shared" si="92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3"/>
        <v>1</v>
      </c>
      <c r="K508" s="54"/>
      <c r="L508" s="39"/>
      <c r="M508" s="39"/>
    </row>
    <row r="509" spans="1:14">
      <c r="B509" s="39" t="str">
        <f t="shared" si="91"/>
        <v>8</v>
      </c>
      <c r="C509" s="39">
        <f t="shared" si="92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1"/>
        <v>9</v>
      </c>
      <c r="C510" s="39">
        <f t="shared" si="92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1"/>
        <v>A</v>
      </c>
      <c r="C511" s="39">
        <f t="shared" si="92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1"/>
        <v>B</v>
      </c>
      <c r="C512" s="39">
        <f t="shared" si="92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1"/>
        <v>C</v>
      </c>
      <c r="C513" s="39">
        <f t="shared" si="92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1"/>
        <v>D</v>
      </c>
      <c r="C514" s="39">
        <f t="shared" si="92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1"/>
        <v>E</v>
      </c>
      <c r="C515" s="39">
        <f t="shared" si="92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1"/>
        <v>F</v>
      </c>
      <c r="C516" s="39">
        <f t="shared" si="92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4">DEC2HEX(C517)</f>
        <v>10</v>
      </c>
      <c r="C517" s="39">
        <f t="shared" si="92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4"/>
        <v>11</v>
      </c>
      <c r="C518" s="39">
        <f t="shared" si="92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4"/>
        <v>12</v>
      </c>
      <c r="C519" s="39">
        <f t="shared" si="92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4"/>
        <v>13</v>
      </c>
      <c r="C520" s="39">
        <f t="shared" si="92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4"/>
        <v>14</v>
      </c>
      <c r="C521" s="39">
        <f t="shared" si="92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4"/>
        <v>15</v>
      </c>
      <c r="C522" s="39">
        <f t="shared" si="92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4"/>
        <v>16</v>
      </c>
      <c r="C523" s="39">
        <f t="shared" si="92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4"/>
        <v>17</v>
      </c>
      <c r="C524" s="39">
        <f t="shared" si="92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4"/>
        <v>18</v>
      </c>
      <c r="C525" s="39">
        <f t="shared" si="92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4"/>
        <v>19</v>
      </c>
      <c r="C526" s="39">
        <f t="shared" si="92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4"/>
        <v>1A</v>
      </c>
      <c r="C527" s="39">
        <f t="shared" si="92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4"/>
        <v>1B</v>
      </c>
      <c r="C528" s="39">
        <f t="shared" si="92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52" t="s">
        <v>2386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5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5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96">NOT(ISERROR(FIND(I532,consoleText)))</f>
        <v>1</v>
      </c>
      <c r="K532" s="54"/>
      <c r="L532" s="39"/>
      <c r="M532" s="39"/>
    </row>
    <row r="533" spans="1:14">
      <c r="B533" s="39" t="str">
        <f t="shared" si="95"/>
        <v>2</v>
      </c>
      <c r="C533" s="39">
        <f t="shared" ref="C533:C543" si="97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96"/>
        <v>1</v>
      </c>
      <c r="K533" s="54"/>
      <c r="L533" s="39"/>
      <c r="M533" s="39"/>
    </row>
    <row r="534" spans="1:14">
      <c r="B534" s="39" t="str">
        <f t="shared" si="95"/>
        <v>3</v>
      </c>
      <c r="C534" s="39">
        <f t="shared" si="97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5"/>
        <v>4</v>
      </c>
      <c r="C535" s="39">
        <f t="shared" si="97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5"/>
        <v>5</v>
      </c>
      <c r="C536" s="39">
        <f t="shared" si="97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5"/>
        <v>6</v>
      </c>
      <c r="C537" s="39">
        <f t="shared" si="97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5"/>
        <v>7</v>
      </c>
      <c r="C538" s="39">
        <f t="shared" si="97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98">DEC2HEX(C539)</f>
        <v>8</v>
      </c>
      <c r="C539" s="39">
        <f t="shared" si="97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99">DEC2HEX(C540)</f>
        <v>9</v>
      </c>
      <c r="C540" s="39">
        <f t="shared" si="97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99"/>
        <v>A</v>
      </c>
      <c r="C541" s="39">
        <f t="shared" si="97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99"/>
        <v>B</v>
      </c>
      <c r="C542" s="39">
        <f t="shared" si="97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99"/>
        <v>C</v>
      </c>
      <c r="C543" s="39">
        <f t="shared" si="97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2386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0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0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0"/>
        <v>2</v>
      </c>
      <c r="C548" s="39">
        <f t="shared" ref="C548:C562" si="101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0"/>
        <v>3</v>
      </c>
      <c r="C549" s="39">
        <f t="shared" si="101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0"/>
        <v>4</v>
      </c>
      <c r="C550" s="39">
        <f t="shared" si="101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0"/>
        <v>5</v>
      </c>
      <c r="C551" s="39">
        <f t="shared" si="101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0"/>
        <v>6</v>
      </c>
      <c r="C552" s="39">
        <f t="shared" si="101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2">DEC2HEX(C553)</f>
        <v>7</v>
      </c>
      <c r="C553" s="39">
        <f t="shared" si="101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3">DEC2HEX(C554)</f>
        <v>8</v>
      </c>
      <c r="C554" s="39">
        <f t="shared" si="101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3"/>
        <v>9</v>
      </c>
      <c r="C555" s="39">
        <f t="shared" si="101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3"/>
        <v>A</v>
      </c>
      <c r="C556" s="39">
        <f t="shared" si="101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3"/>
        <v>B</v>
      </c>
      <c r="C557" s="39">
        <f t="shared" si="101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3"/>
        <v>C</v>
      </c>
      <c r="C558" s="39">
        <f t="shared" si="101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3"/>
        <v>D</v>
      </c>
      <c r="C559" s="39">
        <f t="shared" si="101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3"/>
        <v>E</v>
      </c>
      <c r="C560" s="39">
        <f t="shared" si="101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3"/>
        <v>F</v>
      </c>
      <c r="C561" s="39">
        <f t="shared" si="101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3"/>
        <v>10</v>
      </c>
      <c r="C562" s="39">
        <f t="shared" si="101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65" t="s">
        <v>2386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4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4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4"/>
        <v>2</v>
      </c>
      <c r="C567" s="6">
        <f t="shared" ref="C567:C573" si="105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4"/>
        <v>3</v>
      </c>
      <c r="C568" s="6">
        <f t="shared" si="105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06">DEC2HEX(C569)</f>
        <v>4</v>
      </c>
      <c r="C569" s="6">
        <f t="shared" si="105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06"/>
        <v>5</v>
      </c>
      <c r="C570" s="6">
        <f t="shared" si="105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06"/>
        <v>6</v>
      </c>
      <c r="C571" s="6">
        <f t="shared" si="105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06"/>
        <v>7</v>
      </c>
      <c r="C572" s="6">
        <f t="shared" si="105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06"/>
        <v>8</v>
      </c>
      <c r="C573" s="6">
        <f t="shared" si="105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65" t="s">
        <v>2386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07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07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07"/>
        <v>2</v>
      </c>
      <c r="C578" s="6">
        <f t="shared" ref="C578:C584" si="108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07"/>
        <v>3</v>
      </c>
      <c r="C579" s="6">
        <f t="shared" si="108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07"/>
        <v>4</v>
      </c>
      <c r="C580" s="6">
        <f t="shared" si="108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07"/>
        <v>5</v>
      </c>
      <c r="C581" s="6">
        <f t="shared" si="108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07"/>
        <v>6</v>
      </c>
      <c r="C582" s="6">
        <f t="shared" si="108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07"/>
        <v>7</v>
      </c>
      <c r="C583" s="6">
        <f t="shared" si="108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07"/>
        <v>8</v>
      </c>
      <c r="C584" s="6">
        <f t="shared" si="108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65" t="s">
        <v>2386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09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09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09"/>
        <v>2</v>
      </c>
      <c r="C589" s="6">
        <f t="shared" ref="C589:C591" si="110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09"/>
        <v>3</v>
      </c>
      <c r="C590" s="6">
        <f t="shared" si="110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09"/>
        <v>4</v>
      </c>
      <c r="C591" s="6">
        <f t="shared" si="110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65" t="s">
        <v>2386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1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1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1"/>
        <v>2</v>
      </c>
      <c r="C596" s="6">
        <f t="shared" ref="C596:C598" si="112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1"/>
        <v>3</v>
      </c>
      <c r="C597" s="6">
        <f t="shared" si="112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1"/>
        <v>4</v>
      </c>
      <c r="C598" s="6">
        <f t="shared" si="112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65" t="s">
        <v>2386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3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3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3"/>
        <v>2</v>
      </c>
      <c r="C603" s="6">
        <f t="shared" ref="C603:C605" si="114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3"/>
        <v>3</v>
      </c>
      <c r="C604" s="6">
        <f t="shared" si="114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3"/>
        <v>4</v>
      </c>
      <c r="C605" s="6">
        <f t="shared" si="114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65" t="s">
        <v>2386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5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5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5"/>
        <v>2</v>
      </c>
      <c r="C610" s="6">
        <f t="shared" ref="C610:C612" si="116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5"/>
        <v>3</v>
      </c>
      <c r="C611" s="6">
        <f t="shared" si="116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5"/>
        <v>4</v>
      </c>
      <c r="C612" s="6">
        <f t="shared" si="116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65" t="s">
        <v>2386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17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17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17"/>
        <v>2</v>
      </c>
      <c r="C617" s="6">
        <f t="shared" ref="C617:C619" si="118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17"/>
        <v>3</v>
      </c>
      <c r="C618" s="6">
        <f t="shared" si="118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17"/>
        <v>4</v>
      </c>
      <c r="C619" s="6">
        <f t="shared" si="118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65" t="s">
        <v>2386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19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19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19"/>
        <v>2</v>
      </c>
      <c r="C624" s="6">
        <f t="shared" ref="C624:C627" si="120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19"/>
        <v>3</v>
      </c>
      <c r="C625" s="6">
        <f t="shared" si="120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19"/>
        <v>4</v>
      </c>
      <c r="C626" s="6">
        <f t="shared" si="120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1">DEC2HEX(C627)</f>
        <v>5</v>
      </c>
      <c r="C627" s="6">
        <f t="shared" si="120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65" t="s">
        <v>2386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2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2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3">DEC2HEX(C632)</f>
        <v>2</v>
      </c>
      <c r="C632" s="6">
        <f t="shared" ref="C632:C635" si="124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3"/>
        <v>3</v>
      </c>
      <c r="C633" s="6">
        <f t="shared" si="124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3"/>
        <v>4</v>
      </c>
      <c r="C634" s="6">
        <f t="shared" si="124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3"/>
        <v>5</v>
      </c>
      <c r="C635" s="6">
        <f t="shared" si="124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65" t="s">
        <v>2386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5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5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5"/>
        <v>2</v>
      </c>
      <c r="C640" s="6">
        <f t="shared" ref="C640:C643" si="126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5"/>
        <v>3</v>
      </c>
      <c r="C641" s="6">
        <f t="shared" si="126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5"/>
        <v>4</v>
      </c>
      <c r="C642" s="6">
        <f t="shared" si="126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5"/>
        <v>5</v>
      </c>
      <c r="C643" s="6">
        <f t="shared" si="126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27">DEC2HEX(C644)</f>
        <v>6</v>
      </c>
      <c r="C644" s="6">
        <f t="shared" ref="C644:C645" si="128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27"/>
        <v>7</v>
      </c>
      <c r="C645" s="6">
        <f t="shared" si="128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65" t="s">
        <v>2386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29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29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29"/>
        <v>2</v>
      </c>
      <c r="C650" s="6">
        <f t="shared" ref="C650:C653" si="130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29"/>
        <v>3</v>
      </c>
      <c r="C651" s="6">
        <f t="shared" si="130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29"/>
        <v>4</v>
      </c>
      <c r="C652" s="6">
        <f t="shared" si="130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29"/>
        <v>5</v>
      </c>
      <c r="C653" s="6">
        <f t="shared" si="130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65" t="s">
        <v>2386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1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1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1"/>
        <v>2</v>
      </c>
      <c r="C658" s="6">
        <f t="shared" ref="C658:C661" si="132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1"/>
        <v>3</v>
      </c>
      <c r="C659" s="6">
        <f t="shared" si="132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1"/>
        <v>4</v>
      </c>
      <c r="C660" s="6">
        <f t="shared" si="132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1"/>
        <v>5</v>
      </c>
      <c r="C661" s="6">
        <f t="shared" si="132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65" t="s">
        <v>2386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3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3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3"/>
        <v>2</v>
      </c>
      <c r="C666" s="6">
        <f t="shared" ref="C666:C669" si="134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3"/>
        <v>3</v>
      </c>
      <c r="C667" s="6">
        <f t="shared" si="134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3"/>
        <v>4</v>
      </c>
      <c r="C668" s="6">
        <f t="shared" si="134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3"/>
        <v>5</v>
      </c>
      <c r="C669" s="6">
        <f t="shared" si="134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5">DEC2HEX(C670)</f>
        <v>6</v>
      </c>
      <c r="C670" s="6">
        <f t="shared" ref="C670" si="136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65" t="s">
        <v>2386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37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37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37"/>
        <v>2</v>
      </c>
      <c r="C675" s="6">
        <f t="shared" ref="C675:C679" si="138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37"/>
        <v>3</v>
      </c>
      <c r="C676" s="6">
        <f t="shared" si="138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37"/>
        <v>4</v>
      </c>
      <c r="C677" s="6">
        <f t="shared" si="138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37"/>
        <v>5</v>
      </c>
      <c r="C678" s="6">
        <f t="shared" si="138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37"/>
        <v>6</v>
      </c>
      <c r="C679" s="6">
        <f t="shared" si="138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65" t="s">
        <v>2386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39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39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39"/>
        <v>2</v>
      </c>
      <c r="C684" s="6">
        <f t="shared" ref="C684:C688" si="140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39"/>
        <v>3</v>
      </c>
      <c r="C685" s="6">
        <f t="shared" si="140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39"/>
        <v>4</v>
      </c>
      <c r="C686" s="6">
        <f t="shared" si="140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39"/>
        <v>5</v>
      </c>
      <c r="C687" s="6">
        <f t="shared" si="140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39"/>
        <v>6</v>
      </c>
      <c r="C688" s="6">
        <f t="shared" si="140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65" t="s">
        <v>2386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1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1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1"/>
        <v>2</v>
      </c>
      <c r="C693" s="6">
        <f t="shared" ref="C693:C697" si="142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1"/>
        <v>3</v>
      </c>
      <c r="C694" s="6">
        <f t="shared" si="142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1"/>
        <v>4</v>
      </c>
      <c r="C695" s="6">
        <f t="shared" si="142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1"/>
        <v>5</v>
      </c>
      <c r="C696" s="6">
        <f t="shared" si="142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1"/>
        <v>6</v>
      </c>
      <c r="C697" s="6">
        <f t="shared" si="142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65" t="s">
        <v>2386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3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3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3"/>
        <v>2</v>
      </c>
      <c r="C702" s="6">
        <f t="shared" ref="C702:C706" si="144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3"/>
        <v>3</v>
      </c>
      <c r="C703" s="6">
        <f t="shared" si="144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3"/>
        <v>4</v>
      </c>
      <c r="C704" s="6">
        <f t="shared" si="144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3"/>
        <v>5</v>
      </c>
      <c r="C705" s="6">
        <f t="shared" si="144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3"/>
        <v>6</v>
      </c>
      <c r="C706" s="6">
        <f t="shared" si="144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65" t="s">
        <v>2386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5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5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5"/>
        <v>2</v>
      </c>
      <c r="C711" s="6">
        <f t="shared" ref="C711:C715" si="146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5"/>
        <v>3</v>
      </c>
      <c r="C712" s="6">
        <f t="shared" si="146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5"/>
        <v>4</v>
      </c>
      <c r="C713" s="6">
        <f t="shared" si="146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5"/>
        <v>5</v>
      </c>
      <c r="C714" s="6">
        <f t="shared" si="146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5"/>
        <v>6</v>
      </c>
      <c r="C715" s="6">
        <f t="shared" si="146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65" t="s">
        <v>2386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47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47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47"/>
        <v>2</v>
      </c>
      <c r="C720" s="6">
        <f t="shared" ref="C720:C724" si="148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47"/>
        <v>3</v>
      </c>
      <c r="C721" s="6">
        <f t="shared" si="148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47"/>
        <v>4</v>
      </c>
      <c r="C722" s="6">
        <f t="shared" si="148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47"/>
        <v>5</v>
      </c>
      <c r="C723" s="6">
        <f t="shared" si="148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47"/>
        <v>6</v>
      </c>
      <c r="C724" s="6">
        <f t="shared" si="148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65" t="s">
        <v>2386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49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49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49"/>
        <v>2</v>
      </c>
      <c r="C729" s="6">
        <f t="shared" ref="C729:C733" si="150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49"/>
        <v>3</v>
      </c>
      <c r="C730" s="6">
        <f t="shared" si="150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49"/>
        <v>4</v>
      </c>
      <c r="C731" s="6">
        <f t="shared" si="150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49"/>
        <v>5</v>
      </c>
      <c r="C732" s="6">
        <f t="shared" si="150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49"/>
        <v>6</v>
      </c>
      <c r="C733" s="6">
        <f t="shared" si="150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65" t="s">
        <v>2386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1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1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1"/>
        <v>2</v>
      </c>
      <c r="C738" s="6">
        <f t="shared" ref="C738:C742" si="152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1"/>
        <v>3</v>
      </c>
      <c r="C739" s="6">
        <f t="shared" si="152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1"/>
        <v>4</v>
      </c>
      <c r="C740" s="6">
        <f t="shared" si="152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1"/>
        <v>5</v>
      </c>
      <c r="C741" s="6">
        <f t="shared" si="152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1"/>
        <v>6</v>
      </c>
      <c r="C742" s="6">
        <f t="shared" si="152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65" t="s">
        <v>2386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3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3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3"/>
        <v>2</v>
      </c>
      <c r="C747" s="6">
        <f t="shared" ref="C747:C751" si="154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3"/>
        <v>3</v>
      </c>
      <c r="C748" s="6">
        <f t="shared" si="154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3"/>
        <v>4</v>
      </c>
      <c r="C749" s="6">
        <f t="shared" si="154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3"/>
        <v>5</v>
      </c>
      <c r="C750" s="6">
        <f t="shared" si="154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3"/>
        <v>6</v>
      </c>
      <c r="C751" s="6">
        <f t="shared" si="154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65" t="s">
        <v>2386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5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5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5"/>
        <v>2</v>
      </c>
      <c r="C756" s="6">
        <f t="shared" ref="C756:C760" si="156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5"/>
        <v>3</v>
      </c>
      <c r="C757" s="6">
        <f t="shared" si="156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5"/>
        <v>4</v>
      </c>
      <c r="C758" s="6">
        <f t="shared" si="156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5"/>
        <v>5</v>
      </c>
      <c r="C759" s="6">
        <f t="shared" si="156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5"/>
        <v>6</v>
      </c>
      <c r="C760" s="6">
        <f t="shared" si="156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65" t="s">
        <v>2386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57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57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57"/>
        <v>2</v>
      </c>
      <c r="C765" s="6">
        <f t="shared" ref="C765:C768" si="158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57"/>
        <v>3</v>
      </c>
      <c r="C766" s="6">
        <f t="shared" si="158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57"/>
        <v>4</v>
      </c>
      <c r="C767" s="6">
        <f t="shared" si="158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57"/>
        <v>5</v>
      </c>
      <c r="C768" s="6">
        <f t="shared" si="158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65" t="s">
        <v>2386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59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59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59"/>
        <v>2</v>
      </c>
      <c r="C773" s="6">
        <f t="shared" ref="C773:C776" si="160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59"/>
        <v>3</v>
      </c>
      <c r="C774" s="6">
        <f t="shared" si="160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59"/>
        <v>4</v>
      </c>
      <c r="C775" s="6">
        <f t="shared" si="160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59"/>
        <v>5</v>
      </c>
      <c r="C776" s="6">
        <f t="shared" si="160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1">DEC2HEX(C777)</f>
        <v>6</v>
      </c>
      <c r="C777" s="6">
        <f t="shared" ref="C777:C780" si="162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1"/>
        <v>7</v>
      </c>
      <c r="C778" s="6">
        <f t="shared" si="162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1"/>
        <v>8</v>
      </c>
      <c r="C779" s="6">
        <f t="shared" si="162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1"/>
        <v>9</v>
      </c>
      <c r="C780" s="6">
        <f t="shared" si="162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65" t="s">
        <v>2386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3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3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3"/>
        <v>2</v>
      </c>
      <c r="C785" s="6">
        <f t="shared" ref="C785:C791" si="164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3"/>
        <v>3</v>
      </c>
      <c r="C786" s="6">
        <f t="shared" si="164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3"/>
        <v>4</v>
      </c>
      <c r="C787" s="6">
        <f t="shared" si="164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3"/>
        <v>5</v>
      </c>
      <c r="C788" s="6">
        <f t="shared" si="164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3"/>
        <v>6</v>
      </c>
      <c r="C789" s="6">
        <f t="shared" si="164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3"/>
        <v>7</v>
      </c>
      <c r="C790" s="6">
        <f t="shared" si="164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3"/>
        <v>8</v>
      </c>
      <c r="C791" s="6">
        <f t="shared" si="164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65" t="s">
        <v>2386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5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5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5"/>
        <v>2</v>
      </c>
      <c r="C796" s="6">
        <f t="shared" ref="C796:C799" si="166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5"/>
        <v>3</v>
      </c>
      <c r="C797" s="6">
        <f t="shared" si="166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5"/>
        <v>4</v>
      </c>
      <c r="C798" s="6">
        <f t="shared" si="166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5"/>
        <v>5</v>
      </c>
      <c r="C799" s="6">
        <f t="shared" si="166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65" t="s">
        <v>2386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67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67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67"/>
        <v>2</v>
      </c>
      <c r="C804" s="6">
        <f t="shared" ref="C804:C808" si="168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67"/>
        <v>3</v>
      </c>
      <c r="C805" s="6">
        <f t="shared" si="168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67"/>
        <v>4</v>
      </c>
      <c r="C806" s="6">
        <f t="shared" si="168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67"/>
        <v>5</v>
      </c>
      <c r="C807" s="6">
        <f t="shared" si="168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69">DEC2HEX(C808)</f>
        <v>6</v>
      </c>
      <c r="C808" s="6">
        <f t="shared" si="168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65" t="s">
        <v>2386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0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0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0"/>
        <v>2</v>
      </c>
      <c r="C813" s="6">
        <f t="shared" ref="C813:C819" si="171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65" t="s">
        <v>2386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2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2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2"/>
        <v>2</v>
      </c>
      <c r="C818" s="6">
        <f t="shared" si="171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3">DEC2HEX(C819)</f>
        <v>3</v>
      </c>
      <c r="C819" s="6">
        <f t="shared" si="171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65" t="s">
        <v>2386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4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4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4"/>
        <v>2</v>
      </c>
      <c r="C824" s="6">
        <f t="shared" ref="C824:C825" si="175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4"/>
        <v>3</v>
      </c>
      <c r="C825" s="6">
        <f t="shared" si="175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65" t="s">
        <v>2386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76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76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76"/>
        <v>2</v>
      </c>
      <c r="C830" s="6">
        <f t="shared" ref="C830:C831" si="177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76"/>
        <v>3</v>
      </c>
      <c r="C831" s="6">
        <f t="shared" si="177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65" t="s">
        <v>2386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78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78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78"/>
        <v>2</v>
      </c>
      <c r="C836" s="6">
        <f t="shared" ref="C836:C841" si="179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78"/>
        <v>3</v>
      </c>
      <c r="C837" s="6">
        <f t="shared" si="179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0">DEC2HEX(C838)</f>
        <v>4</v>
      </c>
      <c r="C838" s="6">
        <f t="shared" si="179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1">DEC2HEX(C839)</f>
        <v>5</v>
      </c>
      <c r="C839" s="6">
        <f t="shared" si="179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1"/>
        <v>6</v>
      </c>
      <c r="C840" s="6">
        <f t="shared" si="179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1"/>
        <v>7</v>
      </c>
      <c r="C841" s="6">
        <f t="shared" si="179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65" t="s">
        <v>2386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2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2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2"/>
        <v>2</v>
      </c>
      <c r="C846" s="6">
        <f t="shared" ref="C846:C847" si="183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2"/>
        <v>3</v>
      </c>
      <c r="C847" s="6">
        <f t="shared" si="183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65" t="s">
        <v>2386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4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4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4"/>
        <v>2</v>
      </c>
      <c r="C852" s="6">
        <f t="shared" ref="C852:C853" si="185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4"/>
        <v>3</v>
      </c>
      <c r="C853" s="6">
        <f t="shared" si="185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65" t="s">
        <v>2386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86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86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86"/>
        <v>2</v>
      </c>
      <c r="C858" s="6">
        <f t="shared" ref="C858:C859" si="187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86"/>
        <v>3</v>
      </c>
      <c r="C859" s="6">
        <f t="shared" si="187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65" t="s">
        <v>2386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88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88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88"/>
        <v>2</v>
      </c>
      <c r="C864" s="6">
        <f t="shared" ref="C864:C865" si="189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88"/>
        <v>3</v>
      </c>
      <c r="C865" s="6">
        <f t="shared" si="189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65" t="s">
        <v>2386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0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0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0"/>
        <v>2</v>
      </c>
      <c r="C870" s="6">
        <f t="shared" ref="C870:C871" si="191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0"/>
        <v>3</v>
      </c>
      <c r="C871" s="6">
        <f t="shared" si="191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65" t="s">
        <v>2386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2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2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2"/>
        <v>2</v>
      </c>
      <c r="C876" s="6">
        <f t="shared" ref="C876:C877" si="193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2"/>
        <v>3</v>
      </c>
      <c r="C877" s="6">
        <f t="shared" si="193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65" t="s">
        <v>2386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4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4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4"/>
        <v>2</v>
      </c>
      <c r="C882" s="6">
        <f t="shared" ref="C882:C883" si="195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4"/>
        <v>3</v>
      </c>
      <c r="C883" s="6">
        <f t="shared" si="195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65" t="s">
        <v>2386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196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196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196"/>
        <v>2</v>
      </c>
      <c r="C888" s="6">
        <f t="shared" ref="C888:C889" si="197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196"/>
        <v>3</v>
      </c>
      <c r="C889" s="6">
        <f t="shared" si="197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65" t="s">
        <v>2386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198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198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198"/>
        <v>2</v>
      </c>
      <c r="C894" s="6">
        <f t="shared" ref="C894:C895" si="199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198"/>
        <v>3</v>
      </c>
      <c r="C895" s="6">
        <f t="shared" si="199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2386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65" t="s">
        <v>2386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0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0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0"/>
        <v>2</v>
      </c>
      <c r="C902" s="6">
        <f t="shared" ref="C902:C903" si="201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0"/>
        <v>3</v>
      </c>
      <c r="C903" s="6">
        <f t="shared" si="201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65" t="s">
        <v>2386</v>
      </c>
      <c r="L905" s="56" t="s">
        <v>2389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2390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2391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2392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2393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65" t="s">
        <v>2386</v>
      </c>
      <c r="L916" s="56" t="s">
        <v>2394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2395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2396</v>
      </c>
      <c r="G919" s="100"/>
      <c r="H919" s="6" t="s">
        <v>2423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2397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2398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2398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2386</v>
      </c>
      <c r="L928" s="68" t="s">
        <v>2399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2398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2423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2395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2395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2396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2386</v>
      </c>
      <c r="L937" s="68" t="s">
        <v>2400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2397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2423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2401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65" t="s">
        <v>2386</v>
      </c>
      <c r="L946" s="56" t="s">
        <v>2402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2397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2403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2404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2397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65" t="s">
        <v>2386</v>
      </c>
      <c r="L953" s="56" t="s">
        <v>2405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2406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65" t="s">
        <v>2386</v>
      </c>
      <c r="L959" s="56" t="s">
        <v>2407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2391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2423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65" t="s">
        <v>2386</v>
      </c>
      <c r="L967" s="56" t="s">
        <v>2408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2398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2398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2409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2423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65" t="s">
        <v>2386</v>
      </c>
      <c r="L973" s="56" t="s">
        <v>2410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2411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2412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65" t="s">
        <v>2386</v>
      </c>
      <c r="L982" s="56" t="s">
        <v>2413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2414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2414</v>
      </c>
      <c r="E986" s="99" t="s">
        <v>870</v>
      </c>
      <c r="F986" s="167" t="s">
        <v>2390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65" t="s">
        <v>2386</v>
      </c>
      <c r="L989" s="56" t="s">
        <v>2415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2416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2397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2416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2417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2397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2417</v>
      </c>
      <c r="E997" s="99" t="s">
        <v>2320</v>
      </c>
      <c r="F997" s="167" t="s">
        <v>2418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65" t="s">
        <v>2386</v>
      </c>
      <c r="L1000" s="56" t="s">
        <v>2419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2420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2397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2420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2421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2397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2421</v>
      </c>
      <c r="E1008" s="99" t="s">
        <v>2320</v>
      </c>
      <c r="F1008" s="167" t="s">
        <v>2422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2384</v>
      </c>
    </row>
    <row r="33" spans="1:3">
      <c r="A33" s="188">
        <v>2.14</v>
      </c>
      <c r="B33" s="193">
        <v>46104.570196759261</v>
      </c>
      <c r="C33" t="s">
        <v>2385</v>
      </c>
    </row>
    <row r="34" spans="1:3">
      <c r="A34" s="188">
        <v>2.15</v>
      </c>
      <c r="B34" s="193">
        <v>46104.58730324074</v>
      </c>
      <c r="C34" t="s">
        <v>2387</v>
      </c>
    </row>
    <row r="35" spans="1:3">
      <c r="A35" s="188">
        <v>2.15</v>
      </c>
      <c r="B35" s="193">
        <v>46104.58730324074</v>
      </c>
      <c r="C35" t="s">
        <v>2388</v>
      </c>
    </row>
    <row r="36" spans="1:3">
      <c r="A36" s="188">
        <v>2.16</v>
      </c>
      <c r="B36" s="193">
        <v>46105.416550925926</v>
      </c>
      <c r="C36" t="s">
        <v>2426</v>
      </c>
    </row>
    <row r="37" spans="1:3">
      <c r="A37" s="188">
        <v>2.16</v>
      </c>
      <c r="B37" s="193">
        <v>46105.416550925926</v>
      </c>
      <c r="C37" t="s">
        <v>2427</v>
      </c>
    </row>
    <row r="38" spans="1:3">
      <c r="A38" s="188">
        <v>2.17</v>
      </c>
      <c r="B38" s="193">
        <v>46105.435995370368</v>
      </c>
      <c r="C38" t="s">
        <v>2428</v>
      </c>
    </row>
    <row r="39" spans="1:3">
      <c r="A39" s="188">
        <v>2.17</v>
      </c>
      <c r="B39" s="193">
        <v>46105.435995370368</v>
      </c>
      <c r="C39" t="s">
        <v>2429</v>
      </c>
    </row>
    <row r="40" spans="1:3">
      <c r="A40" s="188">
        <v>2.1800000000000002</v>
      </c>
      <c r="B40" s="193">
        <v>46105.470081018517</v>
      </c>
      <c r="C40" t="s">
        <v>2431</v>
      </c>
    </row>
    <row r="41" spans="1:3">
      <c r="A41" s="188">
        <v>2.1800000000000002</v>
      </c>
      <c r="B41" s="193">
        <v>46105.470081018517</v>
      </c>
      <c r="C41" t="s">
        <v>2432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2" t="s">
        <v>1026</v>
      </c>
      <c r="B24" s="263"/>
      <c r="C24" s="263"/>
      <c r="D24" s="26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2026-03-24T15:22:56Z</dcterms:modified>
</cp:coreProperties>
</file>