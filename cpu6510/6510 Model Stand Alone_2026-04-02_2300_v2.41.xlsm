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CA1AEC6A-3A02-4E67-B028-A2B34BC0A53B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07" i="5" a="1"/>
  <c r="J173" i="5" a="1"/>
  <c r="J231" i="5" a="1"/>
  <c r="J223" i="5" a="1"/>
  <c r="J176" i="5" a="1"/>
  <c r="J174" i="5" a="1"/>
  <c r="J206" i="5" a="1"/>
  <c r="J184" i="5" a="1"/>
  <c r="J182" i="5" a="1"/>
  <c r="J216" i="5" a="1"/>
  <c r="J194" i="5" a="1"/>
  <c r="J240" i="5" a="1"/>
  <c r="J222" i="5" a="1"/>
  <c r="J175" i="5" a="1"/>
  <c r="J241" i="5" a="1"/>
  <c r="J195" i="5" a="1"/>
  <c r="J193" i="5" a="1"/>
  <c r="J183" i="5" a="1"/>
  <c r="J177" i="5" a="1"/>
  <c r="J208" i="5" a="1"/>
  <c r="J232" i="5" a="1"/>
  <c r="J217" i="5" a="1"/>
  <c r="J241" i="5" l="1"/>
  <c r="J240" i="5"/>
  <c r="J232" i="5"/>
  <c r="J231" i="5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30" i="5" l="1"/>
  <c r="J215" i="5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K2" i="5" a="1"/>
  <c r="I2" i="5" a="1"/>
  <c r="E2" i="5" a="1"/>
  <c r="H2" i="5" a="1"/>
  <c r="L2" i="5" a="1"/>
  <c r="M2" i="5" a="1"/>
  <c r="J146" i="5" a="1"/>
  <c r="J147" i="5" a="1"/>
  <c r="B2" i="5" a="1"/>
  <c r="J2" i="5" a="1"/>
  <c r="D2" i="5" a="1"/>
  <c r="N2" i="5" a="1"/>
  <c r="J145" i="5" a="1"/>
  <c r="C2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7" i="2" a="1"/>
  <c r="S23" i="2" a="1"/>
  <c r="S31" i="2" a="1"/>
  <c r="S20" i="2" a="1"/>
  <c r="S26" i="2" a="1"/>
  <c r="S30" i="2" a="1"/>
  <c r="S28" i="2" a="1"/>
  <c r="S22" i="2" a="1"/>
  <c r="S29" i="2" a="1"/>
  <c r="S24" i="2" a="1"/>
  <c r="S21" i="2" a="1"/>
  <c r="S25" i="2" a="1"/>
  <c r="S18" i="2" a="1"/>
  <c r="S19" i="2" a="1"/>
  <c r="S17" i="2" a="1"/>
  <c r="S13" i="2" a="1"/>
  <c r="S15" i="2" a="1"/>
  <c r="S16" i="2" a="1"/>
  <c r="S14" i="2" a="1"/>
  <c r="S8" i="2" a="1"/>
  <c r="S12" i="2" a="1"/>
  <c r="K363" i="13" a="1"/>
  <c r="K531" i="13" a="1"/>
  <c r="K615" i="13" a="1"/>
  <c r="K352" i="13" a="1"/>
  <c r="J97" i="6" a="1"/>
  <c r="J120" i="6" a="1"/>
  <c r="J226" i="6" a="1"/>
  <c r="K385" i="13" a="1"/>
  <c r="S10" i="2" a="1"/>
  <c r="K634" i="13" a="1"/>
  <c r="J95" i="6" a="1"/>
  <c r="K580" i="13" a="1"/>
  <c r="K2" i="13" a="1"/>
  <c r="K489" i="13" a="1"/>
  <c r="J47" i="6" a="1"/>
  <c r="K390" i="13" a="1"/>
  <c r="J89" i="6" a="1"/>
  <c r="K632" i="13" a="1"/>
  <c r="K570" i="13" a="1"/>
  <c r="K331" i="13" a="1"/>
  <c r="J85" i="6" a="1"/>
  <c r="J63" i="6" a="1"/>
  <c r="J236" i="6" a="1"/>
  <c r="K593" i="13" a="1"/>
  <c r="K342" i="13" a="1"/>
  <c r="K543" i="13" a="1"/>
  <c r="K549" i="13" a="1"/>
  <c r="K38" i="13" a="1"/>
  <c r="K584" i="13" a="1"/>
  <c r="K620" i="13" a="1"/>
  <c r="J170" i="6" a="1"/>
  <c r="J124" i="6" a="1"/>
  <c r="J121" i="6" a="1"/>
  <c r="K436" i="13" a="1"/>
  <c r="J152" i="6" a="1"/>
  <c r="K494" i="13" a="1"/>
  <c r="J184" i="6" a="1"/>
  <c r="K395" i="13" a="1"/>
  <c r="K437" i="13" a="1"/>
  <c r="J195" i="6" a="1"/>
  <c r="K412" i="13" a="1"/>
  <c r="J148" i="6" a="1"/>
  <c r="K282" i="13" a="1"/>
  <c r="J94" i="6" a="1"/>
  <c r="K430" i="13" a="1"/>
  <c r="K16" i="13" a="1"/>
  <c r="K605" i="13" a="1"/>
  <c r="K447" i="13" a="1"/>
  <c r="K612" i="13" a="1"/>
  <c r="K373" i="13" a="1"/>
  <c r="J242" i="6" a="1"/>
  <c r="J205" i="6" a="1"/>
  <c r="J31" i="6" a="1"/>
  <c r="K414" i="13" a="1"/>
  <c r="K476" i="13" a="1"/>
  <c r="K604" i="13" a="1"/>
  <c r="K277" i="13" a="1"/>
  <c r="K14" i="13" a="1"/>
  <c r="J211" i="6" a="1"/>
  <c r="J13" i="6" a="1"/>
  <c r="J183" i="6" a="1"/>
  <c r="K358" i="13" a="1"/>
  <c r="K566" i="13" a="1"/>
  <c r="K417" i="13" a="1"/>
  <c r="J141" i="6" a="1"/>
  <c r="K182" i="13" a="1"/>
  <c r="J19" i="6" a="1"/>
  <c r="J53" i="6" a="1"/>
  <c r="J149" i="6" a="1"/>
  <c r="J45" i="6" a="1"/>
  <c r="K597" i="13" a="1"/>
  <c r="K629" i="13" a="1"/>
  <c r="K199" i="13" a="1"/>
  <c r="K427" i="13" a="1"/>
  <c r="J143" i="6" a="1"/>
  <c r="K613" i="13" a="1"/>
  <c r="K461" i="13" a="1"/>
  <c r="K585" i="13" a="1"/>
  <c r="J20" i="6" a="1"/>
  <c r="K458" i="13" a="1"/>
  <c r="K315" i="13" a="1"/>
  <c r="K410" i="13" a="1"/>
  <c r="J80" i="6" a="1"/>
  <c r="J29" i="6" a="1"/>
  <c r="J111" i="6" a="1"/>
  <c r="K590" i="13" a="1"/>
  <c r="K631" i="13" a="1"/>
  <c r="K441" i="13" a="1"/>
  <c r="K357" i="13" a="1"/>
  <c r="K379" i="13" a="1"/>
  <c r="J28" i="6" a="1"/>
  <c r="J232" i="6" a="1"/>
  <c r="K13" i="13" a="1"/>
  <c r="K581" i="13" a="1"/>
  <c r="J73" i="6" a="1"/>
  <c r="K438" i="13" a="1"/>
  <c r="J132" i="6" a="1"/>
  <c r="K338" i="13" a="1"/>
  <c r="K599" i="13" a="1"/>
  <c r="J171" i="6" a="1"/>
  <c r="J102" i="6" a="1"/>
  <c r="K468" i="13" a="1"/>
  <c r="J133" i="6" a="1"/>
  <c r="K633" i="13" a="1"/>
  <c r="K334" i="13" a="1"/>
  <c r="K607" i="13" a="1"/>
  <c r="J216" i="6" a="1"/>
  <c r="K469" i="13" a="1"/>
  <c r="J186" i="6" a="1"/>
  <c r="J51" i="6" a="1"/>
  <c r="J138" i="6" a="1"/>
  <c r="J198" i="6" a="1"/>
  <c r="J4" i="6" a="1"/>
  <c r="K336" i="13" a="1"/>
  <c r="J76" i="6" a="1"/>
  <c r="J67" i="6" a="1"/>
  <c r="J243" i="6" a="1"/>
  <c r="J166" i="6" a="1"/>
  <c r="K386" i="13" a="1"/>
  <c r="K470" i="13" a="1"/>
  <c r="J165" i="6" a="1"/>
  <c r="J27" i="6" a="1"/>
  <c r="K42" i="13" a="1"/>
  <c r="J159" i="6" a="1"/>
  <c r="K514" i="13" a="1"/>
  <c r="K521" i="13" a="1"/>
  <c r="J238" i="6" a="1"/>
  <c r="K370" i="13" a="1"/>
  <c r="K316" i="13" a="1"/>
  <c r="K281" i="13" a="1"/>
  <c r="J35" i="6" a="1"/>
  <c r="K587" i="13" a="1"/>
  <c r="K535" i="13" a="1"/>
  <c r="K364" i="13" a="1"/>
  <c r="K50" i="13" a="1"/>
  <c r="J118" i="6" a="1"/>
  <c r="J214" i="6" a="1"/>
  <c r="J15" i="6" a="1"/>
  <c r="K339" i="13" a="1"/>
  <c r="J10" i="6" a="1"/>
  <c r="K519" i="13" a="1"/>
  <c r="K443" i="13" a="1"/>
  <c r="K578" i="13" a="1"/>
  <c r="K423" i="13" a="1"/>
  <c r="K598" i="13" a="1"/>
  <c r="K445" i="13" a="1"/>
  <c r="J193" i="6" a="1"/>
  <c r="K185" i="13" a="1"/>
  <c r="K555" i="13" a="1"/>
  <c r="K343" i="13" a="1"/>
  <c r="K627" i="13" a="1"/>
  <c r="J220" i="6" a="1"/>
  <c r="K635" i="13" a="1"/>
  <c r="J11" i="6" a="1"/>
  <c r="K432" i="13" a="1"/>
  <c r="K592" i="13" a="1"/>
  <c r="K402" i="13" a="1"/>
  <c r="K601" i="13" a="1"/>
  <c r="K322" i="13" a="1"/>
  <c r="K538" i="13" a="1"/>
  <c r="K444" i="13" a="1"/>
  <c r="K508" i="13" a="1"/>
  <c r="J109" i="6" a="1"/>
  <c r="K504" i="13" a="1"/>
  <c r="K510" i="13" a="1"/>
  <c r="J187" i="6" a="1"/>
  <c r="J249" i="6" a="1"/>
  <c r="K567" i="13" a="1"/>
  <c r="J212" i="6" a="1"/>
  <c r="K380" i="13" a="1"/>
  <c r="K637" i="13" a="1"/>
  <c r="J172" i="6" a="1"/>
  <c r="J2" i="6" a="1"/>
  <c r="J223" i="6" a="1"/>
  <c r="K481" i="13" a="1"/>
  <c r="J144" i="6" a="1"/>
  <c r="K198" i="13" a="1"/>
  <c r="J59" i="6" a="1"/>
  <c r="K340" i="13" a="1"/>
  <c r="K464" i="13" a="1"/>
  <c r="K512" i="13" a="1"/>
  <c r="J108" i="6" a="1"/>
  <c r="K366" i="13" a="1"/>
  <c r="J177" i="6" a="1"/>
  <c r="K166" i="13" a="1"/>
  <c r="K557" i="13" a="1"/>
  <c r="K429" i="13" a="1"/>
  <c r="K525" i="13" a="1"/>
  <c r="K405" i="13" a="1"/>
  <c r="J93" i="6" a="1"/>
  <c r="K327" i="13" a="1"/>
  <c r="J88" i="6" a="1"/>
  <c r="K41" i="13" a="1"/>
  <c r="K553" i="13" a="1"/>
  <c r="J191" i="6" a="1"/>
  <c r="J167" i="6" a="1"/>
  <c r="J5" i="6" a="1"/>
  <c r="J202" i="6" a="1"/>
  <c r="K320" i="13" a="1"/>
  <c r="J222" i="6" a="1"/>
  <c r="K596" i="13" a="1"/>
  <c r="J174" i="6" a="1"/>
  <c r="J136" i="6" a="1"/>
  <c r="K472" i="13" a="1"/>
  <c r="K39" i="13" a="1"/>
  <c r="K453" i="13" a="1"/>
  <c r="J32" i="6" a="1"/>
  <c r="J81" i="6" a="1"/>
  <c r="J147" i="6" a="1"/>
  <c r="K579" i="13" a="1"/>
  <c r="K552" i="13" a="1"/>
  <c r="K537" i="13" a="1"/>
  <c r="K15" i="13" a="1"/>
  <c r="K559" i="13" a="1"/>
  <c r="K564" i="13" a="1"/>
  <c r="J137" i="6" a="1"/>
  <c r="J128" i="6" a="1"/>
  <c r="J158" i="6" a="1"/>
  <c r="J78" i="6" a="1"/>
  <c r="K492" i="13" a="1"/>
  <c r="J7" i="6" a="1"/>
  <c r="K455" i="13" a="1"/>
  <c r="K392" i="13" a="1"/>
  <c r="K324" i="13" a="1"/>
  <c r="K318" i="13" a="1"/>
  <c r="J218" i="6" a="1"/>
  <c r="K550" i="13" a="1"/>
  <c r="K341" i="13" a="1"/>
  <c r="K328" i="13" a="1"/>
  <c r="K374" i="13" a="1"/>
  <c r="K433" i="13" a="1"/>
  <c r="K348" i="13" a="1"/>
  <c r="K353" i="13" a="1"/>
  <c r="K530" i="13" a="1"/>
  <c r="K610" i="13" a="1"/>
  <c r="J182" i="6" a="1"/>
  <c r="K439" i="13" a="1"/>
  <c r="K614" i="13" a="1"/>
  <c r="K517" i="13" a="1"/>
  <c r="J151" i="6" a="1"/>
  <c r="K497" i="13" a="1"/>
  <c r="J153" i="6" a="1"/>
  <c r="J26" i="6" a="1"/>
  <c r="J25" i="6" a="1"/>
  <c r="J251" i="6" a="1"/>
  <c r="K351" i="13" a="1"/>
  <c r="K526" i="13" a="1"/>
  <c r="K115" i="13" a="1"/>
  <c r="K356" i="13" a="1"/>
  <c r="K558" i="13" a="1"/>
  <c r="J110" i="6" a="1"/>
  <c r="K378" i="13" a="1"/>
  <c r="K636" i="13" a="1"/>
  <c r="J46" i="6" a="1"/>
  <c r="K588" i="13" a="1"/>
  <c r="J240" i="6" a="1"/>
  <c r="K547" i="13" a="1"/>
  <c r="K616" i="13" a="1"/>
  <c r="K496" i="13" a="1"/>
  <c r="K125" i="13" a="1"/>
  <c r="J36" i="6" a="1"/>
  <c r="J77" i="6" a="1"/>
  <c r="J21" i="6" a="1"/>
  <c r="S11" i="2" a="1"/>
  <c r="K376" i="13" a="1"/>
  <c r="K456" i="13" a="1"/>
  <c r="K466" i="13" a="1"/>
  <c r="J107" i="6" a="1"/>
  <c r="J150" i="6" a="1"/>
  <c r="J75" i="6" a="1"/>
  <c r="J16" i="6" a="1"/>
  <c r="K428" i="13" a="1"/>
  <c r="J140" i="6" a="1"/>
  <c r="K375" i="13" a="1"/>
  <c r="J103" i="6" a="1"/>
  <c r="J180" i="6" a="1"/>
  <c r="K354" i="13" a="1"/>
  <c r="K509" i="13" a="1"/>
  <c r="J3" i="6" a="1"/>
  <c r="J116" i="6" a="1"/>
  <c r="J201" i="6" a="1"/>
  <c r="J228" i="6" a="1"/>
  <c r="K70" i="13" a="1"/>
  <c r="J22" i="6" a="1"/>
  <c r="J69" i="6" a="1"/>
  <c r="K78" i="13" a="1"/>
  <c r="K457" i="13" a="1"/>
  <c r="J48" i="6" a="1"/>
  <c r="K485" i="13" a="1"/>
  <c r="J247" i="6" a="1"/>
  <c r="K600" i="13" a="1"/>
  <c r="J161" i="6" a="1"/>
  <c r="K411" i="13" a="1"/>
  <c r="K574" i="13" a="1"/>
  <c r="J24" i="6" a="1"/>
  <c r="K606" i="13" a="1"/>
  <c r="K495" i="13" a="1"/>
  <c r="K371" i="13" a="1"/>
  <c r="J119" i="6" a="1"/>
  <c r="J106" i="6" a="1"/>
  <c r="J60" i="6" a="1"/>
  <c r="K286" i="13" a="1"/>
  <c r="K502" i="13" a="1"/>
  <c r="K523" i="13" a="1"/>
  <c r="J225" i="6" a="1"/>
  <c r="K337" i="13" a="1"/>
  <c r="K528" i="13" a="1"/>
  <c r="K622" i="13" a="1"/>
  <c r="J199" i="6" a="1"/>
  <c r="J43" i="6" a="1"/>
  <c r="J52" i="6" a="1"/>
  <c r="K362" i="13" a="1"/>
  <c r="K406" i="13" a="1"/>
  <c r="J101" i="6" a="1"/>
  <c r="J130" i="6" a="1"/>
  <c r="K569" i="13" a="1"/>
  <c r="K330" i="13" a="1"/>
  <c r="J9" i="6" a="1"/>
  <c r="J221" i="6" a="1"/>
  <c r="J235" i="6" a="1"/>
  <c r="J168" i="6" a="1"/>
  <c r="J208" i="6" a="1"/>
  <c r="K27" i="13" a="1"/>
  <c r="K454" i="13" a="1"/>
  <c r="K404" i="13" a="1"/>
  <c r="K307" i="13" a="1"/>
  <c r="K383" i="13" a="1"/>
  <c r="K561" i="13" a="1"/>
  <c r="J215" i="6" a="1"/>
  <c r="K359" i="13" a="1"/>
  <c r="K382" i="13" a="1"/>
  <c r="K18" i="13" a="1"/>
  <c r="K37" i="13" a="1"/>
  <c r="J157" i="6" a="1"/>
  <c r="K609" i="13" a="1"/>
  <c r="K177" i="13" a="1"/>
  <c r="K532" i="13" a="1"/>
  <c r="K434" i="13" a="1"/>
  <c r="J39" i="6" a="1"/>
  <c r="K147" i="13" a="1"/>
  <c r="K477" i="13" a="1"/>
  <c r="K628" i="13" a="1"/>
  <c r="K388" i="13" a="1"/>
  <c r="J71" i="6" a="1"/>
  <c r="K418" i="13" a="1"/>
  <c r="K422" i="13" a="1"/>
  <c r="J189" i="6" a="1"/>
  <c r="J117" i="6" a="1"/>
  <c r="J55" i="6" a="1"/>
  <c r="J230" i="6" a="1"/>
  <c r="K317" i="13" a="1"/>
  <c r="K522" i="13" a="1"/>
  <c r="K449" i="13" a="1"/>
  <c r="J104" i="6" a="1"/>
  <c r="K319" i="13" a="1"/>
  <c r="K361" i="13" a="1"/>
  <c r="J98" i="6" a="1"/>
  <c r="K389" i="13" a="1"/>
  <c r="K368" i="13" a="1"/>
  <c r="K534" i="13" a="1"/>
  <c r="K421" i="13" a="1"/>
  <c r="K393" i="13" a="1"/>
  <c r="K415" i="13" a="1"/>
  <c r="K520" i="13" a="1"/>
  <c r="J17" i="6" a="1"/>
  <c r="J156" i="6" a="1"/>
  <c r="J224" i="6" a="1"/>
  <c r="K486" i="13" a="1"/>
  <c r="J37" i="6" a="1"/>
  <c r="K416" i="13" a="1"/>
  <c r="J8" i="6" a="1"/>
  <c r="K142" i="13" a="1"/>
  <c r="K624" i="13" a="1"/>
  <c r="J185" i="6" a="1"/>
  <c r="K568" i="13" a="1"/>
  <c r="K442" i="13" a="1"/>
  <c r="K603" i="13" a="1"/>
  <c r="K544" i="13" a="1"/>
  <c r="K524" i="13" a="1"/>
  <c r="K589" i="13" a="1"/>
  <c r="J146" i="6" a="1"/>
  <c r="K625" i="13" a="1"/>
  <c r="K541" i="13" a="1"/>
  <c r="K545" i="13" a="1"/>
  <c r="K572" i="13" a="1"/>
  <c r="K488" i="13" a="1"/>
  <c r="J192" i="6" a="1"/>
  <c r="J219" i="6" a="1"/>
  <c r="K349" i="13" a="1"/>
  <c r="J79" i="6" a="1"/>
  <c r="J204" i="6" a="1"/>
  <c r="J72" i="6" a="1"/>
  <c r="J139" i="6" a="1"/>
  <c r="J135" i="6" a="1"/>
  <c r="J6" i="6" a="1"/>
  <c r="K36" i="13" a="1"/>
  <c r="K626" i="13" a="1"/>
  <c r="K347" i="13" a="1"/>
  <c r="K329" i="13" a="1"/>
  <c r="K623" i="13" a="1"/>
  <c r="K515" i="13" a="1"/>
  <c r="K479" i="13" a="1"/>
  <c r="K551" i="13" a="1"/>
  <c r="K611" i="13" a="1"/>
  <c r="K394" i="13" a="1"/>
  <c r="J176" i="6" a="1"/>
  <c r="J241" i="6" a="1"/>
  <c r="J34" i="6" a="1"/>
  <c r="K365" i="13" a="1"/>
  <c r="K126" i="13" a="1"/>
  <c r="K565" i="13" a="1"/>
  <c r="K325" i="13" a="1"/>
  <c r="K554" i="13" a="1"/>
  <c r="J84" i="6" a="1"/>
  <c r="K562" i="13" a="1"/>
  <c r="K440" i="13" a="1"/>
  <c r="K546" i="13" a="1"/>
  <c r="J234" i="6" a="1"/>
  <c r="J227" i="6" a="1"/>
  <c r="K482" i="13" a="1"/>
  <c r="K391" i="13" a="1"/>
  <c r="K529" i="13" a="1"/>
  <c r="J58" i="6" a="1"/>
  <c r="S9" i="2" a="1"/>
  <c r="J14" i="6" a="1"/>
  <c r="J56" i="6" a="1"/>
  <c r="K355" i="13" a="1"/>
  <c r="K475" i="13" a="1"/>
  <c r="K381" i="13" a="1"/>
  <c r="J86" i="6" a="1"/>
  <c r="K399" i="13" a="1"/>
  <c r="J175" i="6" a="1"/>
  <c r="K420" i="13" a="1"/>
  <c r="J145" i="6" a="1"/>
  <c r="K487" i="13" a="1"/>
  <c r="J64" i="6" a="1"/>
  <c r="J49" i="6" a="1"/>
  <c r="J154" i="6" a="1"/>
  <c r="K573" i="13" a="1"/>
  <c r="K460" i="13" a="1"/>
  <c r="K11" i="13" a="1"/>
  <c r="K617" i="13" a="1"/>
  <c r="J203" i="6" a="1"/>
  <c r="J237" i="6" a="1"/>
  <c r="K450" i="13" a="1"/>
  <c r="K350" i="13" a="1"/>
  <c r="J164" i="6" a="1"/>
  <c r="J12" i="6" a="1"/>
  <c r="K360" i="13" a="1"/>
  <c r="J233" i="6" a="1"/>
  <c r="K143" i="13" a="1"/>
  <c r="K400" i="13" a="1"/>
  <c r="J113" i="6" a="1"/>
  <c r="K465" i="13" a="1"/>
  <c r="K507" i="13" a="1"/>
  <c r="K563" i="13" a="1"/>
  <c r="J83" i="6" a="1"/>
  <c r="K397" i="13" a="1"/>
  <c r="J92" i="6" a="1"/>
  <c r="K144" i="13" a="1"/>
  <c r="J42" i="6" a="1"/>
  <c r="J114" i="6" a="1"/>
  <c r="K516" i="13" a="1"/>
  <c r="K595" i="13" a="1"/>
  <c r="K556" i="13" a="1"/>
  <c r="J68" i="6" a="1"/>
  <c r="K321" i="13" a="1"/>
  <c r="K491" i="13" a="1"/>
  <c r="J65" i="6" a="1"/>
  <c r="K484" i="13" a="1"/>
  <c r="J87" i="6" a="1"/>
  <c r="K473" i="13" a="1"/>
  <c r="K326" i="13" a="1"/>
  <c r="J131" i="6" a="1"/>
  <c r="J160" i="6" a="1"/>
  <c r="K583" i="13" a="1"/>
  <c r="K576" i="13" a="1"/>
  <c r="K618" i="13" a="1"/>
  <c r="J90" i="6" a="1"/>
  <c r="K503" i="13" a="1"/>
  <c r="J197" i="6" a="1"/>
  <c r="K586" i="13" a="1"/>
  <c r="K234" i="13" a="1"/>
  <c r="K270" i="13" a="1"/>
  <c r="K619" i="13" a="1"/>
  <c r="J62" i="6" a="1"/>
  <c r="J229" i="6" a="1"/>
  <c r="K401" i="13" a="1"/>
  <c r="K345" i="13" a="1"/>
  <c r="J245" i="6" a="1"/>
  <c r="K602" i="13" a="1"/>
  <c r="J99" i="6" a="1"/>
  <c r="J100" i="6" a="1"/>
  <c r="J115" i="6" a="1"/>
  <c r="K426" i="13" a="1"/>
  <c r="K40" i="13" a="1"/>
  <c r="K463" i="13" a="1"/>
  <c r="J209" i="6" a="1"/>
  <c r="K448" i="13" a="1"/>
  <c r="K372" i="13" a="1"/>
  <c r="K500" i="13" a="1"/>
  <c r="J41" i="6" a="1"/>
  <c r="K66" i="13" a="1"/>
  <c r="K384" i="13" a="1"/>
  <c r="K490" i="13" a="1"/>
  <c r="J33" i="6" a="1"/>
  <c r="K483" i="13" a="1"/>
  <c r="J82" i="6" a="1"/>
  <c r="J57" i="6" a="1"/>
  <c r="J30" i="6" a="1"/>
  <c r="K431" i="13" a="1"/>
  <c r="K346" i="13" a="1"/>
  <c r="K214" i="13" a="1"/>
  <c r="K332" i="13" a="1"/>
  <c r="K323" i="13" a="1"/>
  <c r="K608" i="13" a="1"/>
  <c r="J217" i="6" a="1"/>
  <c r="K518" i="13" a="1"/>
  <c r="J231" i="6" a="1"/>
  <c r="K367" i="13" a="1"/>
  <c r="K594" i="13" a="1"/>
  <c r="K480" i="13" a="1"/>
  <c r="J181" i="6" a="1"/>
  <c r="K582" i="13" a="1"/>
  <c r="K333" i="13" a="1"/>
  <c r="K560" i="13" a="1"/>
  <c r="J178" i="6" a="1"/>
  <c r="K387" i="13" a="1"/>
  <c r="J126" i="6" a="1"/>
  <c r="J40" i="6" a="1"/>
  <c r="K513" i="13" a="1"/>
  <c r="J66" i="6" a="1"/>
  <c r="J169" i="6" a="1"/>
  <c r="J250" i="6" a="1"/>
  <c r="K571" i="13" a="1"/>
  <c r="K435" i="13" a="1"/>
  <c r="K536" i="13" a="1"/>
  <c r="J239" i="6" a="1"/>
  <c r="J134" i="6" a="1"/>
  <c r="J91" i="6" a="1"/>
  <c r="J18" i="6" a="1"/>
  <c r="J155" i="6" a="1"/>
  <c r="J194" i="6" a="1"/>
  <c r="K533" i="13" a="1"/>
  <c r="K499" i="13" a="1"/>
  <c r="K377" i="13" a="1"/>
  <c r="J23" i="6" a="1"/>
  <c r="K505" i="13" a="1"/>
  <c r="J61" i="6" a="1"/>
  <c r="K478" i="13" a="1"/>
  <c r="J105" i="6" a="1"/>
  <c r="J244" i="6" a="1"/>
  <c r="J96" i="6" a="1"/>
  <c r="K396" i="13" a="1"/>
  <c r="K630" i="13" a="1"/>
  <c r="J196" i="6" a="1"/>
  <c r="K369" i="13" a="1"/>
  <c r="J125" i="6" a="1"/>
  <c r="J206" i="6" a="1"/>
  <c r="K10" i="13" a="1"/>
  <c r="K577" i="13" a="1"/>
  <c r="K591" i="13" a="1"/>
  <c r="J112" i="6" a="1"/>
  <c r="K193" i="13" a="1"/>
  <c r="J179" i="6" a="1"/>
  <c r="J188" i="6" a="1"/>
  <c r="K409" i="13" a="1"/>
  <c r="J190" i="6" a="1"/>
  <c r="J173" i="6" a="1"/>
  <c r="J162" i="6" a="1"/>
  <c r="K419" i="13" a="1"/>
  <c r="J248" i="6" a="1"/>
  <c r="K398" i="13" a="1"/>
  <c r="J123" i="6" a="1"/>
  <c r="K408" i="13" a="1"/>
  <c r="K425" i="13" a="1"/>
  <c r="K501" i="13" a="1"/>
  <c r="K474" i="13" a="1"/>
  <c r="J163" i="6" a="1"/>
  <c r="K467" i="13" a="1"/>
  <c r="K178" i="13" a="1"/>
  <c r="J127" i="6" a="1"/>
  <c r="K498" i="13" a="1"/>
  <c r="K252" i="13" a="1"/>
  <c r="K221" i="13" a="1"/>
  <c r="K407" i="13" a="1"/>
  <c r="K462" i="13" a="1"/>
  <c r="J246" i="6" a="1"/>
  <c r="J44" i="6" a="1"/>
  <c r="K548" i="13" a="1"/>
  <c r="J70" i="6" a="1"/>
  <c r="J207" i="6" a="1"/>
  <c r="J210" i="6" a="1"/>
  <c r="K621" i="13" a="1"/>
  <c r="K150" i="13" a="1"/>
  <c r="K506" i="13" a="1"/>
  <c r="K446" i="13" a="1"/>
  <c r="K413" i="13" a="1"/>
  <c r="K493" i="13" a="1"/>
  <c r="K200" i="13" a="1"/>
  <c r="K335" i="13" a="1"/>
  <c r="K527" i="13" a="1"/>
  <c r="J129" i="6" a="1"/>
  <c r="K344" i="13" a="1"/>
  <c r="K539" i="13" a="1"/>
  <c r="K452" i="13" a="1"/>
  <c r="J142" i="6" a="1"/>
  <c r="K575" i="13" a="1"/>
  <c r="J213" i="6" a="1"/>
  <c r="K542" i="13" a="1"/>
  <c r="K471" i="13" a="1"/>
  <c r="K167" i="13" a="1"/>
  <c r="J54" i="6" a="1"/>
  <c r="K511" i="13" a="1"/>
  <c r="K540" i="13" a="1"/>
  <c r="K403" i="13" a="1"/>
  <c r="J38" i="6" a="1"/>
  <c r="J122" i="6" a="1"/>
  <c r="K459" i="13" a="1"/>
  <c r="J200" i="6" a="1"/>
  <c r="K424" i="13" a="1"/>
  <c r="J74" i="6" a="1"/>
  <c r="J50" i="6" a="1"/>
  <c r="K451" i="13" a="1"/>
  <c r="J102" i="5" a="1"/>
  <c r="J25" i="5" a="1"/>
  <c r="J37" i="5" a="1"/>
  <c r="J79" i="5" a="1"/>
  <c r="J38" i="5" a="1"/>
  <c r="J121" i="5" a="1"/>
  <c r="J94" i="5" a="1"/>
  <c r="J19" i="5" a="1"/>
  <c r="J48" i="5" a="1"/>
  <c r="J110" i="5" a="1"/>
  <c r="J89" i="5" a="1"/>
  <c r="J88" i="5" a="1"/>
  <c r="J67" i="5" a="1"/>
  <c r="J81" i="5" a="1"/>
  <c r="J27" i="5" a="1"/>
  <c r="J39" i="5" a="1"/>
  <c r="J50" i="5" a="1"/>
  <c r="J66" i="5" a="1"/>
  <c r="J59" i="5" a="1"/>
  <c r="J120" i="5" a="1"/>
  <c r="J36" i="5" a="1"/>
  <c r="J74" i="5" a="1"/>
  <c r="J87" i="5" a="1"/>
  <c r="J109" i="5" a="1"/>
  <c r="J93" i="5" a="1"/>
  <c r="J49" i="5" a="1"/>
  <c r="J73" i="5" a="1"/>
  <c r="J122" i="5" a="1"/>
  <c r="J90" i="5" a="1"/>
  <c r="J80" i="5" a="1"/>
  <c r="J57" i="5" a="1"/>
  <c r="J26" i="5" a="1"/>
  <c r="J20" i="5" a="1"/>
  <c r="J58" i="5" a="1"/>
  <c r="J21" i="5" a="1"/>
  <c r="J111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35" i="13" a="1"/>
  <c r="K19" i="13" a="1"/>
  <c r="K146" i="13" a="1"/>
  <c r="K267" i="13" a="1"/>
  <c r="K205" i="13" a="1"/>
  <c r="K46" i="13" a="1"/>
  <c r="K265" i="13" a="1"/>
  <c r="K63" i="13" a="1"/>
  <c r="K7" i="13" a="1"/>
  <c r="K236" i="13" a="1"/>
  <c r="K51" i="13" a="1"/>
  <c r="K35" i="13" a="1"/>
  <c r="K219" i="13" a="1"/>
  <c r="K192" i="13" a="1"/>
  <c r="K20" i="13" a="1"/>
  <c r="K87" i="13" a="1"/>
  <c r="K69" i="13" a="1"/>
  <c r="K261" i="13" a="1"/>
  <c r="K186" i="13" a="1"/>
  <c r="K157" i="13" a="1"/>
  <c r="K93" i="13" a="1"/>
  <c r="K121" i="13" a="1"/>
  <c r="K272" i="13" a="1"/>
  <c r="K135" i="13" a="1"/>
  <c r="K4" i="13" a="1"/>
  <c r="K137" i="13" a="1"/>
  <c r="K110" i="13" a="1"/>
  <c r="K85" i="13" a="1"/>
  <c r="K140" i="13" a="1"/>
  <c r="K232" i="13" a="1"/>
  <c r="K162" i="13" a="1"/>
  <c r="K313" i="13" a="1"/>
  <c r="K103" i="13" a="1"/>
  <c r="K189" i="13" a="1"/>
  <c r="K159" i="13" a="1"/>
  <c r="K148" i="13" a="1"/>
  <c r="K293" i="13" a="1"/>
  <c r="K288" i="13" a="1"/>
  <c r="K122" i="13" a="1"/>
  <c r="K88" i="13" a="1"/>
  <c r="K90" i="13" a="1"/>
  <c r="K96" i="13" a="1"/>
  <c r="K310" i="13" a="1"/>
  <c r="K26" i="13" a="1"/>
  <c r="K266" i="13" a="1"/>
  <c r="K32" i="13" a="1"/>
  <c r="K9" i="13" a="1"/>
  <c r="K95" i="13" a="1"/>
  <c r="K33" i="13" a="1"/>
  <c r="K83" i="13" a="1"/>
  <c r="K188" i="13" a="1"/>
  <c r="K149" i="13" a="1"/>
  <c r="K314" i="13" a="1"/>
  <c r="K302" i="13" a="1"/>
  <c r="K263" i="13" a="1"/>
  <c r="K102" i="13" a="1"/>
  <c r="K94" i="13" a="1"/>
  <c r="K58" i="13" a="1"/>
  <c r="K76" i="13" a="1"/>
  <c r="K213" i="13" a="1"/>
  <c r="K111" i="13" a="1"/>
  <c r="K207" i="13" a="1"/>
  <c r="K79" i="13" a="1"/>
  <c r="K209" i="13" a="1"/>
  <c r="K268" i="13" a="1"/>
  <c r="K274" i="13" a="1"/>
  <c r="K280" i="13" a="1"/>
  <c r="K218" i="13" a="1"/>
  <c r="K269" i="13" a="1"/>
  <c r="K253" i="13" a="1"/>
  <c r="K243" i="13" a="1"/>
  <c r="K226" i="13" a="1"/>
  <c r="K156" i="13" a="1"/>
  <c r="K196" i="13" a="1"/>
  <c r="K141" i="13" a="1"/>
  <c r="K203" i="13" a="1"/>
  <c r="K276" i="13" a="1"/>
  <c r="K29" i="13" a="1"/>
  <c r="K133" i="13" a="1"/>
  <c r="K53" i="13" a="1"/>
  <c r="K242" i="13" a="1"/>
  <c r="K194" i="13" a="1"/>
  <c r="K264" i="13" a="1"/>
  <c r="K100" i="13" a="1"/>
  <c r="K296" i="13" a="1"/>
  <c r="K255" i="13" a="1"/>
  <c r="K8" i="13" a="1"/>
  <c r="K220" i="13" a="1"/>
  <c r="K158" i="13" a="1"/>
  <c r="K44" i="13" a="1"/>
  <c r="K224" i="13" a="1"/>
  <c r="K153" i="13" a="1"/>
  <c r="K250" i="13" a="1"/>
  <c r="K139" i="13" a="1"/>
  <c r="K22" i="13" a="1"/>
  <c r="K298" i="13" a="1"/>
  <c r="K114" i="13" a="1"/>
  <c r="K71" i="13" a="1"/>
  <c r="K72" i="13" a="1"/>
  <c r="K181" i="13" a="1"/>
  <c r="K25" i="13" a="1"/>
  <c r="K169" i="13" a="1"/>
  <c r="K109" i="13" a="1"/>
  <c r="K251" i="13" a="1"/>
  <c r="K124" i="13" a="1"/>
  <c r="K273" i="13" a="1"/>
  <c r="K294" i="13" a="1"/>
  <c r="K258" i="13" a="1"/>
  <c r="K97" i="13" a="1"/>
  <c r="K21" i="13" a="1"/>
  <c r="K249" i="13" a="1"/>
  <c r="K62" i="13" a="1"/>
  <c r="K75" i="13" a="1"/>
  <c r="K57" i="13" a="1"/>
  <c r="K129" i="13" a="1"/>
  <c r="K306" i="13" a="1"/>
  <c r="K257" i="13" a="1"/>
  <c r="K191" i="13" a="1"/>
  <c r="K295" i="13" a="1"/>
  <c r="K31" i="13" a="1"/>
  <c r="K164" i="13" a="1"/>
  <c r="K161" i="13" a="1"/>
  <c r="K279" i="13" a="1"/>
  <c r="K248" i="13" a="1"/>
  <c r="K223" i="13" a="1"/>
  <c r="K23" i="13" a="1"/>
  <c r="K210" i="13" a="1"/>
  <c r="K172" i="13" a="1"/>
  <c r="K308" i="13" a="1"/>
  <c r="K240" i="13" a="1"/>
  <c r="K233" i="13" a="1"/>
  <c r="K168" i="13" a="1"/>
  <c r="K275" i="13" a="1"/>
  <c r="K160" i="13" a="1"/>
  <c r="K17" i="13" a="1"/>
  <c r="K12" i="13" a="1"/>
  <c r="K145" i="13" a="1"/>
  <c r="K312" i="13" a="1"/>
  <c r="K171" i="13" a="1"/>
  <c r="K211" i="13" a="1"/>
  <c r="K86" i="13" a="1"/>
  <c r="K206" i="13" a="1"/>
  <c r="K297" i="13" a="1"/>
  <c r="K246" i="13" a="1"/>
  <c r="K183" i="13" a="1"/>
  <c r="K49" i="13" a="1"/>
  <c r="K304" i="13" a="1"/>
  <c r="K101" i="13" a="1"/>
  <c r="K55" i="13" a="1"/>
  <c r="K107" i="13" a="1"/>
  <c r="K56" i="13" a="1"/>
  <c r="K34" i="13" a="1"/>
  <c r="K173" i="13" a="1"/>
  <c r="K184" i="13" a="1"/>
  <c r="K52" i="13" a="1"/>
  <c r="K290" i="13" a="1"/>
  <c r="K175" i="13" a="1"/>
  <c r="K65" i="13" a="1"/>
  <c r="K241" i="13" a="1"/>
  <c r="K291" i="13" a="1"/>
  <c r="K45" i="13" a="1"/>
  <c r="K77" i="13" a="1"/>
  <c r="K217" i="13" a="1"/>
  <c r="K91" i="13" a="1"/>
  <c r="K48" i="13" a="1"/>
  <c r="K59" i="13" a="1"/>
  <c r="K61" i="13" a="1"/>
  <c r="K176" i="13" a="1"/>
  <c r="K228" i="13" a="1"/>
  <c r="K82" i="13" a="1"/>
  <c r="K190" i="13" a="1"/>
  <c r="K60" i="13" a="1"/>
  <c r="K238" i="13" a="1"/>
  <c r="K28" i="13" a="1"/>
  <c r="K67" i="13" a="1"/>
  <c r="K74" i="13" a="1"/>
  <c r="K130" i="13" a="1"/>
  <c r="K227" i="13" a="1"/>
  <c r="K134" i="13" a="1"/>
  <c r="K305" i="13" a="1"/>
  <c r="K278" i="13" a="1"/>
  <c r="K195" i="13" a="1"/>
  <c r="K81" i="13" a="1"/>
  <c r="K284" i="13" a="1"/>
  <c r="K245" i="13" a="1"/>
  <c r="K204" i="13" a="1"/>
  <c r="K179" i="13" a="1"/>
  <c r="K132" i="13" a="1"/>
  <c r="K113" i="13" a="1"/>
  <c r="K116" i="13" a="1"/>
  <c r="K105" i="13" a="1"/>
  <c r="K152" i="13" a="1"/>
  <c r="K287" i="13" a="1"/>
  <c r="K256" i="13" a="1"/>
  <c r="K283" i="13" a="1"/>
  <c r="K68" i="13" a="1"/>
  <c r="K98" i="13" a="1"/>
  <c r="K303" i="13" a="1"/>
  <c r="K54" i="13" a="1"/>
  <c r="K187" i="13" a="1"/>
  <c r="K112" i="13" a="1"/>
  <c r="K216" i="13" a="1"/>
  <c r="K3" i="13" a="1"/>
  <c r="K123" i="13" a="1"/>
  <c r="K208" i="13" a="1"/>
  <c r="K300" i="13" a="1"/>
  <c r="K92" i="13" a="1"/>
  <c r="K80" i="13" a="1"/>
  <c r="K244" i="13" a="1"/>
  <c r="K131" i="13" a="1"/>
  <c r="K254" i="13" a="1"/>
  <c r="K6" i="13" a="1"/>
  <c r="K301" i="13" a="1"/>
  <c r="K174" i="13" a="1"/>
  <c r="K239" i="13" a="1"/>
  <c r="K120" i="13" a="1"/>
  <c r="K84" i="13" a="1"/>
  <c r="K47" i="13" a="1"/>
  <c r="K247" i="13" a="1"/>
  <c r="K229" i="13" a="1"/>
  <c r="K43" i="13" a="1"/>
  <c r="K289" i="13" a="1"/>
  <c r="K292" i="13" a="1"/>
  <c r="K64" i="13" a="1"/>
  <c r="K73" i="13" a="1"/>
  <c r="K225" i="13" a="1"/>
  <c r="K285" i="13" a="1"/>
  <c r="K99" i="13" a="1"/>
  <c r="K151" i="13" a="1"/>
  <c r="K262" i="13" a="1"/>
  <c r="K30" i="13" a="1"/>
  <c r="K215" i="13" a="1"/>
  <c r="K128" i="13" a="1"/>
  <c r="K197" i="13" a="1"/>
  <c r="K299" i="13" a="1"/>
  <c r="K309" i="13" a="1"/>
  <c r="K230" i="13" a="1"/>
  <c r="K154" i="13" a="1"/>
  <c r="K222" i="13" a="1"/>
  <c r="K237" i="13" a="1"/>
  <c r="K89" i="13" a="1"/>
  <c r="K170" i="13" a="1"/>
  <c r="K231" i="13" a="1"/>
  <c r="K118" i="13" a="1"/>
  <c r="K119" i="13" a="1"/>
  <c r="K212" i="13" a="1"/>
  <c r="K311" i="13" a="1"/>
  <c r="K271" i="13" a="1"/>
  <c r="K260" i="13" a="1"/>
  <c r="K259" i="13" a="1"/>
  <c r="K106" i="13" a="1"/>
  <c r="K155" i="13" a="1"/>
  <c r="K201" i="13" a="1"/>
  <c r="K127" i="13" a="1"/>
  <c r="K104" i="13" a="1"/>
  <c r="K163" i="13" a="1"/>
  <c r="K5" i="13" a="1"/>
  <c r="K202" i="13" a="1"/>
  <c r="K180" i="13" a="1"/>
  <c r="K108" i="13" a="1"/>
  <c r="K136" i="13" a="1"/>
  <c r="K24" i="13" a="1"/>
  <c r="K138" i="13" a="1"/>
  <c r="K165" i="13" a="1"/>
  <c r="K117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74" i="2" a="1"/>
  <c r="AB70" i="2" a="1"/>
  <c r="AB55" i="2" a="1"/>
  <c r="AB30" i="2" a="1"/>
  <c r="AB34" i="2" a="1"/>
  <c r="AB38" i="2" a="1"/>
  <c r="AB22" i="2" a="1"/>
  <c r="AB21" i="2" a="1"/>
  <c r="AB20" i="2" a="1"/>
  <c r="AB19" i="2" a="1"/>
  <c r="AB18" i="2" a="1"/>
  <c r="AB17" i="2" a="1"/>
  <c r="AB16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<sst xmlns="http://schemas.openxmlformats.org/spreadsheetml/2006/main" count="9398" uniqueCount="2234">
  <si>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</si>
  <si>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</si>
  <si>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</si>
  <si>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</si>
  <si>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</si>
  <si>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</si>
  <si>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</si>
  <si>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</si>
  <si>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</si>
  <si>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</si>
  <si>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</si>
  <si>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</si>
  <si>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</si>
  <si>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</si>
  <si>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</si>
  <si>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</si>
  <si>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</si>
  <si>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</si>
  <si>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</si>
  <si>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</si>
  <si>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</si>
  <si>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</si>
  <si>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</si>
  <si>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</si>
  <si>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</si>
  <si>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</si>
  <si>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</si>
  <si>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</si>
  <si>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</si>
  <si>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</si>
  <si>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</si>
  <si>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</si>
  <si>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</si>
  <si>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</si>
  <si>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</si>
  <si>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</si>
  <si>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</si>
  <si>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</si>
  <si>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</si>
  <si>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</si>
  <si>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</si>
  <si>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</si>
  <si>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</si>
  <si>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</si>
  <si>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</si>
  <si>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</si>
  <si>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</si>
  <si>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</si>
  <si>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</si>
  <si>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</si>
  <si>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</si>
  <si>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</si>
  <si>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</si>
  <si>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</si>
  <si>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</si>
  <si>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</si>
  <si>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</si>
  <si>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</si>
  <si>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</si>
  <si>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</si>
  <si>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</si>
  <si>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</si>
  <si>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</si>
  <si>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</si>
  <si>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</si>
  <si>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</si>
  <si>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</si>
  <si>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</si>
  <si>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</si>
  <si>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</si>
  <si>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</si>
  <si>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</si>
  <si>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</si>
  <si>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</si>
  <si>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</si>
  <si>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</si>
  <si>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</si>
  <si>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</si>
  <si>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</si>
  <si>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</si>
  <si>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</si>
  <si>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</si>
  <si>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</si>
  <si>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</si>
  <si>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</si>
  <si>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</si>
  <si>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</si>
  <si>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</si>
  <si>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</si>
  <si>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</si>
  <si>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</si>
  <si>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</si>
  <si>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</si>
  <si>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</si>
  <si>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</si>
  <si>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</si>
  <si>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</si>
  <si>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</si>
  <si>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</si>
  <si>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</si>
  <si>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</si>
  <si>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</si>
  <si>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</si>
  <si>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</si>
  <si>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</si>
  <si>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</si>
  <si>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</si>
  <si>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</si>
  <si>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</si>
  <si>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</si>
  <si>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</si>
  <si>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</si>
  <si>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</si>
  <si>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</si>
  <si>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</si>
  <si>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</si>
  <si>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</si>
  <si>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</si>
  <si>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</si>
  <si>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</si>
  <si>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</si>
  <si>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</si>
  <si>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</si>
  <si>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</si>
  <si>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</si>
  <si>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</si>
  <si>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</si>
  <si>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</si>
  <si>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</si>
  <si>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</si>
  <si>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</si>
  <si>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</si>
  <si>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</si>
  <si>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</si>
  <si>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</si>
  <si>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</si>
  <si>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</si>
  <si>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</si>
  <si>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</si>
  <si>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</si>
  <si>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</si>
  <si>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</si>
  <si>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</si>
  <si>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</si>
  <si>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</si>
  <si>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</si>
  <si>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</si>
  <si>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</si>
  <si>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</si>
  <si>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</si>
  <si>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</si>
  <si>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</si>
  <si>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</si>
  <si>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</si>
  <si>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</si>
  <si>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</si>
  <si>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</si>
  <si>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</si>
  <si>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</si>
  <si>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</si>
  <si>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</si>
  <si>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</si>
  <si>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</si>
  <si>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</si>
  <si>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</si>
  <si>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</si>
  <si>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</si>
  <si>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</si>
  <si>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</si>
  <si>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</si>
  <si>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</si>
  <si>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</si>
  <si>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</si>
  <si>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</si>
  <si>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</si>
  <si>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</si>
  <si>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</si>
  <si>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</si>
  <si>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</si>
  <si>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</si>
  <si>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</si>
  <si>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</si>
  <si>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</si>
  <si>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</si>
  <si>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</si>
  <si>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</si>
  <si>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</si>
  <si>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</si>
  <si>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</si>
  <si>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</si>
  <si>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</si>
  <si>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</si>
  <si>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</si>
  <si>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</si>
  <si>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</si>
  <si>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</si>
  <si>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</si>
  <si>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</si>
  <si>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</si>
  <si>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</si>
  <si>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</si>
  <si>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</si>
  <si>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</si>
  <si>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</si>
  <si>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</si>
  <si>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</si>
  <si>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</si>
  <si>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</si>
  <si>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</si>
  <si>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</si>
  <si>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</si>
  <si>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</si>
  <si>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</si>
  <si>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</si>
  <si>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</si>
  <si>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</si>
  <si>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</si>
  <si>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</si>
  <si>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</si>
  <si>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</si>
  <si>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</si>
  <si>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</si>
  <si>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</si>
  <si>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</si>
  <si>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</si>
  <si>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</si>
  <si>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</si>
  <si>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</si>
  <si>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</si>
  <si>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</si>
  <si>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</si>
  <si>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</si>
  <si>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</si>
  <si>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</si>
  <si>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</si>
  <si>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</si>
  <si>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</si>
  <si>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</si>
  <si>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</si>
  <si>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</si>
  <si>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</si>
  <si>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</si>
  <si>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</si>
  <si>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</si>
  <si>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</si>
  <si>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</si>
  <si>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</si>
  <si>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</si>
  <si>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</si>
  <si>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</si>
  <si>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</si>
  <si>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</si>
  <si>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</si>
  <si>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</si>
  <si>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</si>
  <si>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</si>
  <si>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</si>
  <si>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</si>
  <si>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</si>
  <si>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</si>
  <si>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</si>
  <si>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</si>
  <si>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</si>
  <si>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</si>
  <si>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</si>
  <si>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</si>
  <si>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</si>
  <si>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</si>
  <si>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</si>
  <si>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</si>
  <si>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</si>
  <si>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</si>
  <si>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</si>
  <si>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</si>
  <si>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</si>
  <si>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</si>
  <si>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</si>
  <si>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</si>
  <si>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</si>
  <si>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</si>
  <si>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</si>
  <si>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</si>
  <si>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</si>
  <si>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</si>
  <si>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</si>
  <si>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</si>
  <si>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</si>
  <si>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</si>
  <si>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</si>
  <si>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</si>
  <si>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</si>
  <si>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</si>
  <si>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</si>
  <si>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</si>
  <si>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</si>
  <si>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</si>
  <si>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</si>
  <si>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</si>
  <si>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</si>
  <si>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</si>
  <si>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</si>
  <si>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</si>
  <si>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</si>
  <si>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</si>
  <si>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</si>
  <si>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</si>
  <si>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</si>
  <si>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</si>
  <si>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</si>
  <si>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</si>
  <si>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</si>
  <si>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</si>
  <si>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</si>
  <si>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</si>
  <si>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</si>
  <si>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</si>
  <si>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</si>
  <si>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</si>
  <si>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</si>
  <si>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</si>
  <si>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</si>
  <si>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</si>
  <si>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</si>
  <si>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</si>
  <si>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</si>
  <si>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</si>
  <si>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</si>
  <si>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</si>
  <si>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</si>
  <si>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</si>
  <si>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</si>
  <si>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</si>
  <si>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</si>
  <si>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</si>
  <si>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</si>
  <si>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</si>
  <si>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</si>
  <si>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</si>
  <si>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</si>
  <si>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</si>
  <si>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</si>
  <si>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</si>
  <si>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</si>
  <si>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</si>
  <si>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</si>
  <si>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</si>
  <si>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</si>
  <si>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</si>
  <si>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</si>
  <si>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</si>
  <si>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</si>
  <si>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</si>
  <si>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</si>
  <si>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</si>
  <si>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</si>
  <si>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</si>
  <si>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</si>
  <si>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</si>
  <si>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</si>
  <si>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</si>
  <si>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</si>
  <si>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</si>
  <si>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</si>
  <si>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</si>
  <si>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</si>
  <si>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</si>
  <si>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</si>
  <si>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</si>
  <si>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</si>
  <si>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</si>
  <si>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</si>
  <si>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</si>
  <si>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</si>
  <si>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</si>
  <si>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</si>
  <si>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</si>
  <si>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</si>
  <si>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</si>
  <si>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</si>
  <si>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</si>
  <si>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</si>
  <si>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</si>
  <si>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</si>
  <si>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</si>
  <si>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</si>
  <si>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</si>
  <si>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</si>
  <si>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</si>
  <si>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</si>
  <si>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</si>
  <si>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</si>
  <si>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</si>
  <si>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</si>
  <si>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</si>
  <si>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</si>
  <si>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</si>
  <si>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</si>
  <si>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</si>
  <si>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</si>
  <si>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</si>
  <si>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</si>
  <si>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</si>
  <si>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</si>
  <si>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</si>
  <si>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</si>
  <si>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</si>
  <si>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</si>
  <si>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</si>
  <si>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</si>
  <si>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</si>
  <si>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</si>
  <si>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</si>
  <si>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</si>
  <si>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</si>
  <si>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</si>
  <si>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</si>
  <si>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</si>
  <si>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</si>
  <si>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</si>
  <si>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</si>
  <si>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</si>
  <si>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</si>
  <si>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</si>
  <si>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</si>
  <si>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</si>
  <si>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</si>
  <si>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</si>
  <si>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</si>
  <si>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</si>
  <si>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</si>
  <si>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</si>
  <si>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</si>
  <si>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</si>
  <si>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</si>
  <si>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</si>
  <si>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</si>
  <si>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</si>
  <si>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</si>
  <si>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</si>
  <si>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</si>
  <si>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</si>
  <si>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</si>
  <si>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</si>
  <si>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</si>
  <si>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</si>
  <si>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</si>
  <si>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</si>
  <si>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</si>
  <si>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</si>
  <si>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</si>
  <si>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</si>
  <si>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</si>
  <si>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</si>
  <si>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</si>
  <si>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</si>
  <si>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</si>
  <si>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</si>
  <si>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</si>
  <si>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</si>
  <si>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</si>
  <si>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</si>
  <si>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</si>
  <si>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</si>
  <si>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</si>
  <si>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</si>
  <si>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</si>
  <si>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</si>
  <si>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</si>
  <si>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</si>
  <si>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</si>
  <si>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</si>
  <si>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</si>
  <si>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</si>
  <si>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</si>
  <si>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</si>
  <si>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</si>
  <si>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</si>
  <si>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</si>
  <si>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</si>
  <si>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</si>
  <si>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</si>
  <si>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</si>
  <si>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</si>
  <si>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</si>
  <si>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</si>
  <si>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</si>
  <si>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</si>
  <si>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</si>
  <si>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</si>
  <si>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</si>
  <si>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</si>
  <si>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</si>
  <si>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</si>
  <si>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</si>
  <si>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</si>
  <si>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</si>
  <si>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</si>
  <si>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</si>
  <si>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</si>
  <si>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</si>
  <si>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</si>
  <si>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</si>
  <si>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</si>
  <si>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</si>
  <si>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</si>
  <si>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</si>
  <si>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</si>
  <si>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</si>
  <si>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</si>
  <si>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</si>
  <si>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</si>
  <si>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</si>
  <si>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</si>
  <si>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</si>
  <si>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</si>
  <si>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</si>
  <si>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</si>
  <si>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</si>
  <si>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</si>
  <si>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</si>
  <si>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</si>
  <si>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</si>
  <si>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</si>
  <si>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</si>
  <si>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</si>
  <si>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</si>
  <si>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</si>
  <si>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</si>
  <si>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</si>
  <si>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</si>
  <si>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</si>
  <si>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</si>
  <si>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</si>
  <si>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</si>
  <si>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</si>
  <si>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</si>
  <si>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</si>
  <si>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</si>
  <si>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</si>
  <si>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</si>
  <si>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</si>
  <si>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</si>
  <si>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</si>
  <si>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</si>
  <si>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</si>
  <si>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</si>
  <si>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</si>
  <si>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</si>
  <si>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</si>
  <si>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</si>
  <si>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</si>
  <si>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</si>
  <si>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</si>
  <si>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</si>
  <si>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</si>
  <si>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</si>
  <si>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</si>
  <si>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</si>
  <si>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</si>
  <si>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</si>
  <si>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</si>
  <si>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</si>
  <si>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</si>
  <si>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</si>
  <si>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</si>
  <si>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</si>
  <si>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</si>
  <si>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</si>
  <si>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</si>
  <si>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</si>
  <si>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</si>
  <si>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</si>
  <si>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</si>
  <si>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</si>
  <si>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</si>
  <si>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</si>
  <si>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</si>
  <si>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</si>
  <si>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</si>
  <si>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</si>
  <si>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</si>
  <si>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</si>
  <si>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</si>
  <si>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</si>
  <si>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</si>
  <si>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</si>
  <si>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</si>
  <si>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</si>
  <si>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</si>
  <si>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</si>
  <si>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</si>
  <si>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</si>
  <si>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</si>
  <si>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</si>
  <si>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</si>
  <si>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</si>
  <si>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</si>
  <si>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</si>
  <si>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</si>
  <si>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</si>
  <si>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</si>
  <si>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</si>
  <si>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</si>
  <si>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</si>
  <si>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</si>
  <si>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</si>
  <si>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</si>
  <si>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</si>
  <si>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</si>
  <si>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</si>
  <si>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</si>
  <si>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</si>
  <si>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</si>
  <si>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</si>
  <si>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</si>
  <si>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</si>
  <si>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</si>
  <si>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</si>
  <si>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</si>
  <si>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</si>
  <si>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</si>
  <si>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</si>
  <si>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</si>
  <si>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</si>
  <si>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</si>
  <si>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</si>
  <si>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</si>
  <si>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</si>
  <si>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</si>
  <si>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</si>
  <si>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</si>
  <si>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</si>
  <si>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</si>
  <si>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</si>
  <si>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</si>
  <si>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</si>
  <si>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</si>
  <si>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</si>
  <si>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</si>
  <si>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</si>
  <si>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</si>
  <si>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</si>
  <si>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</si>
  <si>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</si>
  <si>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</si>
  <si>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</si>
  <si>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</si>
  <si>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</si>
  <si>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</si>
  <si>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</si>
  <si>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</si>
  <si>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</si>
  <si>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</si>
  <si>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</si>
  <si>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</si>
  <si>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</si>
  <si>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</si>
  <si>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</si>
  <si>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</si>
  <si>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</si>
  <si>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</si>
  <si>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</si>
  <si>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</si>
  <si>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</si>
  <si>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</si>
  <si>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</si>
  <si>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</si>
  <si>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</si>
  <si>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</si>
  <si>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</si>
  <si>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</si>
  <si>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</si>
  <si>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</si>
  <si>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</si>
  <si>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</si>
  <si>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</si>
  <si>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</si>
  <si>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</si>
  <si>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</si>
  <si>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</si>
  <si>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</si>
  <si>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</si>
  <si>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</si>
  <si>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</si>
  <si>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</si>
  <si>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</si>
  <si>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</si>
  <si>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</si>
  <si>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</si>
  <si>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</si>
  <si>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</si>
  <si>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</si>
  <si>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</si>
  <si>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</si>
  <si>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</si>
  <si>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</si>
  <si>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</si>
  <si>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</si>
  <si>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</si>
  <si>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</si>
  <si>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</si>
  <si>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</si>
  <si>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</si>
  <si>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</si>
  <si>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</si>
  <si>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</si>
  <si>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</si>
  <si>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</si>
  <si>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</si>
  <si>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</si>
  <si>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</si>
  <si>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</si>
  <si>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</si>
  <si>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</si>
  <si>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</si>
  <si>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</si>
  <si>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</si>
  <si>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</si>
  <si>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</si>
  <si>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</si>
  <si>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</si>
  <si>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</si>
  <si>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</si>
  <si>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</si>
  <si>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</si>
  <si>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</si>
  <si>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</si>
  <si>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</si>
  <si>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</si>
  <si>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</si>
  <si>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</si>
  <si>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</si>
  <si>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</si>
  <si>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</si>
  <si>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</si>
  <si>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</si>
  <si>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</si>
  <si>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</si>
  <si>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</si>
  <si>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</si>
  <si>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</si>
  <si>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</si>
  <si>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</si>
  <si>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</si>
  <si>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</si>
  <si>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</si>
  <si>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</si>
  <si>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</si>
  <si>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</si>
  <si>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</si>
  <si>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</si>
  <si>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</si>
  <si>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</si>
  <si>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</si>
  <si>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</si>
  <si>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</si>
  <si>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</si>
  <si>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</si>
  <si>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</si>
  <si>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</si>
  <si>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</si>
  <si>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</si>
  <si>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</si>
  <si>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</si>
  <si>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</si>
  <si>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</si>
  <si>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</si>
  <si>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</si>
  <si>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</si>
  <si>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</si>
  <si>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</si>
  <si>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</si>
  <si>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</si>
  <si>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</si>
  <si>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</si>
  <si>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</si>
  <si>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</si>
  <si>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</si>
  <si>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</si>
  <si>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</si>
  <si>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</si>
  <si>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</si>
  <si>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</si>
  <si>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</si>
  <si>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</si>
  <si>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</si>
  <si>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</si>
  <si>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</si>
  <si>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</si>
  <si>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</si>
  <si>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</si>
  <si>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</si>
  <si>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</si>
  <si>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</si>
  <si>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</si>
  <si>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</si>
  <si>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</si>
  <si>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</si>
  <si>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</si>
  <si>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</si>
  <si>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</si>
  <si>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</si>
  <si>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</si>
  <si>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</si>
  <si>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</si>
  <si>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</si>
  <si>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</si>
  <si>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</si>
  <si>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</si>
  <si>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</si>
  <si>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</si>
  <si>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</si>
  <si>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</si>
  <si>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</si>
  <si>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</si>
  <si>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</si>
  <si>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</si>
  <si>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</si>
  <si>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</si>
  <si>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</si>
  <si>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</si>
  <si>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</si>
  <si>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</si>
  <si>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</si>
  <si>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</si>
  <si>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</si>
  <si>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</si>
  <si>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</si>
  <si>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</si>
  <si>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</si>
  <si>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</si>
  <si>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</si>
  <si>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</si>
  <si>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</si>
  <si>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</si>
  <si>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</si>
  <si>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</si>
  <si>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</si>
  <si>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</si>
  <si>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</si>
  <si>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</si>
  <si>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</si>
  <si>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</si>
  <si>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</si>
  <si>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</si>
  <si>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</si>
  <si>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</si>
  <si>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</si>
  <si>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</si>
  <si>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</si>
  <si>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</si>
  <si>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</si>
  <si>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</si>
  <si>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</si>
  <si>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</si>
  <si>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</si>
  <si>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</si>
  <si>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</si>
  <si>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</si>
  <si>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</si>
  <si>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</si>
  <si>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</si>
  <si>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</si>
  <si>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</si>
  <si>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</si>
  <si>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</si>
  <si>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</si>
  <si>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</si>
  <si>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</si>
  <si>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</si>
  <si>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</si>
  <si>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</si>
  <si>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</si>
  <si>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</si>
  <si>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</si>
  <si>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</si>
  <si>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</si>
  <si>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</si>
  <si>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</si>
  <si>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</si>
  <si>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</si>
  <si>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</si>
  <si>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</si>
  <si>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</si>
  <si>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</si>
  <si>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</si>
  <si>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</si>
  <si>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</si>
  <si>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</si>
  <si>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</si>
  <si>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</si>
  <si>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</si>
  <si>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</si>
  <si>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</si>
  <si>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</si>
  <si>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</si>
  <si>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</si>
  <si>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</si>
  <si>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</si>
  <si>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</si>
  <si>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</si>
  <si>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</si>
  <si>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</si>
  <si>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</si>
  <si>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</si>
  <si>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</si>
  <si>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</si>
  <si>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</si>
  <si>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</si>
  <si>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</si>
  <si>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</si>
  <si>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</si>
  <si>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</si>
  <si>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</si>
  <si>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</si>
  <si>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</si>
  <si>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</si>
  <si>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</si>
  <si>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</si>
  <si>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</si>
  <si>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</si>
  <si>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</si>
  <si>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</si>
  <si>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</si>
  <si>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</si>
  <si>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</si>
  <si>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</si>
  <si>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</si>
  <si>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</si>
  <si>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</si>
  <si>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</si>
  <si>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</si>
  <si>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</si>
  <si>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</si>
  <si>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</si>
  <si>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</si>
  <si>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</si>
  <si>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</si>
  <si>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</si>
  <si>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</si>
  <si>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</si>
  <si>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</si>
  <si>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</si>
  <si>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</si>
  <si>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</si>
  <si>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</si>
  <si>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</si>
  <si>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</si>
  <si>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</si>
  <si>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</si>
  <si>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</si>
  <si>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</si>
  <si>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</si>
  <si>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</si>
  <si>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</si>
  <si>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</si>
  <si>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</si>
  <si>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</si>
  <si>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</si>
  <si>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</si>
  <si>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</si>
  <si>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</si>
  <si>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</si>
  <si>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</si>
  <si>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</si>
  <si>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</si>
  <si>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</si>
  <si>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</si>
  <si>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</si>
  <si>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</si>
  <si>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</si>
  <si>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</si>
  <si>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</si>
  <si>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</si>
  <si>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</si>
  <si>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</si>
  <si>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</si>
  <si>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</si>
  <si>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</si>
  <si>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</si>
  <si>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</si>
  <si>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</si>
  <si>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</si>
  <si>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</si>
  <si>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</si>
  <si>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</si>
  <si>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</si>
  <si>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</si>
  <si>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</si>
  <si>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</si>
  <si>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</si>
  <si>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</si>
  <si>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</si>
  <si>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</si>
  <si>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</si>
  <si>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</si>
  <si>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</si>
  <si>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</si>
  <si>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</si>
  <si>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</si>
  <si>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</si>
  <si>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</si>
  <si>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</si>
  <si>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</si>
  <si>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</si>
  <si>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</si>
  <si>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</si>
  <si>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</si>
  <si>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</si>
  <si>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</si>
  <si>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</si>
  <si>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</si>
  <si>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</si>
  <si>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</si>
  <si>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</si>
  <si>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</si>
  <si>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</si>
  <si>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</si>
  <si>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</si>
  <si>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</si>
  <si>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</si>
  <si>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</si>
  <si>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</si>
  <si>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</si>
  <si>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</si>
  <si>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</si>
  <si>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</si>
  <si>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</si>
  <si>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</si>
  <si>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</si>
  <si>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</si>
  <si>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</si>
  <si>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</si>
  <si>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</si>
  <si>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</si>
  <si>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</si>
  <si>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</si>
  <si>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</si>
  <si>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</si>
  <si>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</si>
  <si>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</si>
  <si>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</si>
  <si>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</si>
  <si>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</si>
  <si>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</si>
  <si>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</si>
  <si>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</si>
  <si>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</si>
  <si>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</si>
  <si>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</si>
  <si>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</si>
  <si>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</si>
  <si>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</si>
  <si>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</si>
  <si>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</si>
  <si>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</si>
  <si>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</si>
  <si>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</si>
  <si>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</si>
  <si>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</si>
  <si>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</si>
  <si>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</si>
  <si>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</si>
  <si>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</si>
  <si>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</si>
  <si>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</si>
  <si>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</si>
  <si>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</si>
  <si>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</si>
  <si>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</si>
  <si>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</si>
  <si>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</si>
  <si>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</si>
  <si>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</si>
  <si>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</si>
  <si>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</si>
  <si>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</si>
  <si>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</si>
  <si>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</si>
  <si>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</si>
  <si>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</si>
  <si>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</si>
  <si>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</si>
  <si>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</si>
  <si>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</si>
  <si>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</si>
  <si>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</si>
  <si>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</si>
  <si>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</si>
  <si>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</si>
  <si>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</si>
  <si>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</si>
  <si>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</si>
  <si>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</si>
  <si>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</si>
  <si>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</si>
  <si>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</si>
  <si>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</si>
  <si>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</si>
  <si>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</si>
  <si>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</si>
  <si>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</si>
  <si>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</si>
  <si>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</si>
  <si>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</si>
  <si>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</si>
  <si>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</si>
  <si>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</si>
  <si>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</si>
  <si>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</si>
  <si>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</si>
  <si>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</si>
  <si>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</si>
  <si>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</si>
  <si>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</si>
  <si>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</si>
  <si>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</si>
  <si>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</si>
  <si>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</si>
  <si>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</si>
  <si>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</si>
  <si>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</si>
  <si>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</si>
  <si>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</si>
  <si>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</si>
  <si>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</si>
  <si>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</si>
  <si>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</si>
  <si>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</si>
  <si>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</si>
  <si>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</si>
  <si>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</si>
  <si>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</si>
  <si>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</si>
  <si>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</si>
  <si>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</si>
  <si>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</si>
  <si>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</si>
  <si>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</si>
  <si>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</si>
  <si>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</si>
  <si>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</si>
  <si>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</si>
  <si>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</si>
  <si>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</si>
  <si>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</si>
  <si>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</si>
  <si>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</si>
  <si>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</si>
  <si>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</si>
  <si>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</si>
  <si>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</si>
  <si>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</si>
  <si>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</si>
  <si>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</si>
  <si>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</si>
  <si>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</si>
  <si>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</si>
  <si>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</si>
  <si>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</si>
  <si>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</si>
  <si>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</si>
  <si>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</si>
  <si>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</si>
  <si>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</si>
  <si>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</si>
  <si>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</si>
  <si>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</si>
  <si>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</si>
  <si>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</si>
  <si>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</si>
  <si>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</si>
  <si>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</si>
  <si>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</si>
  <si>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</si>
  <si>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</si>
  <si>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</si>
  <si>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</si>
  <si>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</si>
  <si>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</si>
  <si>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</si>
  <si>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</si>
  <si>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</si>
  <si>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</si>
  <si>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</si>
  <si>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</si>
  <si>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</si>
  <si>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</si>
  <si>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</si>
  <si>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</si>
  <si>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</si>
  <si>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</si>
  <si>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</si>
  <si>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</si>
  <si>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</si>
  <si>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</si>
  <si>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</si>
  <si>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</si>
  <si>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</si>
  <si>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</si>
  <si>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</si>
  <si>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</si>
  <si>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</si>
  <si>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</si>
  <si>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</si>
  <si>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</si>
  <si>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</si>
  <si>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</si>
  <si>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</si>
  <si>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</si>
  <si>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</si>
  <si>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</si>
  <si>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</si>
  <si>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</si>
  <si>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</si>
  <si>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</si>
  <si>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</si>
  <si>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</si>
  <si>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</si>
  <si>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</si>
  <si>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</si>
  <si>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</si>
  <si>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</si>
  <si>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</si>
  <si>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</si>
  <si>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</si>
  <si>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</si>
  <si>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</si>
  <si>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</si>
  <si>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</si>
  <si>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</si>
  <si>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</si>
  <si>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</si>
  <si>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</si>
  <si>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</si>
  <si>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</si>
  <si>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</si>
  <si>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</si>
  <si>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</si>
  <si>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</si>
  <si>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</si>
  <si>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</si>
  <si>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</si>
  <si>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</si>
  <si>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</si>
  <si>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</si>
  <si>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</si>
  <si>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</si>
  <si>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</si>
  <si>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</si>
  <si>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</si>
  <si>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</si>
  <si>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</si>
  <si>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</si>
  <si>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</si>
  <si>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</si>
  <si>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</si>
  <si>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</si>
  <si>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</si>
  <si>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</si>
  <si>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</si>
  <si>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</si>
  <si>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</si>
  <si>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</si>
  <si>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</si>
  <si>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</si>
  <si>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</si>
  <si>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</si>
  <si>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</si>
  <si>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</si>
  <si>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</si>
  <si>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</si>
  <si>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</si>
  <si>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</si>
  <si>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</si>
  <si>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</si>
  <si>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</si>
  <si>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</si>
  <si>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</si>
  <si>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</si>
  <si>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</si>
  <si>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</si>
  <si>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</si>
  <si>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</si>
  <si>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</si>
  <si>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</si>
  <si>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</si>
  <si>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</si>
  <si>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</si>
  <si>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</si>
  <si>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</si>
  <si>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</si>
  <si>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</si>
  <si>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</si>
  <si>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</si>
  <si>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</si>
  <si>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</si>
  <si>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</si>
  <si>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</si>
  <si>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</si>
  <si>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</si>
  <si>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</si>
  <si>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</si>
  <si>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</si>
  <si>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</si>
  <si>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</si>
  <si>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</si>
  <si>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</si>
  <si>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</si>
  <si>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</si>
  <si>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</si>
  <si>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</si>
  <si>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</si>
  <si>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</si>
  <si>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</si>
  <si>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</si>
  <si>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</si>
  <si>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</si>
  <si>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</si>
  <si>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</si>
  <si>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</si>
  <si>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</si>
  <si>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</si>
  <si>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</si>
  <si>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</si>
  <si>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</si>
  <si>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</si>
  <si>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</si>
  <si>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</si>
  <si>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</si>
  <si>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</si>
  <si>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</si>
  <si>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</si>
  <si>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</si>
  <si>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</si>
  <si>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</si>
  <si>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</si>
  <si>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</si>
  <si>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</si>
  <si>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</si>
  <si>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</si>
  <si>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</si>
  <si>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</si>
  <si>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</si>
  <si>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</si>
  <si>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</si>
  <si>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</si>
  <si>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</si>
  <si>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</si>
  <si>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</si>
  <si>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</si>
  <si>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</si>
  <si>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</si>
  <si>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</si>
  <si>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</si>
  <si>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</si>
  <si>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</si>
  <si>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</si>
  <si>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</si>
  <si>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</si>
  <si>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</si>
  <si>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</si>
  <si>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</si>
  <si>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</si>
  <si>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</si>
  <si>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</si>
  <si>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</si>
  <si>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</si>
  <si>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</si>
  <si>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</si>
  <si>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</si>
  <si>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</si>
  <si>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</si>
  <si>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</si>
  <si>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</si>
  <si>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</si>
  <si>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</si>
  <si>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</si>
  <si>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</si>
  <si>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</si>
  <si>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</si>
  <si>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</si>
  <si>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</si>
  <si>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</si>
  <si>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</si>
  <si>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</si>
  <si>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</si>
  <si>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</si>
  <si>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</si>
  <si>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</si>
  <si>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</si>
  <si>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</si>
  <si>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</si>
  <si>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</si>
  <si>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</si>
  <si>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</si>
  <si>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</si>
  <si>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</si>
  <si>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</si>
  <si>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</si>
  <si>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</si>
  <si>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</si>
  <si>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</si>
  <si>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</si>
  <si>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</si>
  <si>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</si>
  <si>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</si>
  <si>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</si>
  <si>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</si>
  <si>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</si>
  <si>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</si>
  <si>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</si>
  <si>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</si>
  <si>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</si>
  <si>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</si>
  <si>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</si>
  <si>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</si>
  <si>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</si>
  <si>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</si>
  <si>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</si>
  <si>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</si>
  <si>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</si>
  <si>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</si>
  <si>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</si>
  <si>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</si>
  <si>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</si>
  <si>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</si>
  <si>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</si>
  <si>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</si>
  <si>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</si>
  <si>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</si>
  <si>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</si>
  <si>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</si>
  <si>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</si>
  <si>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</si>
  <si>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</si>
  <si>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</si>
  <si>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</si>
  <si>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</si>
  <si>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</si>
  <si>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</si>
  <si>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</si>
  <si>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</si>
  <si>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</si>
  <si>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</si>
  <si>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</si>
  <si>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</si>
  <si>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</si>
  <si>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</si>
  <si>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</si>
  <si>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</si>
  <si>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</si>
  <si>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</si>
  <si>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</si>
  <si>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</si>
  <si>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</si>
  <si>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</si>
  <si>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</si>
  <si>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</si>
  <si>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</si>
  <si>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</si>
  <si>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</si>
  <si>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</si>
  <si>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</si>
  <si>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</si>
  <si>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</si>
  <si>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</si>
  <si>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</si>
  <si>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</si>
  <si>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</si>
  <si>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</si>
  <si>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</si>
  <si>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</si>
  <si>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</si>
  <si>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</si>
  <si>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</si>
  <si>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</si>
  <si>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</si>
  <si>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</si>
  <si>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</si>
  <si>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</si>
  <si>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</si>
  <si>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</si>
  <si>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</si>
  <si>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</si>
  <si>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</si>
  <si>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</si>
  <si>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</si>
  <si>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</si>
  <si>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</si>
  <si>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</si>
  <si>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</si>
  <si>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</si>
  <si>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</si>
  <si>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</si>
  <si>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</si>
  <si>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</si>
  <si>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</si>
  <si>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</si>
  <si>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</si>
  <si>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</si>
  <si>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</si>
  <si>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</si>
  <si>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</si>
  <si>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</si>
  <si>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</si>
  <si>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</si>
  <si>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</si>
  <si>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</si>
  <si>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</si>
  <si>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</si>
  <si>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</si>
  <si>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</si>
  <si>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</si>
  <si>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</si>
  <si>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</si>
  <si>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</si>
  <si>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</si>
  <si>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</si>
  <si>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</si>
  <si>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</si>
  <si>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</si>
  <si>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</si>
  <si>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</si>
  <si>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</si>
  <si>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</si>
  <si>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</si>
  <si>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</si>
  <si>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</si>
  <si>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</si>
  <si>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</si>
  <si>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</si>
  <si>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</si>
  <si>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</si>
  <si>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</si>
  <si>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</si>
  <si>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</si>
  <si>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</si>
  <si>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</si>
  <si>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</si>
  <si>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</si>
  <si>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</si>
  <si>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</si>
  <si>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</si>
  <si>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</si>
  <si>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</si>
  <si>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</si>
  <si>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</si>
  <si>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</si>
  <si>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</si>
  <si>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</si>
  <si>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</si>
  <si>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</si>
  <si>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</si>
  <si>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</si>
  <si>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</si>
  <si>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</si>
  <si>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</si>
  <si>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</si>
  <si>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</si>
  <si>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</si>
  <si>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</si>
  <si>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</si>
  <si>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</si>
  <si>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</si>
  <si>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</si>
  <si>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</si>
  <si>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</si>
  <si>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</si>
  <si>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</si>
  <si>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</si>
  <si>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</si>
  <si>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</si>
  <si>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</si>
  <si>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</si>
  <si>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</si>
  <si>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</si>
  <si>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</si>
  <si>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</si>
  <si>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</si>
  <si>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</si>
  <si>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</si>
  <si>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</si>
  <si>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</si>
  <si>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</si>
  <si>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</si>
  <si>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</si>
  <si>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</si>
  <si>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</si>
  <si>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</si>
  <si>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</si>
  <si>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</si>
  <si>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</si>
  <si>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</si>
  <si>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</si>
  <si>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</si>
  <si>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</si>
  <si>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</si>
  <si>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</si>
  <si>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</si>
  <si>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</si>
  <si>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</si>
  <si>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</si>
  <si>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</si>
  <si>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</si>
  <si>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</si>
  <si>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</si>
  <si>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</si>
  <si>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</si>
  <si>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</si>
  <si>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</si>
  <si>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</si>
  <si>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</si>
  <si>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</si>
  <si>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</si>
  <si>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</si>
  <si>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</si>
  <si>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</si>
  <si>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</si>
  <si>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</si>
  <si>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</si>
  <si>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</si>
  <si>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</si>
  <si>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</si>
  <si>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</si>
  <si>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</si>
  <si>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</si>
  <si>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</si>
  <si>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</si>
  <si>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</si>
  <si>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</si>
  <si>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</si>
  <si>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</si>
  <si>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</si>
  <si>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</si>
  <si>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</si>
  <si>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</si>
  <si>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</si>
  <si>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</si>
  <si>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</si>
  <si>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</si>
  <si>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</si>
  <si>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</si>
  <si>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</si>
  <si>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</si>
  <si>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</si>
  <si>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</si>
  <si>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</si>
  <si>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</si>
  <si>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</si>
  <si>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</si>
  <si>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</si>
  <si>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</si>
  <si>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</si>
  <si>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</si>
  <si>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</si>
  <si>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</si>
  <si>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</si>
  <si>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</si>
  <si>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</si>
  <si>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</si>
  <si>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</si>
  <si>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</si>
  <si>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</si>
  <si>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</si>
  <si>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</si>
  <si>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</si>
  <si>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</si>
  <si>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</si>
  <si>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</si>
  <si>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</si>
  <si>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</si>
  <si>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</si>
  <si>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</si>
  <si>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</si>
  <si>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</si>
  <si>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</si>
  <si>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</si>
  <si>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</si>
  <si>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</si>
  <si>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</si>
  <si>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</si>
  <si>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</si>
  <si>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</si>
  <si>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</si>
  <si>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</si>
  <si>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</si>
  <si>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</si>
  <si>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</si>
  <si>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</si>
  <si>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</si>
  <si>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</si>
  <si>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</si>
  <si>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</si>
  <si>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</si>
  <si>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</si>
  <si>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</si>
  <si>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</si>
  <si>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</si>
  <si>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</si>
  <si>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</si>
  <si>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</si>
  <si>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</si>
  <si>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</si>
  <si>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</si>
  <si>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</si>
  <si>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</si>
  <si>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</si>
  <si>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</si>
  <si>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</si>
  <si>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</si>
  <si>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</si>
  <si>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</si>
  <si>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</si>
  <si>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</si>
  <si>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</si>
  <si>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</si>
  <si>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</si>
  <si>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</si>
  <si>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</si>
  <si>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</si>
  <si>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</si>
  <si>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</si>
  <si>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</si>
  <si>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</si>
  <si>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</si>
  <si>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</si>
  <si>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</si>
  <si>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</si>
  <si>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</si>
  <si>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</si>
  <si>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</si>
  <si>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</si>
  <si>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</si>
  <si>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</si>
  <si>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</si>
  <si>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</si>
  <si>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</si>
  <si>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</si>
  <si>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</si>
  <si>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</si>
  <si>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</si>
  <si>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</si>
  <si>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</si>
  <si>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</si>
  <si>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</si>
  <si>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</si>
  <si>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</si>
  <si>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</si>
  <si>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</si>
  <si>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</si>
  <si>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</si>
  <si>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</si>
  <si>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</si>
  <si>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</si>
  <si>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</si>
  <si>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</si>
  <si>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</si>
  <si>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</si>
  <si>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</si>
  <si>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</si>
  <si>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</si>
  <si>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</si>
  <si>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</si>
  <si>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</si>
  <si>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</si>
  <si>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</si>
  <si>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</si>
  <si>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</si>
  <si>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</si>
  <si>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</si>
  <si>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</si>
  <si>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</si>
  <si>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</si>
  <si>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</si>
  <si>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</si>
  <si>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</si>
  <si>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</si>
  <si>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</si>
  <si>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</si>
  <si>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</si>
  <si>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</si>
  <si>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</si>
  <si>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</si>
  <si>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</si>
  <si>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</si>
  <si>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</si>
  <si>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</si>
  <si>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</si>
  <si>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</si>
  <si>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</si>
  <si>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</si>
  <si>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</si>
  <si>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</si>
  <si>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</si>
  <si>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</si>
  <si>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</si>
  <si>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</si>
  <si>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</si>
  <si>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</si>
  <si>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</si>
  <si>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</si>
  <si>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</si>
  <si>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</si>
  <si>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</si>
  <si>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</si>
  <si>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</si>
  <si>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</si>
  <si>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</si>
  <si>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</si>
  <si>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</si>
  <si>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</si>
  <si>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</si>
  <si>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</si>
  <si>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</si>
  <si>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</si>
  <si>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</si>
  <si>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</si>
  <si>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</si>
  <si>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</si>
  <si>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</si>
  <si>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</si>
  <si>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</si>
  <si>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</si>
  <si>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</si>
  <si>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</si>
  <si>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</si>
  <si>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</si>
  <si>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</si>
  <si>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</si>
  <si>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</si>
  <si>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</si>
  <si>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</si>
  <si>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</si>
  <si>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</si>
  <si>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</si>
  <si>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</si>
  <si>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</si>
  <si>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</si>
  <si>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</si>
  <si>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</si>
  <si>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</si>
  <si>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</si>
  <si>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</si>
  <si>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</si>
  <si>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</si>
  <si>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</si>
  <si>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</si>
  <si>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</si>
  <si>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</si>
  <si>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</si>
  <si>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</si>
  <si>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</si>
  <si>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</si>
  <si>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</si>
  <si>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</si>
  <si>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</si>
  <si>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</si>
  <si>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</si>
  <si>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</si>
  <si>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</si>
  <si>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</si>
  <si>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</si>
  <si>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</si>
  <si>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</si>
  <si>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</si>
  <si>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</si>
  <si>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</si>
  <si>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</si>
  <si>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</si>
  <si>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</si>
  <si>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</si>
  <si>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</si>
  <si>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</si>
  <si>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</si>
  <si>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</si>
  <si>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</si>
  <si>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</si>
  <si>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</si>
  <si>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</si>
  <si>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</si>
  <si>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</si>
  <si>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</si>
  <si>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</si>
  <si>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</si>
  <si>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</si>
  <si>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</si>
  <si>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</si>
  <si>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</si>
  <si>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</si>
  <si>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</si>
  <si>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</si>
  <si>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</si>
  <si>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</si>
  <si>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</si>
  <si>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</si>
  <si>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</si>
  <si>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</si>
  <si>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</si>
  <si>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</si>
  <si>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</si>
  <si>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</si>
  <si>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</si>
  <si>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</si>
  <si>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</si>
  <si>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</si>
  <si>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</si>
  <si>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</si>
  <si>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</si>
  <si>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</si>
  <si>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</si>
  <si>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</si>
  <si>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</si>
  <si>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</si>
  <si>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</si>
  <si>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</si>
  <si>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</si>
  <si>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</si>
  <si>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</si>
  <si>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</si>
  <si>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</si>
  <si>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</si>
  <si>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</si>
  <si>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</si>
  <si>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</si>
  <si>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</si>
  <si>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</si>
  <si>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</si>
  <si>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</si>
  <si>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</si>
  <si>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</si>
  <si>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</si>
  <si>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</si>
  <si>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</si>
  <si>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</si>
  <si>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</si>
  <si>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</si>
  <si>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</si>
  <si>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</si>
  <si>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</si>
  <si>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</si>
  <si>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</si>
  <si>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</si>
  <si>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</si>
  <si>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</si>
  <si>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</si>
  <si>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</si>
  <si>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</si>
  <si>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</si>
  <si>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</si>
  <si>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</si>
  <si>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</si>
  <si>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</si>
  <si>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</si>
  <si>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</si>
  <si>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</si>
  <si>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</si>
  <si>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</si>
  <si>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</si>
  <si>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</si>
  <si>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</si>
  <si>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</si>
  <si>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</si>
  <si>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</si>
  <si>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</si>
  <si>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</si>
  <si>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</si>
  <si>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</si>
  <si>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</si>
  <si>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</si>
  <si>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</si>
  <si>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</si>
  <si>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</si>
  <si>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</si>
  <si>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</si>
  <si>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</si>
  <si>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</si>
  <si>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</si>
  <si>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</si>
  <si>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</si>
  <si>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</si>
  <si>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</si>
  <si>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</si>
  <si>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</si>
  <si>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</si>
  <si>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</si>
  <si>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</si>
  <si>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</si>
  <si>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</si>
  <si>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</si>
  <si>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</si>
  <si>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</si>
  <si>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</si>
  <si>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</si>
  <si>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</si>
  <si>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</si>
  <si>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</si>
  <si>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</si>
  <si>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</si>
  <si>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</si>
  <si>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</si>
  <si>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</si>
  <si>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</si>
  <si>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</si>
  <si>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</si>
  <si>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</si>
  <si>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</si>
  <si>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</si>
  <si>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</si>
  <si>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</si>
  <si>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</si>
  <si>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</si>
  <si>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</si>
  <si>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</si>
  <si>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</si>
  <si>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</si>
  <si>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</si>
  <si>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</si>
  <si>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</si>
  <si>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</si>
  <si>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</si>
  <si>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</si>
  <si>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</si>
  <si>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</si>
  <si>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</si>
  <si>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</si>
  <si>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</si>
  <si>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</si>
  <si>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</si>
  <si>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</si>
  <si>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</si>
  <si>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</si>
  <si>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</si>
  <si>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</si>
  <si>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</si>
  <si>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</si>
  <si>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</si>
  <si>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</si>
  <si>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</si>
  <si>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</si>
  <si>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</si>
  <si>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</si>
  <si>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</si>
  <si>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</si>
  <si>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</si>
  <si>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</si>
  <si>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</si>
  <si>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</si>
  <si>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</si>
  <si>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</si>
  <si>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</si>
  <si>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</si>
  <si>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</si>
  <si>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</si>
  <si>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</si>
  <si>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</si>
  <si>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</si>
  <si>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</si>
  <si>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</si>
  <si>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</si>
  <si>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</si>
  <si>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</si>
  <si>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</si>
  <si>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</si>
  <si>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</si>
  <si>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</si>
  <si>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</si>
  <si>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</si>
  <si>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</si>
  <si>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</si>
  <si>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</si>
  <si>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</si>
  <si>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</si>
  <si>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</si>
  <si>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</si>
  <si>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</si>
  <si>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</si>
  <si>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</si>
  <si>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</si>
  <si>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</si>
  <si>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</si>
  <si>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</si>
  <si>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</si>
  <si>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</si>
  <si>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</si>
  <si>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</si>
  <si>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</si>
  <si>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</si>
  <si>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</si>
  <si>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</si>
  <si>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</si>
  <si>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</si>
  <si>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</si>
  <si>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</si>
  <si>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</si>
  <si>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</si>
  <si>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</si>
  <si>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</si>
  <si>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</si>
  <si>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</si>
  <si>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</si>
  <si>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</si>
  <si>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</si>
  <si>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</si>
  <si>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</si>
  <si>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</si>
  <si>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</si>
  <si>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</si>
  <si>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</si>
  <si>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</si>
  <si>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</si>
  <si>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</si>
  <si>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</si>
  <si>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</si>
  <si>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</si>
  <si>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</si>
  <si>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</si>
  <si>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</si>
  <si>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</si>
  <si>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</si>
  <si>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</si>
  <si>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</si>
  <si>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</si>
  <si>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</si>
  <si>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</si>
  <si>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</si>
  <si>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</si>
  <si>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</si>
  <si>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</si>
  <si>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</si>
  <si>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</si>
  <si>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</si>
  <si>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</si>
  <si>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</si>
  <si>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</si>
  <si>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</si>
  <si>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</si>
  <si>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</si>
  <si>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</si>
  <si>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</si>
  <si>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</si>
  <si>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</si>
  <si>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</si>
  <si>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</si>
  <si>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</si>
  <si>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</si>
  <si>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</si>
  <si>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</si>
  <si>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</si>
  <si>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</si>
  <si>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</si>
  <si>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</si>
  <si>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</si>
  <si>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</si>
  <si>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</si>
  <si>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</si>
  <si>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</si>
  <si>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</si>
  <si>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</si>
  <si>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</si>
  <si>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</si>
  <si>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</si>
  <si>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</si>
  <si>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</si>
  <si>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</si>
  <si>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</si>
  <si>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</si>
  <si>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</si>
  <si>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</si>
  <si>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</si>
  <si>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</si>
  <si>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</si>
  <si>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</si>
  <si>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</si>
  <si>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</si>
  <si>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</si>
  <si>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</si>
  <si>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</si>
  <si>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</si>
  <si>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</si>
  <si>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</si>
  <si>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</si>
  <si>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</si>
  <si>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</si>
  <si>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</si>
  <si>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</si>
  <si>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</si>
  <si>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</si>
  <si>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</si>
  <si>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</si>
  <si>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</si>
  <si>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</si>
  <si>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</si>
  <si>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</si>
  <si>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</si>
  <si>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</si>
  <si>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</si>
  <si>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</si>
  <si>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</si>
  <si>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</si>
  <si>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</si>
  <si>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</si>
  <si>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</si>
  <si>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</si>
  <si>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</si>
  <si>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</si>
  <si>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</si>
  <si>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</si>
  <si>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</si>
  <si>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</si>
  <si>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</si>
  <si>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</si>
  <si>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</si>
  <si>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</si>
  <si>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</si>
  <si>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</si>
  <si>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</si>
  <si>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</si>
  <si>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</si>
  <si>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</si>
  <si>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</si>
  <si>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</si>
  <si>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</si>
  <si>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</si>
  <si>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</si>
  <si>
    <t>C:\Users\jschaal\OneDrive - Distribuidora La Florida S.A\Dev\asm\snapshots\cpu6510\6510 Model Stand Alone_2026-04-02_2230_v2.38.txt</t>
  </si>
  <si>
    <t>C:\Users\jschaal\OneDrive - Distribuidora La Florida S.A\Dev\asm\snapshots\cpu6510\6510 Model Stand Alone_2026-04-02_2230_v2.38.xlsm</t>
  </si>
  <si>
    <t>C:\Users\jschaal\OneDrive - Distribuidora La Florida S.A\Dev\asm\snapshots\cpu6510\6510 Model Stand Alone_2026-04-02_2237_v2.39.txt</t>
  </si>
  <si>
    <t>C:\Users\jschaal\OneDrive - Distribuidora La Florida S.A\Dev\asm\snapshots\cpu6510\6510 Model Stand Alone_2026-04-02_2237_v2.39.xlsm</t>
  </si>
  <si>
    <t>C:\Users\jschaal\OneDrive - Distribuidora La Florida S.A\Dev\asm\snapshots\cpu6510\6510 Model Stand Alone_2026-04-02_2256_v2.40.txt</t>
  </si>
  <si>
    <t>C:\Users\jschaal\OneDrive - Distribuidora La Florida S.A\Dev\asm\snapshots\cpu6510\6510 Model Stand Alone_2026-04-02_2256_v2.40.xlsm</t>
  </si>
  <si>
    <t>Execution Complete</t>
  </si>
  <si>
    <t>PASS</t>
  </si>
  <si>
    <t>0814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</si>
</sst>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28" borderId="16" xfId="0" applyFill="1" applyBorder="1" applyAlignment="1">
      <alignment horizontal="center"/>
    </xf>
    <xf numFmtId="0" fontId="0" fillId="28" borderId="27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8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" sqref="F1:W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0</v>
      </c>
      <c r="F1" s="233" t="s">
        <v>2231</v>
      </c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5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1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1" t="s">
        <v>113</v>
      </c>
      <c r="C5" s="222" t="s">
        <v>132</v>
      </c>
      <c r="D5" s="39" t="s">
        <v>133</v>
      </c>
      <c r="E5" s="54" t="s">
        <v>134</v>
      </c>
      <c r="G5" s="140" t="s">
        <v>310</v>
      </c>
      <c r="H5" s="141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8">
        <v>0</v>
      </c>
      <c r="B6" s="219" t="s">
        <v>121</v>
      </c>
      <c r="C6" s="220" t="s">
        <v>346</v>
      </c>
      <c r="D6" s="43" t="str">
        <f>IF(AND(E6&gt;=32,E6&lt;=126),CHAR(E6),".")</f>
        <v>B</v>
      </c>
      <c r="E6" s="44">
        <f>HEX2DEC(C6)</f>
        <v>66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242</v>
      </c>
      <c r="D7" s="22" t="str">
        <f>IF(AND(E7&gt;=32,E7&lt;=126),CHAR(E7),".")</f>
        <v>.</v>
      </c>
      <c r="E7" s="23">
        <f>HEX2DEC(C7)</f>
        <v>1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206"/>
      <c r="P8" s="199" t="s">
        <v>2005</v>
      </c>
      <c r="Q8" s="78" t="s">
        <v>2167</v>
      </c>
      <c r="R8" s="78"/>
      <c r="S8" s="125" cm="1">
        <f t="array" ref="S8">IF(P8="",0,IF(OR(O8=";",P8="EQU",P8="ORG"),0,HlpGetInstructionSize(P8,Q8,R8,$AC$12)))</f>
        <v>2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0803</v>
      </c>
      <c r="N9" s="55">
        <f>N8+S8</f>
        <v>2051</v>
      </c>
      <c r="O9" s="206"/>
      <c r="P9" s="199" t="s">
        <v>727</v>
      </c>
      <c r="Q9" s="200" t="s">
        <v>2168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2233</v>
      </c>
      <c r="D10" s="22" t="str">
        <f t="shared" ref="D10:D11" si="12">IF(AND(E10&gt;=32,E10&lt;=126),CHAR(E10),".")</f>
        <v>.</v>
      </c>
      <c r="E10" s="23">
        <f t="shared" ref="E10:E11" si="13">HEX2DEC(C10)</f>
        <v>2068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0805</v>
      </c>
      <c r="N10" s="55">
        <f t="shared" ref="N10:N73" si="15">N9+S9</f>
        <v>2053</v>
      </c>
      <c r="O10" s="206"/>
      <c r="P10" s="199" t="s">
        <v>726</v>
      </c>
      <c r="Q10" s="200">
        <v>400</v>
      </c>
      <c r="R10" s="78" t="s">
        <v>2067</v>
      </c>
      <c r="S10" s="126" cm="1">
        <f t="array" ref="S10">IF(P10="",0,IF(OR(O10=";",P10="EQU",P10="ORG"),0,HlpGetInstructionSize(P10,Q10,R10,$AC$12)))</f>
        <v>3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0808</v>
      </c>
      <c r="N11" s="55">
        <f t="shared" si="15"/>
        <v>2056</v>
      </c>
      <c r="O11" s="206"/>
      <c r="P11" s="199" t="s">
        <v>727</v>
      </c>
      <c r="Q11" s="200" t="s">
        <v>2169</v>
      </c>
      <c r="R11" s="78"/>
      <c r="S11" s="126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080A</v>
      </c>
      <c r="N12" s="55">
        <f t="shared" si="15"/>
        <v>2058</v>
      </c>
      <c r="O12" s="206"/>
      <c r="P12" s="199" t="s">
        <v>341</v>
      </c>
      <c r="Q12" s="200"/>
      <c r="R12" s="78"/>
      <c r="S12" s="126" cm="1">
        <f t="array" ref="S12">IF(P12="",0,IF(OR(O12=";",P12="EQU",P12="ORG"),0,HlpGetInstructionSize(P12,Q12,R12,$AC$12)))</f>
        <v>1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3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080B</v>
      </c>
      <c r="N13" s="55">
        <f t="shared" si="15"/>
        <v>2059</v>
      </c>
      <c r="O13" s="206"/>
      <c r="P13" s="199" t="s">
        <v>726</v>
      </c>
      <c r="Q13" s="200">
        <v>400</v>
      </c>
      <c r="R13" s="78" t="s">
        <v>2067</v>
      </c>
      <c r="S13" s="126" cm="1">
        <f t="array" ref="S13">IF(P13="",0,IF(OR(O13=";",P13="EQU",P13="ORG"),0,HlpGetInstructionSize(P13,Q13,R13,$AC$12)))</f>
        <v>3</v>
      </c>
      <c r="V13" s="34"/>
      <c r="W13" s="16"/>
      <c r="X13" s="22"/>
      <c r="Y13" s="23"/>
      <c r="AC13" s="84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080E</v>
      </c>
      <c r="N14" s="55">
        <f t="shared" si="15"/>
        <v>2062</v>
      </c>
      <c r="O14" s="206"/>
      <c r="P14" s="199" t="s">
        <v>2005</v>
      </c>
      <c r="Q14" s="200" t="s">
        <v>2167</v>
      </c>
      <c r="R14" s="78"/>
      <c r="S14" s="126" cm="1">
        <f t="array" ref="S14">IF(P14="",0,IF(OR(O14=";",P14="EQU",P14="ORG"),0,HlpGetInstructionSize(P14,Q14,R14,$AC$12)))</f>
        <v>2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0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>
        <f>IFERROR(HEX2DEC(INDEX(MemoryTable,_xlfn.XMATCH(1,$AK$15:$AK$1070),_xlfn.XMATCH(1,$AC$13:$AJ$13))),"")</f>
        <v>0</v>
      </c>
      <c r="AN14" s="40" t="e">
        <f>CHAR(AM14)</f>
        <v>#VALUE!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0810</v>
      </c>
      <c r="N15" s="55">
        <f t="shared" si="15"/>
        <v>2064</v>
      </c>
      <c r="O15" s="75"/>
      <c r="P15" s="199" t="s">
        <v>341</v>
      </c>
      <c r="Q15" s="78"/>
      <c r="R15" s="78"/>
      <c r="S15" s="126" cm="1">
        <f t="array" ref="S15">IF(P15="",0,IF(OR(O15=";",P15="EQU",P15="ORG"),0,HlpGetInstructionSize(P15,Q15,R15,$AC$12)))</f>
        <v>1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.B..</v>
      </c>
      <c r="AC15" s="112" t="s">
        <v>582</v>
      </c>
      <c r="AD15" s="113" t="s">
        <v>346</v>
      </c>
      <c r="AE15" s="113" t="s">
        <v>178</v>
      </c>
      <c r="AF15" s="113" t="s">
        <v>198</v>
      </c>
      <c r="AG15" s="113" t="s">
        <v>232</v>
      </c>
      <c r="AH15" s="113" t="s">
        <v>232</v>
      </c>
      <c r="AI15" s="113" t="s">
        <v>232</v>
      </c>
      <c r="AJ15" s="114" t="s">
        <v>232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0811</v>
      </c>
      <c r="N16" s="55">
        <f t="shared" si="15"/>
        <v>2065</v>
      </c>
      <c r="O16" s="75"/>
      <c r="P16" s="199" t="s">
        <v>727</v>
      </c>
      <c r="Q16" s="78">
        <v>400</v>
      </c>
      <c r="R16" s="78" t="s">
        <v>2067</v>
      </c>
      <c r="S16" s="126" cm="1">
        <f t="array" ref="S16">IF(P16="",0,IF(OR(O16=";",P16="EQU",P16="ORG"),0,HlpGetInstructionSize(P16,Q16,R16,$AC$12)))</f>
        <v>3</v>
      </c>
      <c r="V16" s="34"/>
      <c r="W16" s="16"/>
      <c r="X16" s="22"/>
      <c r="Y16" s="23"/>
      <c r="AA16" s="57"/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15" t="s">
        <v>232</v>
      </c>
      <c r="AD16" s="116" t="s">
        <v>232</v>
      </c>
      <c r="AE16" s="116" t="s">
        <v>232</v>
      </c>
      <c r="AF16" s="116" t="s">
        <v>232</v>
      </c>
      <c r="AG16" s="116" t="s">
        <v>232</v>
      </c>
      <c r="AH16" s="116" t="s">
        <v>232</v>
      </c>
      <c r="AI16" s="116" t="s">
        <v>232</v>
      </c>
      <c r="AJ16" s="117" t="s">
        <v>232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0814</v>
      </c>
      <c r="N17" s="55">
        <f t="shared" si="15"/>
        <v>2068</v>
      </c>
      <c r="O17" s="75"/>
      <c r="P17" s="199" t="s">
        <v>182</v>
      </c>
      <c r="Q17" s="78"/>
      <c r="R17" s="78"/>
      <c r="S17" s="126" cm="1">
        <f t="array" ref="S17">IF(P17="",0,IF(OR(O17=";",P17="EQU",P17="ORG"),0,HlpGetInstructionSize(P17,Q17,R17,$AC$12)))</f>
        <v>1</v>
      </c>
      <c r="V17" s="34"/>
      <c r="W17" s="16"/>
      <c r="X17" s="22"/>
      <c r="Y17" s="23"/>
      <c r="AA17" s="57"/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15" t="s">
        <v>232</v>
      </c>
      <c r="AD17" s="116" t="s">
        <v>232</v>
      </c>
      <c r="AE17" s="116" t="s">
        <v>232</v>
      </c>
      <c r="AF17" s="116" t="s">
        <v>232</v>
      </c>
      <c r="AG17" s="116" t="s">
        <v>232</v>
      </c>
      <c r="AH17" s="116" t="s">
        <v>232</v>
      </c>
      <c r="AI17" s="116" t="s">
        <v>232</v>
      </c>
      <c r="AJ17" s="117" t="s">
        <v>232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0815</v>
      </c>
      <c r="N18" s="55">
        <f t="shared" si="15"/>
        <v>2069</v>
      </c>
      <c r="O18" s="75"/>
      <c r="P18" s="199"/>
      <c r="Q18" s="78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5" t="s">
        <v>232</v>
      </c>
      <c r="AD18" s="116" t="s">
        <v>232</v>
      </c>
      <c r="AE18" s="116" t="s">
        <v>232</v>
      </c>
      <c r="AF18" s="116" t="s">
        <v>232</v>
      </c>
      <c r="AG18" s="116" t="s">
        <v>232</v>
      </c>
      <c r="AH18" s="116" t="s">
        <v>232</v>
      </c>
      <c r="AI18" s="116" t="s">
        <v>232</v>
      </c>
      <c r="AJ18" s="117" t="s">
        <v>232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0815</v>
      </c>
      <c r="N19" s="55">
        <f t="shared" si="15"/>
        <v>2069</v>
      </c>
      <c r="O19" s="75"/>
      <c r="P19" s="199"/>
      <c r="Q19" s="78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5" t="s">
        <v>232</v>
      </c>
      <c r="AD19" s="116" t="s">
        <v>232</v>
      </c>
      <c r="AE19" s="116" t="s">
        <v>232</v>
      </c>
      <c r="AF19" s="116" t="s">
        <v>232</v>
      </c>
      <c r="AG19" s="116" t="s">
        <v>232</v>
      </c>
      <c r="AH19" s="116" t="s">
        <v>232</v>
      </c>
      <c r="AI19" s="116" t="s">
        <v>232</v>
      </c>
      <c r="AJ19" s="117" t="s">
        <v>232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0815</v>
      </c>
      <c r="N20" s="55">
        <f t="shared" si="15"/>
        <v>2069</v>
      </c>
      <c r="O20" s="75"/>
      <c r="P20" s="199"/>
      <c r="Q20" s="78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5" t="s">
        <v>232</v>
      </c>
      <c r="AD20" s="116" t="s">
        <v>232</v>
      </c>
      <c r="AE20" s="116" t="s">
        <v>232</v>
      </c>
      <c r="AF20" s="116" t="s">
        <v>232</v>
      </c>
      <c r="AG20" s="116" t="s">
        <v>232</v>
      </c>
      <c r="AH20" s="116" t="s">
        <v>232</v>
      </c>
      <c r="AI20" s="116" t="s">
        <v>232</v>
      </c>
      <c r="AJ20" s="117" t="s">
        <v>232</v>
      </c>
      <c r="AK20">
        <v>1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0815</v>
      </c>
      <c r="N21" s="55">
        <f t="shared" si="15"/>
        <v>2069</v>
      </c>
      <c r="O21" s="75"/>
      <c r="P21" s="199"/>
      <c r="Q21" s="78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5" t="s">
        <v>232</v>
      </c>
      <c r="AD21" s="116" t="s">
        <v>232</v>
      </c>
      <c r="AE21" s="116" t="s">
        <v>232</v>
      </c>
      <c r="AF21" s="116" t="s">
        <v>232</v>
      </c>
      <c r="AG21" s="116" t="s">
        <v>232</v>
      </c>
      <c r="AH21" s="116" t="s">
        <v>232</v>
      </c>
      <c r="AI21" s="116" t="s">
        <v>232</v>
      </c>
      <c r="AJ21" s="117" t="s">
        <v>232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0815</v>
      </c>
      <c r="N22" s="55">
        <f t="shared" si="15"/>
        <v>2069</v>
      </c>
      <c r="O22" s="75"/>
      <c r="P22" s="199"/>
      <c r="Q22" s="78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5" t="s">
        <v>232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0815</v>
      </c>
      <c r="N23" s="55">
        <f t="shared" si="15"/>
        <v>2069</v>
      </c>
      <c r="O23" s="75"/>
      <c r="P23" s="199"/>
      <c r="Q23" s="78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0815</v>
      </c>
      <c r="N24" s="55">
        <f t="shared" si="15"/>
        <v>2069</v>
      </c>
      <c r="O24" s="75"/>
      <c r="P24" s="199"/>
      <c r="Q24" s="78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0815</v>
      </c>
      <c r="N25" s="55">
        <f t="shared" si="15"/>
        <v>2069</v>
      </c>
      <c r="O25" s="75"/>
      <c r="P25" s="199"/>
      <c r="Q25" s="78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0815</v>
      </c>
      <c r="N26" s="55">
        <f t="shared" si="15"/>
        <v>2069</v>
      </c>
      <c r="O26" s="75"/>
      <c r="P26" s="199"/>
      <c r="Q26" s="78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0815</v>
      </c>
      <c r="N27" s="55">
        <f t="shared" si="15"/>
        <v>2069</v>
      </c>
      <c r="O27" s="75"/>
      <c r="P27" s="199"/>
      <c r="Q27" s="78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0815</v>
      </c>
      <c r="N28" s="55">
        <f t="shared" si="15"/>
        <v>2069</v>
      </c>
      <c r="O28" s="75"/>
      <c r="P28" s="199"/>
      <c r="Q28" s="78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0815</v>
      </c>
      <c r="N29" s="55">
        <f t="shared" si="15"/>
        <v>2069</v>
      </c>
      <c r="O29" s="75"/>
      <c r="P29" s="199"/>
      <c r="Q29" s="78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0815</v>
      </c>
      <c r="N30" s="55">
        <f t="shared" si="15"/>
        <v>2069</v>
      </c>
      <c r="O30" s="75"/>
      <c r="P30" s="199"/>
      <c r="Q30" s="78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0815</v>
      </c>
      <c r="N31" s="55">
        <f t="shared" si="15"/>
        <v>2069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0815</v>
      </c>
      <c r="N32" s="55">
        <f t="shared" si="15"/>
        <v>2069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0815</v>
      </c>
      <c r="N33" s="55">
        <f t="shared" si="15"/>
        <v>2069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0815</v>
      </c>
      <c r="N34" s="55">
        <f t="shared" si="15"/>
        <v>2069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0815</v>
      </c>
      <c r="N35" s="55">
        <f t="shared" si="15"/>
        <v>2069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0815</v>
      </c>
      <c r="N36" s="55">
        <f t="shared" si="15"/>
        <v>2069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0815</v>
      </c>
      <c r="N37" s="55">
        <f t="shared" si="15"/>
        <v>2069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0815</v>
      </c>
      <c r="N38" s="55">
        <f t="shared" si="15"/>
        <v>2069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0815</v>
      </c>
      <c r="N39" s="55">
        <f t="shared" si="15"/>
        <v>2069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0815</v>
      </c>
      <c r="N40" s="55">
        <f t="shared" si="15"/>
        <v>2069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0815</v>
      </c>
      <c r="N41" s="55">
        <f t="shared" si="15"/>
        <v>2069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0815</v>
      </c>
      <c r="N42" s="55">
        <f t="shared" si="15"/>
        <v>2069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0815</v>
      </c>
      <c r="N43" s="55">
        <f t="shared" si="15"/>
        <v>2069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0815</v>
      </c>
      <c r="N44" s="55">
        <f t="shared" si="15"/>
        <v>2069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0815</v>
      </c>
      <c r="N45" s="55">
        <f t="shared" si="15"/>
        <v>2069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0815</v>
      </c>
      <c r="N46" s="55">
        <f t="shared" si="15"/>
        <v>2069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0815</v>
      </c>
      <c r="N47" s="55">
        <f t="shared" si="15"/>
        <v>2069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0815</v>
      </c>
      <c r="N48" s="55">
        <f t="shared" si="15"/>
        <v>2069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0815</v>
      </c>
      <c r="N49" s="55">
        <f t="shared" si="15"/>
        <v>2069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0815</v>
      </c>
      <c r="N50" s="55">
        <f t="shared" si="15"/>
        <v>2069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0815</v>
      </c>
      <c r="N51" s="55">
        <f t="shared" si="15"/>
        <v>2069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0815</v>
      </c>
      <c r="N52" s="55">
        <f t="shared" si="15"/>
        <v>2069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0815</v>
      </c>
      <c r="N53" s="55">
        <f t="shared" si="15"/>
        <v>2069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0815</v>
      </c>
      <c r="N54" s="55">
        <f t="shared" si="15"/>
        <v>2069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0815</v>
      </c>
      <c r="N55" s="55">
        <f t="shared" si="15"/>
        <v>2069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0815</v>
      </c>
      <c r="N56" s="55">
        <f t="shared" si="15"/>
        <v>2069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0815</v>
      </c>
      <c r="N57" s="55">
        <f t="shared" si="15"/>
        <v>2069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0815</v>
      </c>
      <c r="N58" s="55">
        <f t="shared" si="15"/>
        <v>2069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0815</v>
      </c>
      <c r="N59" s="55">
        <f t="shared" si="15"/>
        <v>2069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0815</v>
      </c>
      <c r="N60" s="55">
        <f t="shared" si="15"/>
        <v>2069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0815</v>
      </c>
      <c r="N61" s="55">
        <f t="shared" si="15"/>
        <v>2069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0815</v>
      </c>
      <c r="N62" s="55">
        <f t="shared" si="15"/>
        <v>2069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0815</v>
      </c>
      <c r="N63" s="55">
        <f t="shared" si="15"/>
        <v>2069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0815</v>
      </c>
      <c r="N64" s="55">
        <f t="shared" si="15"/>
        <v>2069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0815</v>
      </c>
      <c r="N65" s="55">
        <f t="shared" si="15"/>
        <v>2069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0815</v>
      </c>
      <c r="N66" s="55">
        <f t="shared" si="15"/>
        <v>2069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0815</v>
      </c>
      <c r="N67" s="55">
        <f t="shared" si="15"/>
        <v>2069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0815</v>
      </c>
      <c r="N68" s="55">
        <f t="shared" si="15"/>
        <v>2069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0815</v>
      </c>
      <c r="N69" s="55">
        <f t="shared" si="15"/>
        <v>2069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0815</v>
      </c>
      <c r="N70" s="55">
        <f t="shared" si="15"/>
        <v>2069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0815</v>
      </c>
      <c r="N71" s="55">
        <f t="shared" si="15"/>
        <v>2069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0815</v>
      </c>
      <c r="N72" s="55">
        <f t="shared" si="15"/>
        <v>2069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0815</v>
      </c>
      <c r="N73" s="55">
        <f t="shared" si="15"/>
        <v>2069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0815</v>
      </c>
      <c r="N74" s="55">
        <f t="shared" ref="N74:N137" si="29">N73+S73</f>
        <v>2069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0815</v>
      </c>
      <c r="N75" s="55">
        <f t="shared" si="29"/>
        <v>2069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0815</v>
      </c>
      <c r="N76" s="55">
        <f t="shared" si="29"/>
        <v>2069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0815</v>
      </c>
      <c r="N77" s="55">
        <f t="shared" si="29"/>
        <v>2069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0815</v>
      </c>
      <c r="N78" s="55">
        <f t="shared" si="29"/>
        <v>2069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0815</v>
      </c>
      <c r="N79" s="55">
        <f t="shared" si="29"/>
        <v>2069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0815</v>
      </c>
      <c r="N80" s="55">
        <f t="shared" si="29"/>
        <v>2069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0815</v>
      </c>
      <c r="N81" s="55">
        <f t="shared" si="29"/>
        <v>2069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0815</v>
      </c>
      <c r="N82" s="55">
        <f t="shared" si="29"/>
        <v>2069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0815</v>
      </c>
      <c r="N83" s="55">
        <f t="shared" si="29"/>
        <v>2069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0815</v>
      </c>
      <c r="N84" s="55">
        <f t="shared" si="29"/>
        <v>2069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0815</v>
      </c>
      <c r="N85" s="55">
        <f t="shared" si="29"/>
        <v>2069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0815</v>
      </c>
      <c r="N86" s="55">
        <f t="shared" si="29"/>
        <v>2069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0815</v>
      </c>
      <c r="N87" s="55">
        <f t="shared" si="29"/>
        <v>2069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0815</v>
      </c>
      <c r="N88" s="55">
        <f t="shared" si="29"/>
        <v>2069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0815</v>
      </c>
      <c r="N89" s="55">
        <f t="shared" si="29"/>
        <v>2069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0815</v>
      </c>
      <c r="N90" s="55">
        <f t="shared" si="29"/>
        <v>2069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0815</v>
      </c>
      <c r="N91" s="55">
        <f t="shared" si="29"/>
        <v>2069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0815</v>
      </c>
      <c r="N92" s="55">
        <f t="shared" si="29"/>
        <v>2069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0815</v>
      </c>
      <c r="N93" s="55">
        <f t="shared" si="29"/>
        <v>2069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0815</v>
      </c>
      <c r="N94" s="55">
        <f t="shared" si="29"/>
        <v>2069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0815</v>
      </c>
      <c r="N95" s="55">
        <f t="shared" si="29"/>
        <v>2069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0815</v>
      </c>
      <c r="N96" s="55">
        <f t="shared" si="29"/>
        <v>2069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0815</v>
      </c>
      <c r="N97" s="55">
        <f t="shared" si="29"/>
        <v>2069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0815</v>
      </c>
      <c r="N98" s="55">
        <f t="shared" si="29"/>
        <v>2069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0815</v>
      </c>
      <c r="N99" s="55">
        <f t="shared" si="29"/>
        <v>2069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0815</v>
      </c>
      <c r="N100" s="55">
        <f t="shared" si="29"/>
        <v>2069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0815</v>
      </c>
      <c r="N101" s="55">
        <f t="shared" si="29"/>
        <v>2069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0815</v>
      </c>
      <c r="N102" s="55">
        <f t="shared" si="29"/>
        <v>2069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0815</v>
      </c>
      <c r="N103" s="55">
        <f t="shared" si="29"/>
        <v>2069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0815</v>
      </c>
      <c r="N104" s="55">
        <f t="shared" si="29"/>
        <v>2069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0815</v>
      </c>
      <c r="N105" s="55">
        <f t="shared" si="29"/>
        <v>2069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0815</v>
      </c>
      <c r="N106" s="55">
        <f t="shared" si="29"/>
        <v>2069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0815</v>
      </c>
      <c r="N107" s="55">
        <f t="shared" si="29"/>
        <v>2069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0815</v>
      </c>
      <c r="N108" s="55">
        <f t="shared" si="29"/>
        <v>2069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0815</v>
      </c>
      <c r="N109" s="55">
        <f t="shared" si="29"/>
        <v>2069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0815</v>
      </c>
      <c r="N110" s="55">
        <f t="shared" si="29"/>
        <v>2069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0815</v>
      </c>
      <c r="N111" s="55">
        <f t="shared" si="29"/>
        <v>2069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0815</v>
      </c>
      <c r="N112" s="55">
        <f t="shared" si="29"/>
        <v>2069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0815</v>
      </c>
      <c r="N113" s="55">
        <f t="shared" si="29"/>
        <v>2069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0815</v>
      </c>
      <c r="N114" s="55">
        <f t="shared" si="29"/>
        <v>2069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0815</v>
      </c>
      <c r="N115" s="55">
        <f t="shared" si="29"/>
        <v>2069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0815</v>
      </c>
      <c r="N116" s="55">
        <f t="shared" si="29"/>
        <v>2069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0815</v>
      </c>
      <c r="N117" s="55">
        <f t="shared" si="29"/>
        <v>2069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0815</v>
      </c>
      <c r="N118" s="55">
        <f t="shared" si="29"/>
        <v>2069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0815</v>
      </c>
      <c r="N119" s="55">
        <f t="shared" si="29"/>
        <v>2069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0815</v>
      </c>
      <c r="N120" s="55">
        <f t="shared" si="29"/>
        <v>2069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0815</v>
      </c>
      <c r="N121" s="55">
        <f t="shared" si="29"/>
        <v>2069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0815</v>
      </c>
      <c r="N122" s="55">
        <f t="shared" si="29"/>
        <v>2069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0815</v>
      </c>
      <c r="N123" s="55">
        <f t="shared" si="29"/>
        <v>2069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0815</v>
      </c>
      <c r="N124" s="55">
        <f t="shared" si="29"/>
        <v>2069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0815</v>
      </c>
      <c r="N125" s="55">
        <f t="shared" si="29"/>
        <v>2069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0815</v>
      </c>
      <c r="N126" s="55">
        <f t="shared" si="29"/>
        <v>2069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0815</v>
      </c>
      <c r="N127" s="55">
        <f t="shared" si="29"/>
        <v>2069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0815</v>
      </c>
      <c r="N128" s="55">
        <f t="shared" si="29"/>
        <v>2069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0815</v>
      </c>
      <c r="N129" s="55">
        <f t="shared" si="29"/>
        <v>2069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0815</v>
      </c>
      <c r="N130" s="55">
        <f t="shared" si="29"/>
        <v>2069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0815</v>
      </c>
      <c r="N131" s="55">
        <f t="shared" si="29"/>
        <v>2069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0815</v>
      </c>
      <c r="N132" s="55">
        <f t="shared" si="29"/>
        <v>2069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0815</v>
      </c>
      <c r="N133" s="55">
        <f t="shared" si="29"/>
        <v>2069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0815</v>
      </c>
      <c r="N134" s="55">
        <f t="shared" si="29"/>
        <v>2069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0815</v>
      </c>
      <c r="N135" s="55">
        <f t="shared" si="29"/>
        <v>2069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0815</v>
      </c>
      <c r="N136" s="55">
        <f t="shared" si="29"/>
        <v>2069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0815</v>
      </c>
      <c r="N137" s="55">
        <f t="shared" si="29"/>
        <v>2069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0815</v>
      </c>
      <c r="N138" s="55">
        <f t="shared" ref="N138:N201" si="33">N137+S137</f>
        <v>2069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0815</v>
      </c>
      <c r="N139" s="55">
        <f t="shared" si="33"/>
        <v>2069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0815</v>
      </c>
      <c r="N140" s="55">
        <f t="shared" si="33"/>
        <v>2069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0815</v>
      </c>
      <c r="N141" s="55">
        <f t="shared" si="33"/>
        <v>2069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0815</v>
      </c>
      <c r="N142" s="55">
        <f t="shared" si="33"/>
        <v>2069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0815</v>
      </c>
      <c r="N143" s="55">
        <f t="shared" si="33"/>
        <v>2069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0815</v>
      </c>
      <c r="N144" s="55">
        <f t="shared" si="33"/>
        <v>2069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0815</v>
      </c>
      <c r="N145" s="55">
        <f t="shared" si="33"/>
        <v>2069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0815</v>
      </c>
      <c r="N146" s="55">
        <f t="shared" si="33"/>
        <v>2069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0815</v>
      </c>
      <c r="N147" s="55">
        <f t="shared" si="33"/>
        <v>2069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0815</v>
      </c>
      <c r="N148" s="55">
        <f t="shared" si="33"/>
        <v>2069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0815</v>
      </c>
      <c r="N149" s="55">
        <f t="shared" si="33"/>
        <v>2069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0815</v>
      </c>
      <c r="N150" s="55">
        <f t="shared" si="33"/>
        <v>2069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0815</v>
      </c>
      <c r="N151" s="55">
        <f t="shared" si="33"/>
        <v>2069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0815</v>
      </c>
      <c r="N152" s="55">
        <f t="shared" si="33"/>
        <v>2069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0815</v>
      </c>
      <c r="N153" s="55">
        <f t="shared" si="33"/>
        <v>2069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0815</v>
      </c>
      <c r="N154" s="55">
        <f t="shared" si="33"/>
        <v>2069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0815</v>
      </c>
      <c r="N155" s="55">
        <f t="shared" si="33"/>
        <v>2069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0815</v>
      </c>
      <c r="N156" s="55">
        <f t="shared" si="33"/>
        <v>2069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0815</v>
      </c>
      <c r="N157" s="55">
        <f t="shared" si="33"/>
        <v>2069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0815</v>
      </c>
      <c r="N158" s="55">
        <f t="shared" si="33"/>
        <v>2069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0815</v>
      </c>
      <c r="N159" s="55">
        <f t="shared" si="33"/>
        <v>2069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0815</v>
      </c>
      <c r="N160" s="55">
        <f t="shared" si="33"/>
        <v>2069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0815</v>
      </c>
      <c r="N161" s="55">
        <f t="shared" si="33"/>
        <v>2069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0815</v>
      </c>
      <c r="N162" s="55">
        <f t="shared" si="33"/>
        <v>2069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0815</v>
      </c>
      <c r="N163" s="55">
        <f t="shared" si="33"/>
        <v>2069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0815</v>
      </c>
      <c r="N164" s="55">
        <f t="shared" si="33"/>
        <v>2069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0815</v>
      </c>
      <c r="N165" s="55">
        <f t="shared" si="33"/>
        <v>2069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0815</v>
      </c>
      <c r="N166" s="55">
        <f t="shared" si="33"/>
        <v>2069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0815</v>
      </c>
      <c r="N167" s="55">
        <f t="shared" si="33"/>
        <v>2069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0815</v>
      </c>
      <c r="N168" s="55">
        <f t="shared" si="33"/>
        <v>2069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0815</v>
      </c>
      <c r="N169" s="55">
        <f t="shared" si="33"/>
        <v>2069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0815</v>
      </c>
      <c r="N170" s="55">
        <f t="shared" si="33"/>
        <v>2069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0815</v>
      </c>
      <c r="N171" s="55">
        <f t="shared" si="33"/>
        <v>2069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0815</v>
      </c>
      <c r="N172" s="55">
        <f t="shared" si="33"/>
        <v>2069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0815</v>
      </c>
      <c r="N173" s="55">
        <f t="shared" si="33"/>
        <v>2069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0815</v>
      </c>
      <c r="N174" s="55">
        <f t="shared" si="33"/>
        <v>2069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0815</v>
      </c>
      <c r="N175" s="55">
        <f t="shared" si="33"/>
        <v>2069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0815</v>
      </c>
      <c r="N176" s="55">
        <f t="shared" si="33"/>
        <v>2069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0815</v>
      </c>
      <c r="N177" s="55">
        <f t="shared" si="33"/>
        <v>2069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0815</v>
      </c>
      <c r="N178" s="55">
        <f t="shared" si="33"/>
        <v>2069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0815</v>
      </c>
      <c r="N179" s="55">
        <f t="shared" si="33"/>
        <v>2069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0815</v>
      </c>
      <c r="N180" s="55">
        <f t="shared" si="33"/>
        <v>2069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0815</v>
      </c>
      <c r="N181" s="55">
        <f t="shared" si="33"/>
        <v>2069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0815</v>
      </c>
      <c r="N182" s="55">
        <f t="shared" si="33"/>
        <v>2069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0815</v>
      </c>
      <c r="N183" s="55">
        <f t="shared" si="33"/>
        <v>2069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0815</v>
      </c>
      <c r="N184" s="55">
        <f t="shared" si="33"/>
        <v>2069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0815</v>
      </c>
      <c r="N185" s="55">
        <f t="shared" si="33"/>
        <v>2069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0815</v>
      </c>
      <c r="N186" s="55">
        <f t="shared" si="33"/>
        <v>2069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0815</v>
      </c>
      <c r="N187" s="55">
        <f t="shared" si="33"/>
        <v>2069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0815</v>
      </c>
      <c r="N188" s="55">
        <f t="shared" si="33"/>
        <v>2069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0815</v>
      </c>
      <c r="N189" s="55">
        <f t="shared" si="33"/>
        <v>2069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0815</v>
      </c>
      <c r="N190" s="55">
        <f t="shared" si="33"/>
        <v>2069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0815</v>
      </c>
      <c r="N191" s="55">
        <f t="shared" si="33"/>
        <v>2069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0815</v>
      </c>
      <c r="N192" s="55">
        <f t="shared" si="33"/>
        <v>2069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0815</v>
      </c>
      <c r="N193" s="55">
        <f t="shared" si="33"/>
        <v>2069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0815</v>
      </c>
      <c r="N194" s="55">
        <f t="shared" si="33"/>
        <v>2069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0815</v>
      </c>
      <c r="N195" s="55">
        <f t="shared" si="33"/>
        <v>2069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0815</v>
      </c>
      <c r="N196" s="55">
        <f t="shared" si="33"/>
        <v>2069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0815</v>
      </c>
      <c r="N197" s="55">
        <f t="shared" si="33"/>
        <v>2069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0815</v>
      </c>
      <c r="N198" s="55">
        <f t="shared" si="33"/>
        <v>2069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0815</v>
      </c>
      <c r="N199" s="55">
        <f t="shared" si="33"/>
        <v>2069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0815</v>
      </c>
      <c r="N200" s="55">
        <f t="shared" si="33"/>
        <v>2069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0815</v>
      </c>
      <c r="N201" s="55">
        <f t="shared" si="33"/>
        <v>2069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0815</v>
      </c>
      <c r="N202" s="55">
        <f t="shared" ref="N202:N265" si="37">N201+S201</f>
        <v>2069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0815</v>
      </c>
      <c r="N203" s="55">
        <f t="shared" si="37"/>
        <v>2069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0815</v>
      </c>
      <c r="N204" s="55">
        <f t="shared" si="37"/>
        <v>2069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0815</v>
      </c>
      <c r="N205" s="55">
        <f t="shared" si="37"/>
        <v>2069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0815</v>
      </c>
      <c r="N206" s="55">
        <f t="shared" si="37"/>
        <v>2069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0815</v>
      </c>
      <c r="N207" s="55">
        <f t="shared" si="37"/>
        <v>2069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0815</v>
      </c>
      <c r="N208" s="55">
        <f t="shared" si="37"/>
        <v>2069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0815</v>
      </c>
      <c r="N209" s="55">
        <f t="shared" si="37"/>
        <v>2069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0815</v>
      </c>
      <c r="N210" s="55">
        <f t="shared" si="37"/>
        <v>2069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0815</v>
      </c>
      <c r="N211" s="55">
        <f t="shared" si="37"/>
        <v>2069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0815</v>
      </c>
      <c r="N212" s="55">
        <f t="shared" si="37"/>
        <v>2069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0815</v>
      </c>
      <c r="N213" s="55">
        <f t="shared" si="37"/>
        <v>2069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0815</v>
      </c>
      <c r="N214" s="55">
        <f t="shared" si="37"/>
        <v>2069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0815</v>
      </c>
      <c r="N215" s="55">
        <f t="shared" si="37"/>
        <v>2069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0815</v>
      </c>
      <c r="N216" s="55">
        <f t="shared" si="37"/>
        <v>2069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0815</v>
      </c>
      <c r="N217" s="55">
        <f t="shared" si="37"/>
        <v>2069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0815</v>
      </c>
      <c r="N218" s="55">
        <f t="shared" si="37"/>
        <v>2069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0815</v>
      </c>
      <c r="N219" s="55">
        <f t="shared" si="37"/>
        <v>2069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0815</v>
      </c>
      <c r="N220" s="55">
        <f t="shared" si="37"/>
        <v>2069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0815</v>
      </c>
      <c r="N221" s="55">
        <f t="shared" si="37"/>
        <v>2069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0815</v>
      </c>
      <c r="N222" s="55">
        <f t="shared" si="37"/>
        <v>2069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0815</v>
      </c>
      <c r="N223" s="55">
        <f t="shared" si="37"/>
        <v>2069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0815</v>
      </c>
      <c r="N224" s="55">
        <f t="shared" si="37"/>
        <v>2069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0815</v>
      </c>
      <c r="N225" s="55">
        <f t="shared" si="37"/>
        <v>2069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0815</v>
      </c>
      <c r="N226" s="55">
        <f t="shared" si="37"/>
        <v>2069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0815</v>
      </c>
      <c r="N227" s="55">
        <f t="shared" si="37"/>
        <v>2069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0815</v>
      </c>
      <c r="N228" s="55">
        <f t="shared" si="37"/>
        <v>2069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0815</v>
      </c>
      <c r="N229" s="55">
        <f t="shared" si="37"/>
        <v>2069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0815</v>
      </c>
      <c r="N230" s="55">
        <f t="shared" si="37"/>
        <v>2069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0815</v>
      </c>
      <c r="N231" s="55">
        <f t="shared" si="37"/>
        <v>2069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0815</v>
      </c>
      <c r="N232" s="55">
        <f t="shared" si="37"/>
        <v>2069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0815</v>
      </c>
      <c r="N233" s="55">
        <f t="shared" si="37"/>
        <v>2069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0815</v>
      </c>
      <c r="N234" s="55">
        <f t="shared" si="37"/>
        <v>2069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0815</v>
      </c>
      <c r="N235" s="55">
        <f t="shared" si="37"/>
        <v>2069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0815</v>
      </c>
      <c r="N236" s="55">
        <f t="shared" si="37"/>
        <v>2069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0815</v>
      </c>
      <c r="N237" s="55">
        <f t="shared" si="37"/>
        <v>2069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0815</v>
      </c>
      <c r="N238" s="55">
        <f t="shared" si="37"/>
        <v>2069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0815</v>
      </c>
      <c r="N239" s="55">
        <f t="shared" si="37"/>
        <v>2069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0815</v>
      </c>
      <c r="N240" s="55">
        <f t="shared" si="37"/>
        <v>2069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0815</v>
      </c>
      <c r="N241" s="55">
        <f t="shared" si="37"/>
        <v>2069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0815</v>
      </c>
      <c r="N242" s="55">
        <f t="shared" si="37"/>
        <v>2069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0815</v>
      </c>
      <c r="N243" s="55">
        <f t="shared" si="37"/>
        <v>2069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0815</v>
      </c>
      <c r="N244" s="55">
        <f t="shared" si="37"/>
        <v>2069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0815</v>
      </c>
      <c r="N245" s="55">
        <f t="shared" si="37"/>
        <v>2069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0815</v>
      </c>
      <c r="N246" s="55">
        <f t="shared" si="37"/>
        <v>2069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0815</v>
      </c>
      <c r="N247" s="55">
        <f t="shared" si="37"/>
        <v>2069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0815</v>
      </c>
      <c r="N248" s="55">
        <f t="shared" si="37"/>
        <v>2069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0815</v>
      </c>
      <c r="N249" s="55">
        <f t="shared" si="37"/>
        <v>2069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0815</v>
      </c>
      <c r="N250" s="55">
        <f t="shared" si="37"/>
        <v>2069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0815</v>
      </c>
      <c r="N251" s="55">
        <f t="shared" si="37"/>
        <v>2069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0815</v>
      </c>
      <c r="N252" s="55">
        <f t="shared" si="37"/>
        <v>2069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0815</v>
      </c>
      <c r="N253" s="55">
        <f t="shared" si="37"/>
        <v>2069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0815</v>
      </c>
      <c r="N254" s="55">
        <f t="shared" si="37"/>
        <v>2069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0815</v>
      </c>
      <c r="N255" s="55">
        <f t="shared" si="37"/>
        <v>2069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0815</v>
      </c>
      <c r="N256" s="55">
        <f t="shared" si="37"/>
        <v>2069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0815</v>
      </c>
      <c r="N257" s="55">
        <f t="shared" si="37"/>
        <v>2069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0815</v>
      </c>
      <c r="N258" s="55">
        <f t="shared" si="37"/>
        <v>2069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0815</v>
      </c>
      <c r="N259" s="55">
        <f t="shared" si="37"/>
        <v>2069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0815</v>
      </c>
      <c r="N260" s="55">
        <f t="shared" si="37"/>
        <v>2069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0815</v>
      </c>
      <c r="N261" s="55">
        <f t="shared" si="37"/>
        <v>2069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0815</v>
      </c>
      <c r="N262" s="55">
        <f t="shared" si="37"/>
        <v>2069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0815</v>
      </c>
      <c r="N263" s="55">
        <f t="shared" si="37"/>
        <v>2069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0815</v>
      </c>
      <c r="N264" s="55">
        <f t="shared" si="37"/>
        <v>2069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0815</v>
      </c>
      <c r="N265" s="55">
        <f t="shared" si="37"/>
        <v>2069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0815</v>
      </c>
      <c r="N266" s="55">
        <f t="shared" ref="N266:N329" si="41">N265+S265</f>
        <v>2069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0815</v>
      </c>
      <c r="N267" s="55">
        <f t="shared" si="41"/>
        <v>2069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0815</v>
      </c>
      <c r="N268" s="55">
        <f t="shared" si="41"/>
        <v>2069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0815</v>
      </c>
      <c r="N269" s="55">
        <f t="shared" si="41"/>
        <v>2069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0815</v>
      </c>
      <c r="N270" s="55">
        <f t="shared" si="41"/>
        <v>2069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0815</v>
      </c>
      <c r="N271" s="55">
        <f t="shared" si="41"/>
        <v>2069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0815</v>
      </c>
      <c r="N272" s="55">
        <f t="shared" si="41"/>
        <v>2069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0815</v>
      </c>
      <c r="N273" s="55">
        <f t="shared" si="41"/>
        <v>2069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0815</v>
      </c>
      <c r="N274" s="55">
        <f t="shared" si="41"/>
        <v>2069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0815</v>
      </c>
      <c r="N275" s="55">
        <f t="shared" si="41"/>
        <v>2069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0815</v>
      </c>
      <c r="N276" s="55">
        <f t="shared" si="41"/>
        <v>2069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0815</v>
      </c>
      <c r="N277" s="55">
        <f t="shared" si="41"/>
        <v>2069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0815</v>
      </c>
      <c r="N278" s="55">
        <f t="shared" si="41"/>
        <v>2069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0815</v>
      </c>
      <c r="N279" s="55">
        <f t="shared" si="41"/>
        <v>2069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0815</v>
      </c>
      <c r="N280" s="55">
        <f t="shared" si="41"/>
        <v>2069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0815</v>
      </c>
      <c r="N281" s="55">
        <f t="shared" si="41"/>
        <v>2069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0815</v>
      </c>
      <c r="N282" s="55">
        <f t="shared" si="41"/>
        <v>2069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0815</v>
      </c>
      <c r="N283" s="55">
        <f t="shared" si="41"/>
        <v>2069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0815</v>
      </c>
      <c r="N284" s="55">
        <f t="shared" si="41"/>
        <v>2069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0815</v>
      </c>
      <c r="N285" s="55">
        <f t="shared" si="41"/>
        <v>2069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0815</v>
      </c>
      <c r="N286" s="55">
        <f t="shared" si="41"/>
        <v>2069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0815</v>
      </c>
      <c r="N287" s="55">
        <f t="shared" si="41"/>
        <v>2069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0815</v>
      </c>
      <c r="N288" s="55">
        <f t="shared" si="41"/>
        <v>2069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0815</v>
      </c>
      <c r="N289" s="55">
        <f t="shared" si="41"/>
        <v>2069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0815</v>
      </c>
      <c r="N290" s="55">
        <f t="shared" si="41"/>
        <v>2069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0815</v>
      </c>
      <c r="N291" s="55">
        <f t="shared" si="41"/>
        <v>2069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0815</v>
      </c>
      <c r="N292" s="55">
        <f t="shared" si="41"/>
        <v>2069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0815</v>
      </c>
      <c r="N293" s="55">
        <f t="shared" si="41"/>
        <v>2069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0815</v>
      </c>
      <c r="N294" s="55">
        <f t="shared" si="41"/>
        <v>2069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0815</v>
      </c>
      <c r="N295" s="55">
        <f t="shared" si="41"/>
        <v>2069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0815</v>
      </c>
      <c r="N296" s="55">
        <f t="shared" si="41"/>
        <v>2069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0815</v>
      </c>
      <c r="N297" s="55">
        <f t="shared" si="41"/>
        <v>2069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0815</v>
      </c>
      <c r="N298" s="55">
        <f t="shared" si="41"/>
        <v>2069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0815</v>
      </c>
      <c r="N299" s="55">
        <f t="shared" si="41"/>
        <v>2069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0815</v>
      </c>
      <c r="N300" s="55">
        <f t="shared" si="41"/>
        <v>2069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0815</v>
      </c>
      <c r="N301" s="55">
        <f t="shared" si="41"/>
        <v>2069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0815</v>
      </c>
      <c r="N302" s="55">
        <f t="shared" si="41"/>
        <v>2069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0815</v>
      </c>
      <c r="N303" s="55">
        <f t="shared" si="41"/>
        <v>2069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0815</v>
      </c>
      <c r="N304" s="55">
        <f t="shared" si="41"/>
        <v>2069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0815</v>
      </c>
      <c r="N305" s="55">
        <f t="shared" si="41"/>
        <v>2069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0815</v>
      </c>
      <c r="N306" s="55">
        <f t="shared" si="41"/>
        <v>2069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0815</v>
      </c>
      <c r="N307" s="55">
        <f t="shared" si="41"/>
        <v>2069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0815</v>
      </c>
      <c r="N308" s="55">
        <f t="shared" si="41"/>
        <v>2069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0815</v>
      </c>
      <c r="N309" s="55">
        <f t="shared" si="41"/>
        <v>2069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0815</v>
      </c>
      <c r="N310" s="55">
        <f t="shared" si="41"/>
        <v>2069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0815</v>
      </c>
      <c r="N311" s="55">
        <f t="shared" si="41"/>
        <v>2069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0815</v>
      </c>
      <c r="N312" s="55">
        <f t="shared" si="41"/>
        <v>2069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0815</v>
      </c>
      <c r="N313" s="55">
        <f t="shared" si="41"/>
        <v>2069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0815</v>
      </c>
      <c r="N314" s="55">
        <f t="shared" si="41"/>
        <v>2069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0815</v>
      </c>
      <c r="N315" s="55">
        <f t="shared" si="41"/>
        <v>2069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0815</v>
      </c>
      <c r="N316" s="55">
        <f t="shared" si="41"/>
        <v>2069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0815</v>
      </c>
      <c r="N317" s="55">
        <f t="shared" si="41"/>
        <v>2069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0815</v>
      </c>
      <c r="N318" s="55">
        <f t="shared" si="41"/>
        <v>2069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0815</v>
      </c>
      <c r="N319" s="55">
        <f t="shared" si="41"/>
        <v>2069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0815</v>
      </c>
      <c r="N320" s="55">
        <f t="shared" si="41"/>
        <v>2069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0815</v>
      </c>
      <c r="N321" s="55">
        <f t="shared" si="41"/>
        <v>2069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0815</v>
      </c>
      <c r="N322" s="55">
        <f t="shared" si="41"/>
        <v>2069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0815</v>
      </c>
      <c r="N323" s="55">
        <f t="shared" si="41"/>
        <v>2069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0815</v>
      </c>
      <c r="N324" s="55">
        <f t="shared" si="41"/>
        <v>2069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0815</v>
      </c>
      <c r="N325" s="55">
        <f t="shared" si="41"/>
        <v>2069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0815</v>
      </c>
      <c r="N326" s="55">
        <f t="shared" si="41"/>
        <v>2069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0815</v>
      </c>
      <c r="N327" s="55">
        <f t="shared" si="41"/>
        <v>2069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0815</v>
      </c>
      <c r="N328" s="55">
        <f t="shared" si="41"/>
        <v>2069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0815</v>
      </c>
      <c r="N329" s="55">
        <f t="shared" si="41"/>
        <v>2069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0815</v>
      </c>
      <c r="N330" s="55">
        <f t="shared" ref="N330:N393" si="45">N329+S329</f>
        <v>2069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0815</v>
      </c>
      <c r="N331" s="55">
        <f t="shared" si="45"/>
        <v>2069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0815</v>
      </c>
      <c r="N332" s="55">
        <f t="shared" si="45"/>
        <v>2069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0815</v>
      </c>
      <c r="N333" s="55">
        <f t="shared" si="45"/>
        <v>2069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0815</v>
      </c>
      <c r="N334" s="55">
        <f t="shared" si="45"/>
        <v>2069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0815</v>
      </c>
      <c r="N335" s="55">
        <f t="shared" si="45"/>
        <v>2069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0815</v>
      </c>
      <c r="N336" s="55">
        <f t="shared" si="45"/>
        <v>2069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0815</v>
      </c>
      <c r="N337" s="55">
        <f t="shared" si="45"/>
        <v>2069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0815</v>
      </c>
      <c r="N338" s="55">
        <f t="shared" si="45"/>
        <v>2069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0815</v>
      </c>
      <c r="N339" s="55">
        <f t="shared" si="45"/>
        <v>2069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0815</v>
      </c>
      <c r="N340" s="55">
        <f t="shared" si="45"/>
        <v>2069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0815</v>
      </c>
      <c r="N341" s="55">
        <f t="shared" si="45"/>
        <v>2069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0815</v>
      </c>
      <c r="N342" s="55">
        <f t="shared" si="45"/>
        <v>2069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0815</v>
      </c>
      <c r="N343" s="55">
        <f t="shared" si="45"/>
        <v>2069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0815</v>
      </c>
      <c r="N344" s="55">
        <f t="shared" si="45"/>
        <v>2069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0815</v>
      </c>
      <c r="N345" s="55">
        <f t="shared" si="45"/>
        <v>2069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0815</v>
      </c>
      <c r="N346" s="55">
        <f t="shared" si="45"/>
        <v>2069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0815</v>
      </c>
      <c r="N347" s="55">
        <f t="shared" si="45"/>
        <v>2069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0815</v>
      </c>
      <c r="N348" s="55">
        <f t="shared" si="45"/>
        <v>2069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0815</v>
      </c>
      <c r="N349" s="55">
        <f t="shared" si="45"/>
        <v>2069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0815</v>
      </c>
      <c r="N350" s="55">
        <f t="shared" si="45"/>
        <v>2069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0815</v>
      </c>
      <c r="N351" s="55">
        <f t="shared" si="45"/>
        <v>2069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0815</v>
      </c>
      <c r="N352" s="55">
        <f t="shared" si="45"/>
        <v>2069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0815</v>
      </c>
      <c r="N353" s="55">
        <f t="shared" si="45"/>
        <v>2069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0815</v>
      </c>
      <c r="N354" s="55">
        <f t="shared" si="45"/>
        <v>2069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0815</v>
      </c>
      <c r="N355" s="55">
        <f t="shared" si="45"/>
        <v>2069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0815</v>
      </c>
      <c r="N356" s="55">
        <f t="shared" si="45"/>
        <v>2069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0815</v>
      </c>
      <c r="N357" s="55">
        <f t="shared" si="45"/>
        <v>2069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0815</v>
      </c>
      <c r="N358" s="55">
        <f t="shared" si="45"/>
        <v>2069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0815</v>
      </c>
      <c r="N359" s="55">
        <f t="shared" si="45"/>
        <v>2069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0815</v>
      </c>
      <c r="N360" s="55">
        <f t="shared" si="45"/>
        <v>2069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0815</v>
      </c>
      <c r="N361" s="55">
        <f t="shared" si="45"/>
        <v>2069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0815</v>
      </c>
      <c r="N362" s="55">
        <f t="shared" si="45"/>
        <v>2069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0815</v>
      </c>
      <c r="N363" s="55">
        <f t="shared" si="45"/>
        <v>2069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0815</v>
      </c>
      <c r="N364" s="55">
        <f t="shared" si="45"/>
        <v>2069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0815</v>
      </c>
      <c r="N365" s="55">
        <f t="shared" si="45"/>
        <v>2069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0815</v>
      </c>
      <c r="N366" s="55">
        <f t="shared" si="45"/>
        <v>2069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0815</v>
      </c>
      <c r="N367" s="55">
        <f t="shared" si="45"/>
        <v>2069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0815</v>
      </c>
      <c r="N368" s="55">
        <f t="shared" si="45"/>
        <v>2069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0815</v>
      </c>
      <c r="N369" s="55">
        <f t="shared" si="45"/>
        <v>2069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0815</v>
      </c>
      <c r="N370" s="55">
        <f t="shared" si="45"/>
        <v>2069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0815</v>
      </c>
      <c r="N371" s="55">
        <f t="shared" si="45"/>
        <v>2069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0815</v>
      </c>
      <c r="N372" s="55">
        <f t="shared" si="45"/>
        <v>2069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0815</v>
      </c>
      <c r="N373" s="55">
        <f t="shared" si="45"/>
        <v>2069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0815</v>
      </c>
      <c r="N374" s="55">
        <f t="shared" si="45"/>
        <v>2069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0815</v>
      </c>
      <c r="N375" s="55">
        <f t="shared" si="45"/>
        <v>2069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0815</v>
      </c>
      <c r="N376" s="55">
        <f t="shared" si="45"/>
        <v>2069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0815</v>
      </c>
      <c r="N377" s="55">
        <f t="shared" si="45"/>
        <v>2069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0815</v>
      </c>
      <c r="N378" s="55">
        <f t="shared" si="45"/>
        <v>2069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0815</v>
      </c>
      <c r="N379" s="55">
        <f t="shared" si="45"/>
        <v>2069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0815</v>
      </c>
      <c r="N380" s="55">
        <f t="shared" si="45"/>
        <v>2069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0815</v>
      </c>
      <c r="N381" s="55">
        <f t="shared" si="45"/>
        <v>2069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0815</v>
      </c>
      <c r="N382" s="55">
        <f t="shared" si="45"/>
        <v>2069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0815</v>
      </c>
      <c r="N383" s="55">
        <f t="shared" si="45"/>
        <v>2069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0815</v>
      </c>
      <c r="N384" s="55">
        <f t="shared" si="45"/>
        <v>2069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0815</v>
      </c>
      <c r="N385" s="55">
        <f t="shared" si="45"/>
        <v>2069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0815</v>
      </c>
      <c r="N386" s="55">
        <f t="shared" si="45"/>
        <v>2069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0815</v>
      </c>
      <c r="N387" s="55">
        <f t="shared" si="45"/>
        <v>2069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0815</v>
      </c>
      <c r="N388" s="55">
        <f t="shared" si="45"/>
        <v>2069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0815</v>
      </c>
      <c r="N389" s="55">
        <f t="shared" si="45"/>
        <v>2069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0815</v>
      </c>
      <c r="N390" s="55">
        <f t="shared" si="45"/>
        <v>2069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0815</v>
      </c>
      <c r="N391" s="55">
        <f t="shared" si="45"/>
        <v>2069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0815</v>
      </c>
      <c r="N392" s="55">
        <f t="shared" si="45"/>
        <v>2069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0815</v>
      </c>
      <c r="N393" s="55">
        <f t="shared" si="45"/>
        <v>2069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0815</v>
      </c>
      <c r="N394" s="55">
        <f t="shared" ref="N394:N457" si="49">N393+S393</f>
        <v>2069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0815</v>
      </c>
      <c r="N395" s="55">
        <f t="shared" si="49"/>
        <v>2069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0815</v>
      </c>
      <c r="N396" s="55">
        <f t="shared" si="49"/>
        <v>2069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0815</v>
      </c>
      <c r="N397" s="55">
        <f t="shared" si="49"/>
        <v>2069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0815</v>
      </c>
      <c r="N398" s="55">
        <f t="shared" si="49"/>
        <v>2069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0815</v>
      </c>
      <c r="N399" s="55">
        <f t="shared" si="49"/>
        <v>2069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0815</v>
      </c>
      <c r="N400" s="55">
        <f t="shared" si="49"/>
        <v>2069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0815</v>
      </c>
      <c r="N401" s="55">
        <f t="shared" si="49"/>
        <v>2069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0815</v>
      </c>
      <c r="N402" s="55">
        <f t="shared" si="49"/>
        <v>2069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0815</v>
      </c>
      <c r="N403" s="55">
        <f t="shared" si="49"/>
        <v>2069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0815</v>
      </c>
      <c r="N404" s="55">
        <f t="shared" si="49"/>
        <v>2069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0815</v>
      </c>
      <c r="N405" s="55">
        <f t="shared" si="49"/>
        <v>2069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0815</v>
      </c>
      <c r="N406" s="55">
        <f t="shared" si="49"/>
        <v>2069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0815</v>
      </c>
      <c r="N407" s="55">
        <f t="shared" si="49"/>
        <v>2069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0815</v>
      </c>
      <c r="N408" s="55">
        <f t="shared" si="49"/>
        <v>2069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0815</v>
      </c>
      <c r="N409" s="55">
        <f t="shared" si="49"/>
        <v>2069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0815</v>
      </c>
      <c r="N410" s="55">
        <f t="shared" si="49"/>
        <v>2069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0815</v>
      </c>
      <c r="N411" s="55">
        <f t="shared" si="49"/>
        <v>2069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0815</v>
      </c>
      <c r="N412" s="55">
        <f t="shared" si="49"/>
        <v>2069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0815</v>
      </c>
      <c r="N413" s="55">
        <f t="shared" si="49"/>
        <v>2069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0815</v>
      </c>
      <c r="N414" s="55">
        <f t="shared" si="49"/>
        <v>2069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0815</v>
      </c>
      <c r="N415" s="55">
        <f t="shared" si="49"/>
        <v>2069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0815</v>
      </c>
      <c r="N416" s="55">
        <f t="shared" si="49"/>
        <v>2069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0815</v>
      </c>
      <c r="N417" s="55">
        <f t="shared" si="49"/>
        <v>2069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0815</v>
      </c>
      <c r="N418" s="55">
        <f t="shared" si="49"/>
        <v>2069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0815</v>
      </c>
      <c r="N419" s="55">
        <f t="shared" si="49"/>
        <v>2069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0815</v>
      </c>
      <c r="N420" s="55">
        <f t="shared" si="49"/>
        <v>2069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0815</v>
      </c>
      <c r="N421" s="55">
        <f t="shared" si="49"/>
        <v>2069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0815</v>
      </c>
      <c r="N422" s="55">
        <f t="shared" si="49"/>
        <v>2069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0815</v>
      </c>
      <c r="N423" s="55">
        <f t="shared" si="49"/>
        <v>2069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0815</v>
      </c>
      <c r="N424" s="55">
        <f t="shared" si="49"/>
        <v>2069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0815</v>
      </c>
      <c r="N425" s="55">
        <f t="shared" si="49"/>
        <v>2069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0815</v>
      </c>
      <c r="N426" s="55">
        <f t="shared" si="49"/>
        <v>2069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0815</v>
      </c>
      <c r="N427" s="55">
        <f t="shared" si="49"/>
        <v>2069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0815</v>
      </c>
      <c r="N428" s="55">
        <f t="shared" si="49"/>
        <v>2069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0815</v>
      </c>
      <c r="N429" s="55">
        <f t="shared" si="49"/>
        <v>2069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0815</v>
      </c>
      <c r="N430" s="55">
        <f t="shared" si="49"/>
        <v>2069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0815</v>
      </c>
      <c r="N431" s="55">
        <f t="shared" si="49"/>
        <v>2069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0815</v>
      </c>
      <c r="N432" s="55">
        <f t="shared" si="49"/>
        <v>2069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0815</v>
      </c>
      <c r="N433" s="55">
        <f t="shared" si="49"/>
        <v>2069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0815</v>
      </c>
      <c r="N434" s="55">
        <f t="shared" si="49"/>
        <v>2069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0815</v>
      </c>
      <c r="N435" s="55">
        <f t="shared" si="49"/>
        <v>2069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0815</v>
      </c>
      <c r="N436" s="55">
        <f t="shared" si="49"/>
        <v>2069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0815</v>
      </c>
      <c r="N437" s="55">
        <f t="shared" si="49"/>
        <v>2069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0815</v>
      </c>
      <c r="N438" s="55">
        <f t="shared" si="49"/>
        <v>2069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0815</v>
      </c>
      <c r="N439" s="55">
        <f t="shared" si="49"/>
        <v>2069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0815</v>
      </c>
      <c r="N440" s="55">
        <f t="shared" si="49"/>
        <v>2069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0815</v>
      </c>
      <c r="N441" s="55">
        <f t="shared" si="49"/>
        <v>2069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0815</v>
      </c>
      <c r="N442" s="55">
        <f t="shared" si="49"/>
        <v>2069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0815</v>
      </c>
      <c r="N443" s="55">
        <f t="shared" si="49"/>
        <v>2069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0815</v>
      </c>
      <c r="N444" s="55">
        <f t="shared" si="49"/>
        <v>2069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0815</v>
      </c>
      <c r="N445" s="55">
        <f t="shared" si="49"/>
        <v>2069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0815</v>
      </c>
      <c r="N446" s="55">
        <f t="shared" si="49"/>
        <v>2069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0815</v>
      </c>
      <c r="N447" s="55">
        <f t="shared" si="49"/>
        <v>2069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0815</v>
      </c>
      <c r="N448" s="55">
        <f t="shared" si="49"/>
        <v>2069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0815</v>
      </c>
      <c r="N449" s="55">
        <f t="shared" si="49"/>
        <v>2069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0815</v>
      </c>
      <c r="N450" s="55">
        <f t="shared" si="49"/>
        <v>2069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0815</v>
      </c>
      <c r="N451" s="55">
        <f t="shared" si="49"/>
        <v>2069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0815</v>
      </c>
      <c r="N452" s="55">
        <f t="shared" si="49"/>
        <v>2069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0815</v>
      </c>
      <c r="N453" s="55">
        <f t="shared" si="49"/>
        <v>2069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0815</v>
      </c>
      <c r="N454" s="55">
        <f t="shared" si="49"/>
        <v>2069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0815</v>
      </c>
      <c r="N455" s="55">
        <f t="shared" si="49"/>
        <v>2069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0815</v>
      </c>
      <c r="N456" s="55">
        <f t="shared" si="49"/>
        <v>2069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0815</v>
      </c>
      <c r="N457" s="55">
        <f t="shared" si="49"/>
        <v>2069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0815</v>
      </c>
      <c r="N458" s="55">
        <f t="shared" ref="N458:N521" si="53">N457+S457</f>
        <v>2069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0815</v>
      </c>
      <c r="N459" s="55">
        <f t="shared" si="53"/>
        <v>2069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0815</v>
      </c>
      <c r="N460" s="55">
        <f t="shared" si="53"/>
        <v>2069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0815</v>
      </c>
      <c r="N461" s="55">
        <f t="shared" si="53"/>
        <v>2069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0815</v>
      </c>
      <c r="N462" s="55">
        <f t="shared" si="53"/>
        <v>2069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0815</v>
      </c>
      <c r="N463" s="55">
        <f t="shared" si="53"/>
        <v>2069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0815</v>
      </c>
      <c r="N464" s="55">
        <f t="shared" si="53"/>
        <v>2069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0815</v>
      </c>
      <c r="N465" s="55">
        <f t="shared" si="53"/>
        <v>2069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0815</v>
      </c>
      <c r="N466" s="55">
        <f t="shared" si="53"/>
        <v>2069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0815</v>
      </c>
      <c r="N467" s="55">
        <f t="shared" si="53"/>
        <v>2069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0815</v>
      </c>
      <c r="N468" s="55">
        <f t="shared" si="53"/>
        <v>2069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0815</v>
      </c>
      <c r="N469" s="55">
        <f t="shared" si="53"/>
        <v>2069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0815</v>
      </c>
      <c r="N470" s="55">
        <f t="shared" si="53"/>
        <v>2069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0815</v>
      </c>
      <c r="N471" s="55">
        <f t="shared" si="53"/>
        <v>2069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0815</v>
      </c>
      <c r="N472" s="55">
        <f t="shared" si="53"/>
        <v>2069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0815</v>
      </c>
      <c r="N473" s="55">
        <f t="shared" si="53"/>
        <v>2069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0815</v>
      </c>
      <c r="N474" s="55">
        <f t="shared" si="53"/>
        <v>2069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0815</v>
      </c>
      <c r="N475" s="55">
        <f t="shared" si="53"/>
        <v>2069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0815</v>
      </c>
      <c r="N476" s="55">
        <f t="shared" si="53"/>
        <v>2069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0815</v>
      </c>
      <c r="N477" s="55">
        <f t="shared" si="53"/>
        <v>2069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0815</v>
      </c>
      <c r="N478" s="55">
        <f t="shared" si="53"/>
        <v>2069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0815</v>
      </c>
      <c r="N479" s="55">
        <f t="shared" si="53"/>
        <v>2069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0815</v>
      </c>
      <c r="N480" s="55">
        <f t="shared" si="53"/>
        <v>2069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0815</v>
      </c>
      <c r="N481" s="55">
        <f t="shared" si="53"/>
        <v>2069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0815</v>
      </c>
      <c r="N482" s="55">
        <f t="shared" si="53"/>
        <v>2069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0815</v>
      </c>
      <c r="N483" s="55">
        <f t="shared" si="53"/>
        <v>2069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0815</v>
      </c>
      <c r="N484" s="55">
        <f t="shared" si="53"/>
        <v>2069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0815</v>
      </c>
      <c r="N485" s="55">
        <f t="shared" si="53"/>
        <v>2069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0815</v>
      </c>
      <c r="N486" s="55">
        <f t="shared" si="53"/>
        <v>2069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0815</v>
      </c>
      <c r="N487" s="55">
        <f t="shared" si="53"/>
        <v>2069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0815</v>
      </c>
      <c r="N488" s="55">
        <f t="shared" si="53"/>
        <v>2069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0815</v>
      </c>
      <c r="N489" s="55">
        <f t="shared" si="53"/>
        <v>2069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0815</v>
      </c>
      <c r="N490" s="55">
        <f t="shared" si="53"/>
        <v>2069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0815</v>
      </c>
      <c r="N491" s="55">
        <f t="shared" si="53"/>
        <v>2069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0815</v>
      </c>
      <c r="N492" s="55">
        <f t="shared" si="53"/>
        <v>2069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0815</v>
      </c>
      <c r="N493" s="55">
        <f t="shared" si="53"/>
        <v>2069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0815</v>
      </c>
      <c r="N494" s="55">
        <f t="shared" si="53"/>
        <v>2069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0815</v>
      </c>
      <c r="N495" s="55">
        <f t="shared" si="53"/>
        <v>2069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0815</v>
      </c>
      <c r="N496" s="55">
        <f t="shared" si="53"/>
        <v>2069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0815</v>
      </c>
      <c r="N497" s="55">
        <f t="shared" si="53"/>
        <v>2069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0815</v>
      </c>
      <c r="N498" s="55">
        <f t="shared" si="53"/>
        <v>2069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0815</v>
      </c>
      <c r="N499" s="55">
        <f t="shared" si="53"/>
        <v>2069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0815</v>
      </c>
      <c r="N500" s="55">
        <f t="shared" si="53"/>
        <v>2069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0815</v>
      </c>
      <c r="N501" s="55">
        <f t="shared" si="53"/>
        <v>2069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0815</v>
      </c>
      <c r="N502" s="55">
        <f t="shared" si="53"/>
        <v>2069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0815</v>
      </c>
      <c r="N503" s="55">
        <f t="shared" si="53"/>
        <v>2069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0815</v>
      </c>
      <c r="N504" s="55">
        <f t="shared" si="53"/>
        <v>2069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0815</v>
      </c>
      <c r="N505" s="55">
        <f t="shared" si="53"/>
        <v>2069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0815</v>
      </c>
      <c r="N506" s="55">
        <f t="shared" si="53"/>
        <v>2069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0815</v>
      </c>
      <c r="N507" s="55">
        <f t="shared" si="53"/>
        <v>2069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0815</v>
      </c>
      <c r="N508" s="55">
        <f t="shared" si="53"/>
        <v>2069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0815</v>
      </c>
      <c r="N509" s="55">
        <f t="shared" si="53"/>
        <v>2069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0815</v>
      </c>
      <c r="N510" s="55">
        <f t="shared" si="53"/>
        <v>2069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0815</v>
      </c>
      <c r="N511" s="55">
        <f t="shared" si="53"/>
        <v>2069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0815</v>
      </c>
      <c r="N512" s="55">
        <f t="shared" si="53"/>
        <v>2069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0815</v>
      </c>
      <c r="N513" s="55">
        <f t="shared" si="53"/>
        <v>2069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0815</v>
      </c>
      <c r="N514" s="55">
        <f t="shared" si="53"/>
        <v>2069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0815</v>
      </c>
      <c r="N515" s="55">
        <f t="shared" si="53"/>
        <v>2069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0815</v>
      </c>
      <c r="N516" s="55">
        <f t="shared" si="53"/>
        <v>2069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0815</v>
      </c>
      <c r="N517" s="55">
        <f t="shared" si="53"/>
        <v>2069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0815</v>
      </c>
      <c r="N518" s="55">
        <f t="shared" si="53"/>
        <v>2069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0815</v>
      </c>
      <c r="N519" s="55">
        <f t="shared" si="53"/>
        <v>2069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0815</v>
      </c>
      <c r="N520" s="55">
        <f t="shared" si="53"/>
        <v>2069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0815</v>
      </c>
      <c r="N521" s="55">
        <f t="shared" si="53"/>
        <v>2069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0815</v>
      </c>
      <c r="N522" s="55">
        <f t="shared" ref="N522:N585" si="57">N521+S521</f>
        <v>2069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0815</v>
      </c>
      <c r="N523" s="55">
        <f t="shared" si="57"/>
        <v>2069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0815</v>
      </c>
      <c r="N524" s="55">
        <f t="shared" si="57"/>
        <v>2069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0815</v>
      </c>
      <c r="N525" s="55">
        <f t="shared" si="57"/>
        <v>2069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0815</v>
      </c>
      <c r="N526" s="55">
        <f t="shared" si="57"/>
        <v>2069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0815</v>
      </c>
      <c r="N527" s="55">
        <f t="shared" si="57"/>
        <v>2069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0815</v>
      </c>
      <c r="N528" s="55">
        <f t="shared" si="57"/>
        <v>2069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0815</v>
      </c>
      <c r="N529" s="55">
        <f t="shared" si="57"/>
        <v>2069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0815</v>
      </c>
      <c r="N530" s="55">
        <f t="shared" si="57"/>
        <v>2069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0815</v>
      </c>
      <c r="N531" s="55">
        <f t="shared" si="57"/>
        <v>2069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0815</v>
      </c>
      <c r="N532" s="55">
        <f t="shared" si="57"/>
        <v>2069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0815</v>
      </c>
      <c r="N533" s="55">
        <f t="shared" si="57"/>
        <v>2069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0815</v>
      </c>
      <c r="N534" s="55">
        <f t="shared" si="57"/>
        <v>2069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0815</v>
      </c>
      <c r="N535" s="55">
        <f t="shared" si="57"/>
        <v>2069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0815</v>
      </c>
      <c r="N536" s="55">
        <f t="shared" si="57"/>
        <v>2069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0815</v>
      </c>
      <c r="N537" s="55">
        <f t="shared" si="57"/>
        <v>2069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0815</v>
      </c>
      <c r="N538" s="55">
        <f t="shared" si="57"/>
        <v>2069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0815</v>
      </c>
      <c r="N539" s="55">
        <f t="shared" si="57"/>
        <v>2069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0815</v>
      </c>
      <c r="N540" s="55">
        <f t="shared" si="57"/>
        <v>2069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0815</v>
      </c>
      <c r="N541" s="55">
        <f t="shared" si="57"/>
        <v>2069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0815</v>
      </c>
      <c r="N542" s="55">
        <f t="shared" si="57"/>
        <v>2069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0815</v>
      </c>
      <c r="N543" s="55">
        <f t="shared" si="57"/>
        <v>2069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0815</v>
      </c>
      <c r="N544" s="55">
        <f t="shared" si="57"/>
        <v>2069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0815</v>
      </c>
      <c r="N545" s="55">
        <f t="shared" si="57"/>
        <v>2069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0815</v>
      </c>
      <c r="N546" s="55">
        <f t="shared" si="57"/>
        <v>2069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0815</v>
      </c>
      <c r="N547" s="55">
        <f t="shared" si="57"/>
        <v>2069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0815</v>
      </c>
      <c r="N548" s="55">
        <f t="shared" si="57"/>
        <v>2069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0815</v>
      </c>
      <c r="N549" s="55">
        <f t="shared" si="57"/>
        <v>2069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0815</v>
      </c>
      <c r="N550" s="55">
        <f t="shared" si="57"/>
        <v>2069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0815</v>
      </c>
      <c r="N551" s="55">
        <f t="shared" si="57"/>
        <v>2069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0815</v>
      </c>
      <c r="N552" s="55">
        <f t="shared" si="57"/>
        <v>2069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0815</v>
      </c>
      <c r="N553" s="55">
        <f t="shared" si="57"/>
        <v>2069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0815</v>
      </c>
      <c r="N554" s="55">
        <f t="shared" si="57"/>
        <v>2069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0815</v>
      </c>
      <c r="N555" s="55">
        <f t="shared" si="57"/>
        <v>2069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0815</v>
      </c>
      <c r="N556" s="55">
        <f t="shared" si="57"/>
        <v>2069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0815</v>
      </c>
      <c r="N557" s="55">
        <f t="shared" si="57"/>
        <v>2069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0815</v>
      </c>
      <c r="N558" s="55">
        <f t="shared" si="57"/>
        <v>2069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0815</v>
      </c>
      <c r="N559" s="55">
        <f t="shared" si="57"/>
        <v>2069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0815</v>
      </c>
      <c r="N560" s="55">
        <f t="shared" si="57"/>
        <v>2069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0815</v>
      </c>
      <c r="N561" s="55">
        <f t="shared" si="57"/>
        <v>2069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0815</v>
      </c>
      <c r="N562" s="55">
        <f t="shared" si="57"/>
        <v>2069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0815</v>
      </c>
      <c r="N563" s="55">
        <f t="shared" si="57"/>
        <v>2069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0815</v>
      </c>
      <c r="N564" s="55">
        <f t="shared" si="57"/>
        <v>2069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0815</v>
      </c>
      <c r="N565" s="55">
        <f t="shared" si="57"/>
        <v>2069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0815</v>
      </c>
      <c r="N566" s="55">
        <f t="shared" si="57"/>
        <v>2069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0815</v>
      </c>
      <c r="N567" s="55">
        <f t="shared" si="57"/>
        <v>2069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0815</v>
      </c>
      <c r="N568" s="55">
        <f t="shared" si="57"/>
        <v>2069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0815</v>
      </c>
      <c r="N569" s="55">
        <f t="shared" si="57"/>
        <v>2069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0815</v>
      </c>
      <c r="N570" s="55">
        <f t="shared" si="57"/>
        <v>2069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0815</v>
      </c>
      <c r="N571" s="55">
        <f t="shared" si="57"/>
        <v>2069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0815</v>
      </c>
      <c r="N572" s="55">
        <f t="shared" si="57"/>
        <v>2069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0815</v>
      </c>
      <c r="N573" s="55">
        <f t="shared" si="57"/>
        <v>2069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0815</v>
      </c>
      <c r="N574" s="55">
        <f t="shared" si="57"/>
        <v>2069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0815</v>
      </c>
      <c r="N575" s="55">
        <f t="shared" si="57"/>
        <v>2069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0815</v>
      </c>
      <c r="N576" s="55">
        <f t="shared" si="57"/>
        <v>2069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0815</v>
      </c>
      <c r="N577" s="55">
        <f t="shared" si="57"/>
        <v>2069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0815</v>
      </c>
      <c r="N578" s="55">
        <f t="shared" si="57"/>
        <v>2069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0815</v>
      </c>
      <c r="N579" s="55">
        <f t="shared" si="57"/>
        <v>2069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0815</v>
      </c>
      <c r="N580" s="55">
        <f t="shared" si="57"/>
        <v>2069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0815</v>
      </c>
      <c r="N581" s="55">
        <f t="shared" si="57"/>
        <v>2069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0815</v>
      </c>
      <c r="N582" s="55">
        <f t="shared" si="57"/>
        <v>2069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0815</v>
      </c>
      <c r="N583" s="55">
        <f t="shared" si="57"/>
        <v>2069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0815</v>
      </c>
      <c r="N584" s="55">
        <f t="shared" si="57"/>
        <v>2069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0815</v>
      </c>
      <c r="N585" s="55">
        <f t="shared" si="57"/>
        <v>2069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0815</v>
      </c>
      <c r="N586" s="55">
        <f t="shared" ref="N586:N649" si="61">N585+S585</f>
        <v>2069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0815</v>
      </c>
      <c r="N587" s="55">
        <f t="shared" si="61"/>
        <v>2069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0815</v>
      </c>
      <c r="N588" s="55">
        <f t="shared" si="61"/>
        <v>2069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0815</v>
      </c>
      <c r="N589" s="55">
        <f t="shared" si="61"/>
        <v>2069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0815</v>
      </c>
      <c r="N590" s="55">
        <f t="shared" si="61"/>
        <v>2069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0815</v>
      </c>
      <c r="N591" s="55">
        <f t="shared" si="61"/>
        <v>2069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0815</v>
      </c>
      <c r="N592" s="55">
        <f t="shared" si="61"/>
        <v>2069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0815</v>
      </c>
      <c r="N593" s="55">
        <f t="shared" si="61"/>
        <v>2069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0815</v>
      </c>
      <c r="N594" s="55">
        <f t="shared" si="61"/>
        <v>2069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0815</v>
      </c>
      <c r="N595" s="55">
        <f t="shared" si="61"/>
        <v>2069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0815</v>
      </c>
      <c r="N596" s="55">
        <f t="shared" si="61"/>
        <v>2069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0815</v>
      </c>
      <c r="N597" s="55">
        <f t="shared" si="61"/>
        <v>2069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0815</v>
      </c>
      <c r="N598" s="55">
        <f t="shared" si="61"/>
        <v>2069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0815</v>
      </c>
      <c r="N599" s="55">
        <f t="shared" si="61"/>
        <v>2069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0815</v>
      </c>
      <c r="N600" s="55">
        <f t="shared" si="61"/>
        <v>2069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0815</v>
      </c>
      <c r="N601" s="55">
        <f t="shared" si="61"/>
        <v>2069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0815</v>
      </c>
      <c r="N602" s="55">
        <f t="shared" si="61"/>
        <v>2069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0815</v>
      </c>
      <c r="N603" s="55">
        <f t="shared" si="61"/>
        <v>2069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0815</v>
      </c>
      <c r="N604" s="55">
        <f t="shared" si="61"/>
        <v>2069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0815</v>
      </c>
      <c r="N605" s="55">
        <f t="shared" si="61"/>
        <v>2069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0815</v>
      </c>
      <c r="N606" s="55">
        <f t="shared" si="61"/>
        <v>2069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0815</v>
      </c>
      <c r="N607" s="55">
        <f t="shared" si="61"/>
        <v>2069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0815</v>
      </c>
      <c r="N608" s="55">
        <f t="shared" si="61"/>
        <v>2069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0815</v>
      </c>
      <c r="N609" s="55">
        <f t="shared" si="61"/>
        <v>2069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0815</v>
      </c>
      <c r="N610" s="55">
        <f t="shared" si="61"/>
        <v>2069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0815</v>
      </c>
      <c r="N611" s="55">
        <f t="shared" si="61"/>
        <v>2069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0815</v>
      </c>
      <c r="N612" s="55">
        <f t="shared" si="61"/>
        <v>2069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0815</v>
      </c>
      <c r="N613" s="55">
        <f t="shared" si="61"/>
        <v>2069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0815</v>
      </c>
      <c r="N614" s="55">
        <f t="shared" si="61"/>
        <v>2069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0815</v>
      </c>
      <c r="N615" s="55">
        <f t="shared" si="61"/>
        <v>2069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0815</v>
      </c>
      <c r="N616" s="55">
        <f t="shared" si="61"/>
        <v>2069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0815</v>
      </c>
      <c r="N617" s="55">
        <f t="shared" si="61"/>
        <v>2069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0815</v>
      </c>
      <c r="N618" s="55">
        <f t="shared" si="61"/>
        <v>2069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0815</v>
      </c>
      <c r="N619" s="55">
        <f t="shared" si="61"/>
        <v>2069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0815</v>
      </c>
      <c r="N620" s="55">
        <f t="shared" si="61"/>
        <v>2069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0815</v>
      </c>
      <c r="N621" s="55">
        <f t="shared" si="61"/>
        <v>2069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0815</v>
      </c>
      <c r="N622" s="55">
        <f t="shared" si="61"/>
        <v>2069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0815</v>
      </c>
      <c r="N623" s="55">
        <f t="shared" si="61"/>
        <v>2069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0815</v>
      </c>
      <c r="N624" s="55">
        <f t="shared" si="61"/>
        <v>2069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0815</v>
      </c>
      <c r="N625" s="55">
        <f t="shared" si="61"/>
        <v>2069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0815</v>
      </c>
      <c r="N626" s="55">
        <f t="shared" si="61"/>
        <v>2069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0815</v>
      </c>
      <c r="N627" s="55">
        <f t="shared" si="61"/>
        <v>2069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0815</v>
      </c>
      <c r="N628" s="55">
        <f t="shared" si="61"/>
        <v>2069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0815</v>
      </c>
      <c r="N629" s="55">
        <f t="shared" si="61"/>
        <v>2069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0815</v>
      </c>
      <c r="N630" s="55">
        <f t="shared" si="61"/>
        <v>2069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0815</v>
      </c>
      <c r="N631" s="55">
        <f t="shared" si="61"/>
        <v>2069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0815</v>
      </c>
      <c r="N632" s="55">
        <f t="shared" si="61"/>
        <v>2069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0815</v>
      </c>
      <c r="N633" s="55">
        <f t="shared" si="61"/>
        <v>2069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0815</v>
      </c>
      <c r="N634" s="55">
        <f t="shared" si="61"/>
        <v>2069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0815</v>
      </c>
      <c r="N635" s="55">
        <f t="shared" si="61"/>
        <v>2069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0815</v>
      </c>
      <c r="N636" s="55">
        <f t="shared" si="61"/>
        <v>2069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0815</v>
      </c>
      <c r="N637" s="55">
        <f t="shared" si="61"/>
        <v>2069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0815</v>
      </c>
      <c r="N638" s="55">
        <f t="shared" si="61"/>
        <v>2069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0815</v>
      </c>
      <c r="N639" s="55">
        <f t="shared" si="61"/>
        <v>2069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0815</v>
      </c>
      <c r="N640" s="55">
        <f t="shared" si="61"/>
        <v>2069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0815</v>
      </c>
      <c r="N641" s="55">
        <f t="shared" si="61"/>
        <v>2069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0815</v>
      </c>
      <c r="N642" s="55">
        <f t="shared" si="61"/>
        <v>2069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0815</v>
      </c>
      <c r="N643" s="55">
        <f t="shared" si="61"/>
        <v>2069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0815</v>
      </c>
      <c r="N644" s="55">
        <f t="shared" si="61"/>
        <v>2069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0815</v>
      </c>
      <c r="N645" s="55">
        <f t="shared" si="61"/>
        <v>2069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0815</v>
      </c>
      <c r="N646" s="55">
        <f t="shared" si="61"/>
        <v>2069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0815</v>
      </c>
      <c r="N647" s="55">
        <f t="shared" si="61"/>
        <v>2069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0815</v>
      </c>
      <c r="N648" s="55">
        <f t="shared" si="61"/>
        <v>2069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0815</v>
      </c>
      <c r="N649" s="55">
        <f t="shared" si="61"/>
        <v>2069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0815</v>
      </c>
      <c r="N650" s="55">
        <f t="shared" ref="N650:N713" si="65">N649+S649</f>
        <v>2069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0815</v>
      </c>
      <c r="N651" s="55">
        <f t="shared" si="65"/>
        <v>2069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0815</v>
      </c>
      <c r="N652" s="55">
        <f t="shared" si="65"/>
        <v>2069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0815</v>
      </c>
      <c r="N653" s="55">
        <f t="shared" si="65"/>
        <v>2069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0815</v>
      </c>
      <c r="N654" s="55">
        <f t="shared" si="65"/>
        <v>2069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0815</v>
      </c>
      <c r="N655" s="55">
        <f t="shared" si="65"/>
        <v>2069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0815</v>
      </c>
      <c r="N656" s="55">
        <f t="shared" si="65"/>
        <v>2069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0815</v>
      </c>
      <c r="N657" s="55">
        <f t="shared" si="65"/>
        <v>2069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0815</v>
      </c>
      <c r="N658" s="55">
        <f t="shared" si="65"/>
        <v>2069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0815</v>
      </c>
      <c r="N659" s="55">
        <f t="shared" si="65"/>
        <v>2069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0815</v>
      </c>
      <c r="N660" s="55">
        <f t="shared" si="65"/>
        <v>2069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0815</v>
      </c>
      <c r="N661" s="55">
        <f t="shared" si="65"/>
        <v>2069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0815</v>
      </c>
      <c r="N662" s="55">
        <f t="shared" si="65"/>
        <v>2069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0815</v>
      </c>
      <c r="N663" s="55">
        <f t="shared" si="65"/>
        <v>2069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0815</v>
      </c>
      <c r="N664" s="55">
        <f t="shared" si="65"/>
        <v>2069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0815</v>
      </c>
      <c r="N665" s="55">
        <f t="shared" si="65"/>
        <v>2069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0815</v>
      </c>
      <c r="N666" s="55">
        <f t="shared" si="65"/>
        <v>2069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0815</v>
      </c>
      <c r="N667" s="55">
        <f t="shared" si="65"/>
        <v>2069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0815</v>
      </c>
      <c r="N668" s="55">
        <f t="shared" si="65"/>
        <v>2069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0815</v>
      </c>
      <c r="N669" s="55">
        <f t="shared" si="65"/>
        <v>2069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0815</v>
      </c>
      <c r="N670" s="55">
        <f t="shared" si="65"/>
        <v>2069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0815</v>
      </c>
      <c r="N671" s="55">
        <f t="shared" si="65"/>
        <v>2069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0815</v>
      </c>
      <c r="N672" s="55">
        <f t="shared" si="65"/>
        <v>2069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0815</v>
      </c>
      <c r="N673" s="55">
        <f t="shared" si="65"/>
        <v>2069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0815</v>
      </c>
      <c r="N674" s="55">
        <f t="shared" si="65"/>
        <v>2069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0815</v>
      </c>
      <c r="N675" s="55">
        <f t="shared" si="65"/>
        <v>2069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0815</v>
      </c>
      <c r="N676" s="55">
        <f t="shared" si="65"/>
        <v>2069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0815</v>
      </c>
      <c r="N677" s="55">
        <f t="shared" si="65"/>
        <v>2069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0815</v>
      </c>
      <c r="N678" s="55">
        <f t="shared" si="65"/>
        <v>2069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0815</v>
      </c>
      <c r="N679" s="55">
        <f t="shared" si="65"/>
        <v>2069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0815</v>
      </c>
      <c r="N680" s="55">
        <f t="shared" si="65"/>
        <v>2069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0815</v>
      </c>
      <c r="N681" s="55">
        <f t="shared" si="65"/>
        <v>2069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0815</v>
      </c>
      <c r="N682" s="55">
        <f t="shared" si="65"/>
        <v>2069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0815</v>
      </c>
      <c r="N683" s="55">
        <f t="shared" si="65"/>
        <v>2069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0815</v>
      </c>
      <c r="N684" s="55">
        <f t="shared" si="65"/>
        <v>2069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0815</v>
      </c>
      <c r="N685" s="55">
        <f t="shared" si="65"/>
        <v>2069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0815</v>
      </c>
      <c r="N686" s="55">
        <f t="shared" si="65"/>
        <v>2069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0815</v>
      </c>
      <c r="N687" s="55">
        <f t="shared" si="65"/>
        <v>2069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0815</v>
      </c>
      <c r="N688" s="55">
        <f t="shared" si="65"/>
        <v>2069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0815</v>
      </c>
      <c r="N689" s="55">
        <f t="shared" si="65"/>
        <v>2069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0815</v>
      </c>
      <c r="N690" s="55">
        <f t="shared" si="65"/>
        <v>2069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0815</v>
      </c>
      <c r="N691" s="55">
        <f t="shared" si="65"/>
        <v>2069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0815</v>
      </c>
      <c r="N692" s="55">
        <f t="shared" si="65"/>
        <v>2069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0815</v>
      </c>
      <c r="N693" s="55">
        <f t="shared" si="65"/>
        <v>2069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0815</v>
      </c>
      <c r="N694" s="55">
        <f t="shared" si="65"/>
        <v>2069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0815</v>
      </c>
      <c r="N695" s="55">
        <f t="shared" si="65"/>
        <v>2069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0815</v>
      </c>
      <c r="N696" s="55">
        <f t="shared" si="65"/>
        <v>2069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0815</v>
      </c>
      <c r="N697" s="55">
        <f t="shared" si="65"/>
        <v>2069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0815</v>
      </c>
      <c r="N698" s="55">
        <f t="shared" si="65"/>
        <v>2069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0815</v>
      </c>
      <c r="N699" s="55">
        <f t="shared" si="65"/>
        <v>2069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0815</v>
      </c>
      <c r="N700" s="55">
        <f t="shared" si="65"/>
        <v>2069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0815</v>
      </c>
      <c r="N701" s="55">
        <f t="shared" si="65"/>
        <v>2069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0815</v>
      </c>
      <c r="N702" s="55">
        <f t="shared" si="65"/>
        <v>2069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0815</v>
      </c>
      <c r="N703" s="55">
        <f t="shared" si="65"/>
        <v>2069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0815</v>
      </c>
      <c r="N704" s="55">
        <f t="shared" si="65"/>
        <v>2069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0815</v>
      </c>
      <c r="N705" s="55">
        <f t="shared" si="65"/>
        <v>2069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0815</v>
      </c>
      <c r="N706" s="55">
        <f t="shared" si="65"/>
        <v>2069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0815</v>
      </c>
      <c r="N707" s="55">
        <f t="shared" si="65"/>
        <v>2069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0815</v>
      </c>
      <c r="N708" s="55">
        <f t="shared" si="65"/>
        <v>2069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0815</v>
      </c>
      <c r="N709" s="55">
        <f t="shared" si="65"/>
        <v>2069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0815</v>
      </c>
      <c r="N710" s="55">
        <f t="shared" si="65"/>
        <v>2069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0815</v>
      </c>
      <c r="N711" s="55">
        <f t="shared" si="65"/>
        <v>2069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0815</v>
      </c>
      <c r="N712" s="55">
        <f t="shared" si="65"/>
        <v>2069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0815</v>
      </c>
      <c r="N713" s="55">
        <f t="shared" si="65"/>
        <v>2069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0815</v>
      </c>
      <c r="N714" s="55">
        <f t="shared" ref="N714:N777" si="69">N713+S713</f>
        <v>2069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0815</v>
      </c>
      <c r="N715" s="55">
        <f t="shared" si="69"/>
        <v>2069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0815</v>
      </c>
      <c r="N716" s="55">
        <f t="shared" si="69"/>
        <v>2069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0815</v>
      </c>
      <c r="N717" s="55">
        <f t="shared" si="69"/>
        <v>2069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0815</v>
      </c>
      <c r="N718" s="55">
        <f t="shared" si="69"/>
        <v>2069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0815</v>
      </c>
      <c r="N719" s="55">
        <f t="shared" si="69"/>
        <v>2069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0815</v>
      </c>
      <c r="N720" s="55">
        <f t="shared" si="69"/>
        <v>2069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0815</v>
      </c>
      <c r="N721" s="55">
        <f t="shared" si="69"/>
        <v>2069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0815</v>
      </c>
      <c r="N722" s="55">
        <f t="shared" si="69"/>
        <v>2069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0815</v>
      </c>
      <c r="N723" s="55">
        <f t="shared" si="69"/>
        <v>2069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0815</v>
      </c>
      <c r="N724" s="55">
        <f t="shared" si="69"/>
        <v>2069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0815</v>
      </c>
      <c r="N725" s="55">
        <f t="shared" si="69"/>
        <v>2069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0815</v>
      </c>
      <c r="N726" s="55">
        <f t="shared" si="69"/>
        <v>2069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0815</v>
      </c>
      <c r="N727" s="55">
        <f t="shared" si="69"/>
        <v>2069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0815</v>
      </c>
      <c r="N728" s="55">
        <f t="shared" si="69"/>
        <v>2069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0815</v>
      </c>
      <c r="N729" s="55">
        <f t="shared" si="69"/>
        <v>2069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0815</v>
      </c>
      <c r="N730" s="55">
        <f t="shared" si="69"/>
        <v>2069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0815</v>
      </c>
      <c r="N731" s="55">
        <f t="shared" si="69"/>
        <v>2069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0815</v>
      </c>
      <c r="N732" s="55">
        <f t="shared" si="69"/>
        <v>2069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0815</v>
      </c>
      <c r="N733" s="55">
        <f t="shared" si="69"/>
        <v>2069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0815</v>
      </c>
      <c r="N734" s="55">
        <f t="shared" si="69"/>
        <v>2069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0815</v>
      </c>
      <c r="N735" s="55">
        <f t="shared" si="69"/>
        <v>2069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0815</v>
      </c>
      <c r="N736" s="55">
        <f t="shared" si="69"/>
        <v>2069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0815</v>
      </c>
      <c r="N737" s="55">
        <f t="shared" si="69"/>
        <v>2069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0815</v>
      </c>
      <c r="N738" s="55">
        <f t="shared" si="69"/>
        <v>2069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0815</v>
      </c>
      <c r="N739" s="55">
        <f t="shared" si="69"/>
        <v>2069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0815</v>
      </c>
      <c r="N740" s="55">
        <f t="shared" si="69"/>
        <v>2069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0815</v>
      </c>
      <c r="N741" s="55">
        <f t="shared" si="69"/>
        <v>2069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0815</v>
      </c>
      <c r="N742" s="55">
        <f t="shared" si="69"/>
        <v>2069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0815</v>
      </c>
      <c r="N743" s="55">
        <f t="shared" si="69"/>
        <v>2069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0815</v>
      </c>
      <c r="N744" s="55">
        <f t="shared" si="69"/>
        <v>2069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0815</v>
      </c>
      <c r="N745" s="55">
        <f t="shared" si="69"/>
        <v>2069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0815</v>
      </c>
      <c r="N746" s="55">
        <f t="shared" si="69"/>
        <v>2069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0815</v>
      </c>
      <c r="N747" s="55">
        <f t="shared" si="69"/>
        <v>2069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0815</v>
      </c>
      <c r="N748" s="55">
        <f t="shared" si="69"/>
        <v>2069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0815</v>
      </c>
      <c r="N749" s="55">
        <f t="shared" si="69"/>
        <v>2069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0815</v>
      </c>
      <c r="N750" s="55">
        <f t="shared" si="69"/>
        <v>2069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0815</v>
      </c>
      <c r="N751" s="55">
        <f t="shared" si="69"/>
        <v>2069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0815</v>
      </c>
      <c r="N752" s="55">
        <f t="shared" si="69"/>
        <v>2069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0815</v>
      </c>
      <c r="N753" s="55">
        <f t="shared" si="69"/>
        <v>2069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0815</v>
      </c>
      <c r="N754" s="55">
        <f t="shared" si="69"/>
        <v>2069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0815</v>
      </c>
      <c r="N755" s="55">
        <f t="shared" si="69"/>
        <v>2069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0815</v>
      </c>
      <c r="N756" s="55">
        <f t="shared" si="69"/>
        <v>2069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0815</v>
      </c>
      <c r="N757" s="55">
        <f t="shared" si="69"/>
        <v>2069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0815</v>
      </c>
      <c r="N758" s="55">
        <f t="shared" si="69"/>
        <v>2069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0815</v>
      </c>
      <c r="N759" s="55">
        <f t="shared" si="69"/>
        <v>2069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0815</v>
      </c>
      <c r="N760" s="55">
        <f t="shared" si="69"/>
        <v>2069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0815</v>
      </c>
      <c r="N761" s="55">
        <f t="shared" si="69"/>
        <v>2069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0815</v>
      </c>
      <c r="N762" s="55">
        <f t="shared" si="69"/>
        <v>2069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0815</v>
      </c>
      <c r="N763" s="55">
        <f t="shared" si="69"/>
        <v>2069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0815</v>
      </c>
      <c r="N764" s="55">
        <f t="shared" si="69"/>
        <v>2069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0815</v>
      </c>
      <c r="N765" s="55">
        <f t="shared" si="69"/>
        <v>2069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0815</v>
      </c>
      <c r="N766" s="55">
        <f t="shared" si="69"/>
        <v>2069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0815</v>
      </c>
      <c r="N767" s="55">
        <f t="shared" si="69"/>
        <v>2069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0815</v>
      </c>
      <c r="N768" s="55">
        <f t="shared" si="69"/>
        <v>2069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0815</v>
      </c>
      <c r="N769" s="55">
        <f t="shared" si="69"/>
        <v>2069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0815</v>
      </c>
      <c r="N770" s="55">
        <f t="shared" si="69"/>
        <v>2069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0815</v>
      </c>
      <c r="N771" s="55">
        <f t="shared" si="69"/>
        <v>2069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0815</v>
      </c>
      <c r="N772" s="55">
        <f t="shared" si="69"/>
        <v>2069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0815</v>
      </c>
      <c r="N773" s="55">
        <f t="shared" si="69"/>
        <v>2069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0815</v>
      </c>
      <c r="N774" s="55">
        <f t="shared" si="69"/>
        <v>2069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0815</v>
      </c>
      <c r="N775" s="55">
        <f t="shared" si="69"/>
        <v>2069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0815</v>
      </c>
      <c r="N776" s="55">
        <f t="shared" si="69"/>
        <v>2069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0815</v>
      </c>
      <c r="N777" s="55">
        <f t="shared" si="69"/>
        <v>2069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0815</v>
      </c>
      <c r="N778" s="55">
        <f t="shared" ref="N778:N841" si="73">N777+S777</f>
        <v>2069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0815</v>
      </c>
      <c r="N779" s="55">
        <f t="shared" si="73"/>
        <v>2069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0815</v>
      </c>
      <c r="N780" s="55">
        <f t="shared" si="73"/>
        <v>2069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0815</v>
      </c>
      <c r="N781" s="55">
        <f t="shared" si="73"/>
        <v>2069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0815</v>
      </c>
      <c r="N782" s="55">
        <f t="shared" si="73"/>
        <v>2069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0815</v>
      </c>
      <c r="N783" s="55">
        <f t="shared" si="73"/>
        <v>2069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0815</v>
      </c>
      <c r="N784" s="55">
        <f t="shared" si="73"/>
        <v>2069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0815</v>
      </c>
      <c r="N785" s="55">
        <f t="shared" si="73"/>
        <v>2069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0815</v>
      </c>
      <c r="N786" s="55">
        <f t="shared" si="73"/>
        <v>2069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0815</v>
      </c>
      <c r="N787" s="55">
        <f t="shared" si="73"/>
        <v>2069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0815</v>
      </c>
      <c r="N788" s="55">
        <f t="shared" si="73"/>
        <v>2069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0815</v>
      </c>
      <c r="N789" s="55">
        <f t="shared" si="73"/>
        <v>2069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0815</v>
      </c>
      <c r="N790" s="55">
        <f t="shared" si="73"/>
        <v>2069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0815</v>
      </c>
      <c r="N791" s="55">
        <f t="shared" si="73"/>
        <v>2069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0815</v>
      </c>
      <c r="N792" s="55">
        <f t="shared" si="73"/>
        <v>2069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0815</v>
      </c>
      <c r="N793" s="55">
        <f t="shared" si="73"/>
        <v>2069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0815</v>
      </c>
      <c r="N794" s="55">
        <f t="shared" si="73"/>
        <v>2069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0815</v>
      </c>
      <c r="N795" s="55">
        <f t="shared" si="73"/>
        <v>2069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0815</v>
      </c>
      <c r="N796" s="55">
        <f t="shared" si="73"/>
        <v>2069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0815</v>
      </c>
      <c r="N797" s="55">
        <f t="shared" si="73"/>
        <v>2069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0815</v>
      </c>
      <c r="N798" s="55">
        <f t="shared" si="73"/>
        <v>2069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0815</v>
      </c>
      <c r="N799" s="55">
        <f t="shared" si="73"/>
        <v>2069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0815</v>
      </c>
      <c r="N800" s="55">
        <f t="shared" si="73"/>
        <v>2069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0815</v>
      </c>
      <c r="N801" s="55">
        <f t="shared" si="73"/>
        <v>2069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0815</v>
      </c>
      <c r="N802" s="55">
        <f t="shared" si="73"/>
        <v>2069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0815</v>
      </c>
      <c r="N803" s="55">
        <f t="shared" si="73"/>
        <v>2069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0815</v>
      </c>
      <c r="N804" s="55">
        <f t="shared" si="73"/>
        <v>2069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0815</v>
      </c>
      <c r="N805" s="55">
        <f t="shared" si="73"/>
        <v>2069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0815</v>
      </c>
      <c r="N806" s="55">
        <f t="shared" si="73"/>
        <v>2069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0815</v>
      </c>
      <c r="N807" s="55">
        <f t="shared" si="73"/>
        <v>2069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0815</v>
      </c>
      <c r="N808" s="55">
        <f t="shared" si="73"/>
        <v>2069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0815</v>
      </c>
      <c r="N809" s="55">
        <f t="shared" si="73"/>
        <v>2069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0815</v>
      </c>
      <c r="N810" s="55">
        <f t="shared" si="73"/>
        <v>2069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0815</v>
      </c>
      <c r="N811" s="55">
        <f t="shared" si="73"/>
        <v>2069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0815</v>
      </c>
      <c r="N812" s="55">
        <f t="shared" si="73"/>
        <v>2069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0815</v>
      </c>
      <c r="N813" s="55">
        <f t="shared" si="73"/>
        <v>2069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0815</v>
      </c>
      <c r="N814" s="55">
        <f t="shared" si="73"/>
        <v>2069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0815</v>
      </c>
      <c r="N815" s="55">
        <f t="shared" si="73"/>
        <v>2069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0815</v>
      </c>
      <c r="N816" s="55">
        <f t="shared" si="73"/>
        <v>2069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0815</v>
      </c>
      <c r="N817" s="55">
        <f t="shared" si="73"/>
        <v>2069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0815</v>
      </c>
      <c r="N818" s="55">
        <f t="shared" si="73"/>
        <v>2069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0815</v>
      </c>
      <c r="N819" s="55">
        <f t="shared" si="73"/>
        <v>2069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0815</v>
      </c>
      <c r="N820" s="55">
        <f t="shared" si="73"/>
        <v>2069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0815</v>
      </c>
      <c r="N821" s="55">
        <f t="shared" si="73"/>
        <v>2069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0815</v>
      </c>
      <c r="N822" s="55">
        <f t="shared" si="73"/>
        <v>2069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0815</v>
      </c>
      <c r="N823" s="55">
        <f t="shared" si="73"/>
        <v>2069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0815</v>
      </c>
      <c r="N824" s="55">
        <f t="shared" si="73"/>
        <v>2069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0815</v>
      </c>
      <c r="N825" s="55">
        <f t="shared" si="73"/>
        <v>2069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0815</v>
      </c>
      <c r="N826" s="55">
        <f t="shared" si="73"/>
        <v>2069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0815</v>
      </c>
      <c r="N827" s="55">
        <f t="shared" si="73"/>
        <v>2069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0815</v>
      </c>
      <c r="N828" s="55">
        <f t="shared" si="73"/>
        <v>2069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0815</v>
      </c>
      <c r="N829" s="55">
        <f t="shared" si="73"/>
        <v>2069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0815</v>
      </c>
      <c r="N830" s="55">
        <f t="shared" si="73"/>
        <v>2069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0815</v>
      </c>
      <c r="N831" s="55">
        <f t="shared" si="73"/>
        <v>2069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0815</v>
      </c>
      <c r="N832" s="55">
        <f t="shared" si="73"/>
        <v>2069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0815</v>
      </c>
      <c r="N833" s="55">
        <f t="shared" si="73"/>
        <v>2069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0815</v>
      </c>
      <c r="N834" s="55">
        <f t="shared" si="73"/>
        <v>2069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0815</v>
      </c>
      <c r="N835" s="55">
        <f t="shared" si="73"/>
        <v>2069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0815</v>
      </c>
      <c r="N836" s="55">
        <f t="shared" si="73"/>
        <v>2069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0815</v>
      </c>
      <c r="N837" s="55">
        <f t="shared" si="73"/>
        <v>2069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0815</v>
      </c>
      <c r="N838" s="55">
        <f t="shared" si="73"/>
        <v>2069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0815</v>
      </c>
      <c r="N839" s="55">
        <f t="shared" si="73"/>
        <v>2069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0815</v>
      </c>
      <c r="N840" s="55">
        <f t="shared" si="73"/>
        <v>2069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0815</v>
      </c>
      <c r="N841" s="55">
        <f t="shared" si="73"/>
        <v>2069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0815</v>
      </c>
      <c r="N842" s="55">
        <f t="shared" ref="N842:N905" si="77">N841+S841</f>
        <v>2069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0815</v>
      </c>
      <c r="N843" s="55">
        <f t="shared" si="77"/>
        <v>2069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0815</v>
      </c>
      <c r="N844" s="55">
        <f t="shared" si="77"/>
        <v>2069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0815</v>
      </c>
      <c r="N845" s="55">
        <f t="shared" si="77"/>
        <v>2069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0815</v>
      </c>
      <c r="N846" s="55">
        <f t="shared" si="77"/>
        <v>2069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0815</v>
      </c>
      <c r="N847" s="55">
        <f t="shared" si="77"/>
        <v>2069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0815</v>
      </c>
      <c r="N848" s="55">
        <f t="shared" si="77"/>
        <v>2069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0815</v>
      </c>
      <c r="N849" s="55">
        <f t="shared" si="77"/>
        <v>2069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0815</v>
      </c>
      <c r="N850" s="55">
        <f t="shared" si="77"/>
        <v>2069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0815</v>
      </c>
      <c r="N851" s="55">
        <f t="shared" si="77"/>
        <v>2069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0815</v>
      </c>
      <c r="N852" s="55">
        <f t="shared" si="77"/>
        <v>2069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0815</v>
      </c>
      <c r="N853" s="55">
        <f t="shared" si="77"/>
        <v>2069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0815</v>
      </c>
      <c r="N854" s="55">
        <f t="shared" si="77"/>
        <v>2069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0815</v>
      </c>
      <c r="N855" s="55">
        <f t="shared" si="77"/>
        <v>2069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0815</v>
      </c>
      <c r="N856" s="55">
        <f t="shared" si="77"/>
        <v>2069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0815</v>
      </c>
      <c r="N857" s="55">
        <f t="shared" si="77"/>
        <v>2069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0815</v>
      </c>
      <c r="N858" s="55">
        <f t="shared" si="77"/>
        <v>2069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0815</v>
      </c>
      <c r="N859" s="55">
        <f t="shared" si="77"/>
        <v>2069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0815</v>
      </c>
      <c r="N860" s="55">
        <f t="shared" si="77"/>
        <v>2069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0815</v>
      </c>
      <c r="N861" s="55">
        <f t="shared" si="77"/>
        <v>2069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0815</v>
      </c>
      <c r="N862" s="55">
        <f t="shared" si="77"/>
        <v>2069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0815</v>
      </c>
      <c r="N863" s="55">
        <f t="shared" si="77"/>
        <v>2069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0815</v>
      </c>
      <c r="N864" s="55">
        <f t="shared" si="77"/>
        <v>2069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0815</v>
      </c>
      <c r="N865" s="55">
        <f t="shared" si="77"/>
        <v>2069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0815</v>
      </c>
      <c r="N866" s="55">
        <f t="shared" si="77"/>
        <v>2069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0815</v>
      </c>
      <c r="N867" s="55">
        <f t="shared" si="77"/>
        <v>2069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0815</v>
      </c>
      <c r="N868" s="55">
        <f t="shared" si="77"/>
        <v>2069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0815</v>
      </c>
      <c r="N869" s="55">
        <f t="shared" si="77"/>
        <v>2069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0815</v>
      </c>
      <c r="N870" s="55">
        <f t="shared" si="77"/>
        <v>2069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0815</v>
      </c>
      <c r="N871" s="55">
        <f t="shared" si="77"/>
        <v>2069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0815</v>
      </c>
      <c r="N872" s="55">
        <f t="shared" si="77"/>
        <v>2069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0815</v>
      </c>
      <c r="N873" s="55">
        <f t="shared" si="77"/>
        <v>2069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0815</v>
      </c>
      <c r="N874" s="55">
        <f t="shared" si="77"/>
        <v>2069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0815</v>
      </c>
      <c r="N875" s="55">
        <f t="shared" si="77"/>
        <v>2069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0815</v>
      </c>
      <c r="N876" s="55">
        <f t="shared" si="77"/>
        <v>2069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0815</v>
      </c>
      <c r="N877" s="55">
        <f t="shared" si="77"/>
        <v>2069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0815</v>
      </c>
      <c r="N878" s="55">
        <f t="shared" si="77"/>
        <v>2069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0815</v>
      </c>
      <c r="N879" s="55">
        <f t="shared" si="77"/>
        <v>2069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0815</v>
      </c>
      <c r="N880" s="55">
        <f t="shared" si="77"/>
        <v>2069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0815</v>
      </c>
      <c r="N881" s="55">
        <f t="shared" si="77"/>
        <v>2069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0815</v>
      </c>
      <c r="N882" s="55">
        <f t="shared" si="77"/>
        <v>2069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0815</v>
      </c>
      <c r="N883" s="55">
        <f t="shared" si="77"/>
        <v>2069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0815</v>
      </c>
      <c r="N884" s="55">
        <f t="shared" si="77"/>
        <v>2069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0815</v>
      </c>
      <c r="N885" s="55">
        <f t="shared" si="77"/>
        <v>2069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0815</v>
      </c>
      <c r="N886" s="55">
        <f t="shared" si="77"/>
        <v>2069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0815</v>
      </c>
      <c r="N887" s="55">
        <f t="shared" si="77"/>
        <v>2069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0815</v>
      </c>
      <c r="N888" s="55">
        <f t="shared" si="77"/>
        <v>2069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0815</v>
      </c>
      <c r="N889" s="55">
        <f t="shared" si="77"/>
        <v>2069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0815</v>
      </c>
      <c r="N890" s="55">
        <f t="shared" si="77"/>
        <v>2069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0815</v>
      </c>
      <c r="N891" s="55">
        <f t="shared" si="77"/>
        <v>2069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0815</v>
      </c>
      <c r="N892" s="55">
        <f t="shared" si="77"/>
        <v>2069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0815</v>
      </c>
      <c r="N893" s="55">
        <f t="shared" si="77"/>
        <v>2069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0815</v>
      </c>
      <c r="N894" s="55">
        <f t="shared" si="77"/>
        <v>2069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0815</v>
      </c>
      <c r="N895" s="55">
        <f t="shared" si="77"/>
        <v>2069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0815</v>
      </c>
      <c r="N896" s="55">
        <f t="shared" si="77"/>
        <v>2069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0815</v>
      </c>
      <c r="N897" s="55">
        <f t="shared" si="77"/>
        <v>2069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0815</v>
      </c>
      <c r="N898" s="55">
        <f t="shared" si="77"/>
        <v>2069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0815</v>
      </c>
      <c r="N899" s="55">
        <f t="shared" si="77"/>
        <v>2069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0815</v>
      </c>
      <c r="N900" s="55">
        <f t="shared" si="77"/>
        <v>2069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0815</v>
      </c>
      <c r="N901" s="55">
        <f t="shared" si="77"/>
        <v>2069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0815</v>
      </c>
      <c r="N902" s="55">
        <f t="shared" si="77"/>
        <v>2069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0815</v>
      </c>
      <c r="N903" s="55">
        <f t="shared" si="77"/>
        <v>2069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0815</v>
      </c>
      <c r="N904" s="55">
        <f t="shared" si="77"/>
        <v>2069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0815</v>
      </c>
      <c r="N905" s="55">
        <f t="shared" si="77"/>
        <v>2069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0815</v>
      </c>
      <c r="N906" s="55">
        <f t="shared" ref="N906:N969" si="81">N905+S905</f>
        <v>2069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0815</v>
      </c>
      <c r="N907" s="55">
        <f t="shared" si="81"/>
        <v>2069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0815</v>
      </c>
      <c r="N908" s="55">
        <f t="shared" si="81"/>
        <v>2069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0815</v>
      </c>
      <c r="N909" s="55">
        <f t="shared" si="81"/>
        <v>2069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0815</v>
      </c>
      <c r="N910" s="55">
        <f t="shared" si="81"/>
        <v>2069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0815</v>
      </c>
      <c r="N911" s="55">
        <f t="shared" si="81"/>
        <v>2069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0815</v>
      </c>
      <c r="N912" s="55">
        <f t="shared" si="81"/>
        <v>2069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0815</v>
      </c>
      <c r="N913" s="55">
        <f t="shared" si="81"/>
        <v>2069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0815</v>
      </c>
      <c r="N914" s="55">
        <f t="shared" si="81"/>
        <v>2069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0815</v>
      </c>
      <c r="N915" s="55">
        <f t="shared" si="81"/>
        <v>2069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0815</v>
      </c>
      <c r="N916" s="55">
        <f t="shared" si="81"/>
        <v>2069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0815</v>
      </c>
      <c r="N917" s="55">
        <f t="shared" si="81"/>
        <v>2069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0815</v>
      </c>
      <c r="N918" s="55">
        <f t="shared" si="81"/>
        <v>2069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0815</v>
      </c>
      <c r="N919" s="55">
        <f t="shared" si="81"/>
        <v>2069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0815</v>
      </c>
      <c r="N920" s="55">
        <f t="shared" si="81"/>
        <v>2069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0815</v>
      </c>
      <c r="N921" s="55">
        <f t="shared" si="81"/>
        <v>2069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0815</v>
      </c>
      <c r="N922" s="55">
        <f t="shared" si="81"/>
        <v>2069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0815</v>
      </c>
      <c r="N923" s="55">
        <f t="shared" si="81"/>
        <v>2069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0815</v>
      </c>
      <c r="N924" s="55">
        <f t="shared" si="81"/>
        <v>2069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0815</v>
      </c>
      <c r="N925" s="55">
        <f t="shared" si="81"/>
        <v>2069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0815</v>
      </c>
      <c r="N926" s="55">
        <f t="shared" si="81"/>
        <v>2069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0815</v>
      </c>
      <c r="N927" s="55">
        <f t="shared" si="81"/>
        <v>2069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0815</v>
      </c>
      <c r="N928" s="55">
        <f t="shared" si="81"/>
        <v>2069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0815</v>
      </c>
      <c r="N929" s="55">
        <f t="shared" si="81"/>
        <v>2069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0815</v>
      </c>
      <c r="N930" s="55">
        <f t="shared" si="81"/>
        <v>2069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0815</v>
      </c>
      <c r="N931" s="55">
        <f t="shared" si="81"/>
        <v>2069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0815</v>
      </c>
      <c r="N932" s="55">
        <f t="shared" si="81"/>
        <v>2069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0815</v>
      </c>
      <c r="N933" s="55">
        <f t="shared" si="81"/>
        <v>2069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0815</v>
      </c>
      <c r="N934" s="55">
        <f t="shared" si="81"/>
        <v>2069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0815</v>
      </c>
      <c r="N935" s="55">
        <f t="shared" si="81"/>
        <v>2069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0815</v>
      </c>
      <c r="N936" s="55">
        <f t="shared" si="81"/>
        <v>2069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0815</v>
      </c>
      <c r="N937" s="55">
        <f t="shared" si="81"/>
        <v>2069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0815</v>
      </c>
      <c r="N938" s="55">
        <f t="shared" si="81"/>
        <v>2069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0815</v>
      </c>
      <c r="N939" s="55">
        <f t="shared" si="81"/>
        <v>2069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0815</v>
      </c>
      <c r="N940" s="55">
        <f t="shared" si="81"/>
        <v>2069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0815</v>
      </c>
      <c r="N941" s="55">
        <f t="shared" si="81"/>
        <v>2069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0815</v>
      </c>
      <c r="N942" s="55">
        <f t="shared" si="81"/>
        <v>2069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0815</v>
      </c>
      <c r="N943" s="55">
        <f t="shared" si="81"/>
        <v>2069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0815</v>
      </c>
      <c r="N944" s="55">
        <f t="shared" si="81"/>
        <v>2069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0815</v>
      </c>
      <c r="N945" s="55">
        <f t="shared" si="81"/>
        <v>2069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0815</v>
      </c>
      <c r="N946" s="55">
        <f t="shared" si="81"/>
        <v>2069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0815</v>
      </c>
      <c r="N947" s="55">
        <f t="shared" si="81"/>
        <v>2069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0815</v>
      </c>
      <c r="N948" s="55">
        <f t="shared" si="81"/>
        <v>2069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0815</v>
      </c>
      <c r="N949" s="55">
        <f t="shared" si="81"/>
        <v>2069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0815</v>
      </c>
      <c r="N950" s="55">
        <f t="shared" si="81"/>
        <v>2069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0815</v>
      </c>
      <c r="N951" s="55">
        <f t="shared" si="81"/>
        <v>2069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0815</v>
      </c>
      <c r="N952" s="55">
        <f t="shared" si="81"/>
        <v>2069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0815</v>
      </c>
      <c r="N953" s="55">
        <f t="shared" si="81"/>
        <v>2069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0815</v>
      </c>
      <c r="N954" s="55">
        <f t="shared" si="81"/>
        <v>2069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0815</v>
      </c>
      <c r="N955" s="55">
        <f t="shared" si="81"/>
        <v>2069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0815</v>
      </c>
      <c r="N956" s="55">
        <f t="shared" si="81"/>
        <v>2069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0815</v>
      </c>
      <c r="N957" s="55">
        <f t="shared" si="81"/>
        <v>2069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0815</v>
      </c>
      <c r="N958" s="55">
        <f t="shared" si="81"/>
        <v>2069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0815</v>
      </c>
      <c r="N959" s="55">
        <f t="shared" si="81"/>
        <v>2069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0815</v>
      </c>
      <c r="N960" s="55">
        <f t="shared" si="81"/>
        <v>2069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0815</v>
      </c>
      <c r="N961" s="55">
        <f t="shared" si="81"/>
        <v>2069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0815</v>
      </c>
      <c r="N962" s="55">
        <f t="shared" si="81"/>
        <v>2069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0815</v>
      </c>
      <c r="N963" s="55">
        <f t="shared" si="81"/>
        <v>2069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0815</v>
      </c>
      <c r="N964" s="55">
        <f t="shared" si="81"/>
        <v>2069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0815</v>
      </c>
      <c r="N965" s="55">
        <f t="shared" si="81"/>
        <v>2069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0815</v>
      </c>
      <c r="N966" s="55">
        <f t="shared" si="81"/>
        <v>2069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0815</v>
      </c>
      <c r="N967" s="55">
        <f t="shared" si="81"/>
        <v>2069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0815</v>
      </c>
      <c r="N968" s="55">
        <f t="shared" si="81"/>
        <v>2069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0815</v>
      </c>
      <c r="N969" s="55">
        <f t="shared" si="81"/>
        <v>2069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0815</v>
      </c>
      <c r="N970" s="55">
        <f t="shared" ref="N970:N1033" si="85">N969+S969</f>
        <v>2069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0815</v>
      </c>
      <c r="N971" s="55">
        <f t="shared" si="85"/>
        <v>2069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0815</v>
      </c>
      <c r="N972" s="55">
        <f t="shared" si="85"/>
        <v>2069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0815</v>
      </c>
      <c r="N973" s="55">
        <f t="shared" si="85"/>
        <v>2069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0815</v>
      </c>
      <c r="N974" s="55">
        <f t="shared" si="85"/>
        <v>2069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0815</v>
      </c>
      <c r="N975" s="55">
        <f t="shared" si="85"/>
        <v>2069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0815</v>
      </c>
      <c r="N976" s="55">
        <f t="shared" si="85"/>
        <v>2069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0815</v>
      </c>
      <c r="N977" s="55">
        <f t="shared" si="85"/>
        <v>2069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0815</v>
      </c>
      <c r="N978" s="55">
        <f t="shared" si="85"/>
        <v>2069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0815</v>
      </c>
      <c r="N979" s="55">
        <f t="shared" si="85"/>
        <v>2069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0815</v>
      </c>
      <c r="N980" s="55">
        <f t="shared" si="85"/>
        <v>2069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0815</v>
      </c>
      <c r="N981" s="55">
        <f t="shared" si="85"/>
        <v>2069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0815</v>
      </c>
      <c r="N982" s="55">
        <f t="shared" si="85"/>
        <v>2069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0815</v>
      </c>
      <c r="N983" s="55">
        <f t="shared" si="85"/>
        <v>2069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0815</v>
      </c>
      <c r="N984" s="55">
        <f t="shared" si="85"/>
        <v>2069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0815</v>
      </c>
      <c r="N985" s="55">
        <f t="shared" si="85"/>
        <v>2069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0815</v>
      </c>
      <c r="N986" s="55">
        <f t="shared" si="85"/>
        <v>2069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0815</v>
      </c>
      <c r="N987" s="55">
        <f t="shared" si="85"/>
        <v>2069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0815</v>
      </c>
      <c r="N988" s="55">
        <f t="shared" si="85"/>
        <v>2069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0815</v>
      </c>
      <c r="N989" s="55">
        <f t="shared" si="85"/>
        <v>2069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0815</v>
      </c>
      <c r="N990" s="55">
        <f t="shared" si="85"/>
        <v>2069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0815</v>
      </c>
      <c r="N991" s="55">
        <f t="shared" si="85"/>
        <v>2069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0815</v>
      </c>
      <c r="N992" s="55">
        <f t="shared" si="85"/>
        <v>2069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0815</v>
      </c>
      <c r="N993" s="55">
        <f t="shared" si="85"/>
        <v>2069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0815</v>
      </c>
      <c r="N994" s="55">
        <f t="shared" si="85"/>
        <v>2069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0815</v>
      </c>
      <c r="N995" s="55">
        <f t="shared" si="85"/>
        <v>2069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0815</v>
      </c>
      <c r="N996" s="55">
        <f t="shared" si="85"/>
        <v>2069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0815</v>
      </c>
      <c r="N997" s="55">
        <f t="shared" si="85"/>
        <v>2069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0815</v>
      </c>
      <c r="N998" s="55">
        <f t="shared" si="85"/>
        <v>2069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0815</v>
      </c>
      <c r="N999" s="55">
        <f t="shared" si="85"/>
        <v>2069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0815</v>
      </c>
      <c r="N1000" s="55">
        <f t="shared" si="85"/>
        <v>2069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0815</v>
      </c>
      <c r="N1001" s="55">
        <f t="shared" si="85"/>
        <v>2069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0815</v>
      </c>
      <c r="N1002" s="55">
        <f t="shared" si="85"/>
        <v>2069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0815</v>
      </c>
      <c r="N1003" s="55">
        <f t="shared" si="85"/>
        <v>2069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0815</v>
      </c>
      <c r="N1004" s="55">
        <f t="shared" si="85"/>
        <v>2069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0815</v>
      </c>
      <c r="N1005" s="55">
        <f t="shared" si="85"/>
        <v>2069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0815</v>
      </c>
      <c r="N1006" s="55">
        <f t="shared" si="85"/>
        <v>2069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0815</v>
      </c>
      <c r="N1007" s="55">
        <f t="shared" si="85"/>
        <v>2069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0815</v>
      </c>
      <c r="N1008" s="55">
        <f t="shared" si="85"/>
        <v>2069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0815</v>
      </c>
      <c r="N1009" s="55">
        <f t="shared" si="85"/>
        <v>2069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0815</v>
      </c>
      <c r="N1010" s="55">
        <f t="shared" si="85"/>
        <v>2069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0815</v>
      </c>
      <c r="N1011" s="55">
        <f t="shared" si="85"/>
        <v>2069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0815</v>
      </c>
      <c r="N1012" s="55">
        <f t="shared" si="85"/>
        <v>2069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0815</v>
      </c>
      <c r="N1013" s="55">
        <f t="shared" si="85"/>
        <v>2069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0815</v>
      </c>
      <c r="N1014" s="55">
        <f t="shared" si="85"/>
        <v>2069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0815</v>
      </c>
      <c r="N1015" s="55">
        <f t="shared" si="85"/>
        <v>2069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0815</v>
      </c>
      <c r="N1016" s="55">
        <f t="shared" si="85"/>
        <v>2069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0815</v>
      </c>
      <c r="N1017" s="55">
        <f t="shared" si="85"/>
        <v>2069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0815</v>
      </c>
      <c r="N1018" s="55">
        <f t="shared" si="85"/>
        <v>2069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0815</v>
      </c>
      <c r="N1019" s="55">
        <f t="shared" si="85"/>
        <v>2069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0815</v>
      </c>
      <c r="N1020" s="55">
        <f t="shared" si="85"/>
        <v>2069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0815</v>
      </c>
      <c r="N1021" s="55">
        <f t="shared" si="85"/>
        <v>2069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0815</v>
      </c>
      <c r="N1022" s="55">
        <f t="shared" si="85"/>
        <v>2069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0815</v>
      </c>
      <c r="N1023" s="55">
        <f t="shared" si="85"/>
        <v>2069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0815</v>
      </c>
      <c r="N1024" s="55">
        <f t="shared" si="85"/>
        <v>2069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0815</v>
      </c>
      <c r="N1025" s="55">
        <f t="shared" si="85"/>
        <v>2069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0815</v>
      </c>
      <c r="N1026" s="55">
        <f t="shared" si="85"/>
        <v>2069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0815</v>
      </c>
      <c r="N1027" s="55">
        <f t="shared" si="85"/>
        <v>2069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0815</v>
      </c>
      <c r="N1028" s="55">
        <f t="shared" si="85"/>
        <v>2069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0815</v>
      </c>
      <c r="N1029" s="55">
        <f t="shared" si="85"/>
        <v>2069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0815</v>
      </c>
      <c r="N1030" s="55">
        <f t="shared" si="85"/>
        <v>2069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0815</v>
      </c>
      <c r="N1031" s="55">
        <f t="shared" si="85"/>
        <v>2069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0815</v>
      </c>
      <c r="N1032" s="55">
        <f t="shared" si="85"/>
        <v>2069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0815</v>
      </c>
      <c r="N1033" s="55">
        <f t="shared" si="85"/>
        <v>2069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0815</v>
      </c>
      <c r="N1034" s="55">
        <f t="shared" ref="N1034:N1070" si="88">N1033+S1033</f>
        <v>2069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0815</v>
      </c>
      <c r="N1035" s="55">
        <f t="shared" si="88"/>
        <v>2069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0815</v>
      </c>
      <c r="N1036" s="55">
        <f t="shared" si="88"/>
        <v>2069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0815</v>
      </c>
      <c r="N1037" s="55">
        <f t="shared" si="88"/>
        <v>2069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0815</v>
      </c>
      <c r="N1038" s="55">
        <f t="shared" si="88"/>
        <v>2069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0815</v>
      </c>
      <c r="N1039" s="55">
        <f t="shared" si="88"/>
        <v>2069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0815</v>
      </c>
      <c r="N1040" s="55">
        <f t="shared" si="88"/>
        <v>2069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0815</v>
      </c>
      <c r="N1041" s="55">
        <f t="shared" si="88"/>
        <v>2069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0815</v>
      </c>
      <c r="N1042" s="55">
        <f t="shared" si="88"/>
        <v>2069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0815</v>
      </c>
      <c r="N1043" s="55">
        <f t="shared" si="88"/>
        <v>2069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0815</v>
      </c>
      <c r="N1044" s="55">
        <f t="shared" si="88"/>
        <v>2069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0815</v>
      </c>
      <c r="N1045" s="55">
        <f t="shared" si="88"/>
        <v>2069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0815</v>
      </c>
      <c r="N1046" s="55">
        <f t="shared" si="88"/>
        <v>2069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0815</v>
      </c>
      <c r="N1047" s="55">
        <f t="shared" si="88"/>
        <v>2069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0815</v>
      </c>
      <c r="N1048" s="55">
        <f t="shared" si="88"/>
        <v>2069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0815</v>
      </c>
      <c r="N1049" s="55">
        <f t="shared" si="88"/>
        <v>2069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0815</v>
      </c>
      <c r="N1050" s="55">
        <f t="shared" si="88"/>
        <v>2069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0815</v>
      </c>
      <c r="N1051" s="55">
        <f t="shared" si="88"/>
        <v>2069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0815</v>
      </c>
      <c r="N1052" s="55">
        <f t="shared" si="88"/>
        <v>2069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0815</v>
      </c>
      <c r="N1053" s="55">
        <f t="shared" si="88"/>
        <v>2069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0815</v>
      </c>
      <c r="N1054" s="55">
        <f t="shared" si="88"/>
        <v>2069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0815</v>
      </c>
      <c r="N1055" s="55">
        <f t="shared" si="88"/>
        <v>2069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0815</v>
      </c>
      <c r="N1056" s="55">
        <f t="shared" si="88"/>
        <v>2069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0815</v>
      </c>
      <c r="N1057" s="55">
        <f t="shared" si="88"/>
        <v>2069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0815</v>
      </c>
      <c r="N1058" s="55">
        <f t="shared" si="88"/>
        <v>2069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0815</v>
      </c>
      <c r="N1059" s="55">
        <f t="shared" si="88"/>
        <v>2069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0815</v>
      </c>
      <c r="N1060" s="55">
        <f t="shared" si="88"/>
        <v>2069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0815</v>
      </c>
      <c r="N1061" s="55">
        <f t="shared" si="88"/>
        <v>2069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0815</v>
      </c>
      <c r="N1062" s="55">
        <f t="shared" si="88"/>
        <v>2069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0815</v>
      </c>
      <c r="N1063" s="55">
        <f t="shared" si="88"/>
        <v>2069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0815</v>
      </c>
      <c r="N1064" s="55">
        <f t="shared" si="88"/>
        <v>2069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0815</v>
      </c>
      <c r="N1065" s="55">
        <f t="shared" si="88"/>
        <v>2069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0815</v>
      </c>
      <c r="N1066" s="55">
        <f t="shared" si="88"/>
        <v>2069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0815</v>
      </c>
      <c r="N1067" s="55">
        <f t="shared" si="88"/>
        <v>2069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0815</v>
      </c>
      <c r="N1068" s="55">
        <f t="shared" si="88"/>
        <v>2069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0815</v>
      </c>
      <c r="N1069" s="55">
        <f t="shared" si="88"/>
        <v>2069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0815</v>
      </c>
      <c r="N1070" s="110">
        <f t="shared" si="88"/>
        <v>2069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187" priority="54" operator="equal">
      <formula>0</formula>
    </cfRule>
    <cfRule type="cellIs" dxfId="186" priority="55" operator="greaterThan">
      <formula>0</formula>
    </cfRule>
  </conditionalFormatting>
  <conditionalFormatting sqref="F1:W1">
    <cfRule type="containsText" dxfId="185" priority="45" operator="containsText" text="Halted">
      <formula>NOT(ISERROR(SEARCH("Halted",F1)))</formula>
    </cfRule>
    <cfRule type="containsText" dxfId="184" priority="52" operator="containsText" text="Error">
      <formula>NOT(ISERROR(SEARCH("Error",F1)))</formula>
    </cfRule>
    <cfRule type="expression" dxfId="183" priority="53">
      <formula>$F$1&lt;&gt;""</formula>
    </cfRule>
  </conditionalFormatting>
  <conditionalFormatting sqref="M7:T7 M8:N1070 M41:R1070">
    <cfRule type="containsText" dxfId="182" priority="33" operator="containsText" text=" ">
      <formula>NOT(ISERROR(SEARCH(" ",M7)))</formula>
    </cfRule>
  </conditionalFormatting>
  <conditionalFormatting sqref="AL5:AM5">
    <cfRule type="cellIs" dxfId="181" priority="31" operator="equal">
      <formula>0</formula>
    </cfRule>
    <cfRule type="cellIs" dxfId="180" priority="32" operator="equal">
      <formula>1</formula>
    </cfRule>
  </conditionalFormatting>
  <conditionalFormatting sqref="H5:H9">
    <cfRule type="cellIs" dxfId="179" priority="29" operator="equal">
      <formula>0</formula>
    </cfRule>
    <cfRule type="cellIs" dxfId="178" priority="30" operator="equal">
      <formula>1</formula>
    </cfRule>
  </conditionalFormatting>
  <conditionalFormatting sqref="AD5:AK5">
    <cfRule type="cellIs" dxfId="177" priority="26" operator="equal">
      <formula>0</formula>
    </cfRule>
    <cfRule type="cellIs" dxfId="176" priority="27" operator="equal">
      <formula>1</formula>
    </cfRule>
  </conditionalFormatting>
  <conditionalFormatting sqref="AA13:AJ13">
    <cfRule type="cellIs" dxfId="175" priority="21" operator="equal">
      <formula>1</formula>
    </cfRule>
  </conditionalFormatting>
  <conditionalFormatting sqref="H18">
    <cfRule type="cellIs" dxfId="174" priority="18" operator="equal">
      <formula>0</formula>
    </cfRule>
    <cfRule type="cellIs" dxfId="173" priority="19" operator="equal">
      <formula>1</formula>
    </cfRule>
  </conditionalFormatting>
  <conditionalFormatting sqref="AK15:AK1070">
    <cfRule type="cellIs" dxfId="172" priority="17" operator="equal">
      <formula>1</formula>
    </cfRule>
  </conditionalFormatting>
  <conditionalFormatting sqref="O40">
    <cfRule type="containsText" dxfId="171" priority="4" operator="containsText" text=" ">
      <formula>NOT(ISERROR(SEARCH(" ",O40)))</formula>
    </cfRule>
  </conditionalFormatting>
  <conditionalFormatting sqref="P41:R1070">
    <cfRule type="expression" dxfId="170" priority="1043">
      <formula>$N41=$E$10</formula>
    </cfRule>
  </conditionalFormatting>
  <conditionalFormatting sqref="K7:T7 K8:N40 K41:R1070 O40">
    <cfRule type="expression" dxfId="169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S28" sqref="S2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42</v>
      </c>
      <c r="C2" s="41" t="str" cm="1">
        <f t="array" aca="1" ref="C2" ca="1">INDIRECT("R_"&amp;C1)</f>
        <v>01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0814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27" t="s">
        <v>190</v>
      </c>
      <c r="I4" s="60" t="s">
        <v>191</v>
      </c>
      <c r="J4" s="38">
        <f ca="1">IF(AND(J5:J9),0,1)</f>
        <v>1</v>
      </c>
      <c r="K4" s="243" t="s">
        <v>2232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36" t="s">
        <v>270</v>
      </c>
      <c r="W5" s="236"/>
      <c r="X5" s="236"/>
      <c r="Y5" s="236"/>
      <c r="Z5" s="236"/>
      <c r="AA5" s="236"/>
      <c r="AB5" s="236"/>
      <c r="AC5" s="237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0" si="1">IFERROR(VLOOKUP(P6,$A$4:$L$1048576,12,0),"")</f>
        <v>Register Load and Transfer</v>
      </c>
      <c r="R6" s="27">
        <v>0</v>
      </c>
      <c r="S6" s="224">
        <v>0</v>
      </c>
      <c r="V6" s="238"/>
      <c r="W6" s="238"/>
      <c r="X6" s="238"/>
      <c r="Y6" s="238"/>
      <c r="Z6" s="238"/>
      <c r="AA6" s="238"/>
      <c r="AB6" s="238"/>
      <c r="AC6" s="238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24">
        <v>0</v>
      </c>
      <c r="V7" s="239"/>
      <c r="W7" s="239"/>
      <c r="X7" s="239"/>
      <c r="Y7" s="239"/>
      <c r="Z7" s="239"/>
      <c r="AA7" s="239"/>
      <c r="AB7" s="239"/>
      <c r="AC7" s="239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28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24">
        <v>0</v>
      </c>
      <c r="V8" s="239"/>
      <c r="W8" s="239"/>
      <c r="X8" s="239"/>
      <c r="Y8" s="239"/>
      <c r="Z8" s="239"/>
      <c r="AA8" s="239"/>
      <c r="AB8" s="239"/>
      <c r="AC8" s="239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28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24">
        <v>0</v>
      </c>
      <c r="V9" s="239"/>
      <c r="W9" s="239"/>
      <c r="X9" s="239"/>
      <c r="Y9" s="239"/>
      <c r="Z9" s="239"/>
      <c r="AA9" s="239"/>
      <c r="AB9" s="239"/>
      <c r="AC9" s="239"/>
    </row>
    <row r="10" spans="1:33" ht="15.75" thickBot="1">
      <c r="D10" s="139"/>
      <c r="E10" s="139"/>
      <c r="F10" s="139"/>
      <c r="G10" s="139"/>
      <c r="H10" s="229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24">
        <v>0</v>
      </c>
      <c r="V10" s="239"/>
      <c r="W10" s="239"/>
      <c r="X10" s="239"/>
      <c r="Y10" s="239"/>
      <c r="Z10" s="239"/>
      <c r="AA10" s="239"/>
      <c r="AB10" s="239"/>
      <c r="AC10" s="239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43" t="s">
        <v>2232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24">
        <v>0</v>
      </c>
      <c r="V11" s="239"/>
      <c r="W11" s="239"/>
      <c r="X11" s="239"/>
      <c r="Y11" s="239"/>
      <c r="Z11" s="239"/>
      <c r="AA11" s="239"/>
      <c r="AB11" s="239"/>
      <c r="AC11" s="239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30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24">
        <v>0</v>
      </c>
      <c r="V12" s="239"/>
      <c r="W12" s="239"/>
      <c r="X12" s="239"/>
      <c r="Y12" s="239"/>
      <c r="Z12" s="239"/>
      <c r="AA12" s="239"/>
      <c r="AB12" s="239"/>
      <c r="AC12" s="239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2195</v>
      </c>
      <c r="G13" s="78"/>
      <c r="H13" s="230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24">
        <v>0</v>
      </c>
      <c r="V13" s="239"/>
      <c r="W13" s="239"/>
      <c r="X13" s="239"/>
      <c r="Y13" s="239"/>
      <c r="Z13" s="239"/>
      <c r="AA13" s="239"/>
      <c r="AB13" s="239"/>
      <c r="AC13" s="239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24">
        <v>0</v>
      </c>
      <c r="V14" s="239"/>
      <c r="W14" s="239"/>
      <c r="X14" s="239"/>
      <c r="Y14" s="239"/>
      <c r="Z14" s="239"/>
      <c r="AA14" s="239"/>
      <c r="AB14" s="239"/>
      <c r="AC14" s="239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24">
        <v>0</v>
      </c>
      <c r="V15" s="239"/>
      <c r="W15" s="239"/>
      <c r="X15" s="239"/>
      <c r="Y15" s="239"/>
      <c r="Z15" s="239"/>
      <c r="AA15" s="239"/>
      <c r="AB15" s="239"/>
      <c r="AC15" s="239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24">
        <v>0</v>
      </c>
      <c r="V16" s="239"/>
      <c r="W16" s="239"/>
      <c r="X16" s="239"/>
      <c r="Y16" s="239"/>
      <c r="Z16" s="239"/>
      <c r="AA16" s="239"/>
      <c r="AB16" s="239"/>
      <c r="AC16" s="239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24">
        <v>0</v>
      </c>
      <c r="V17" s="239"/>
      <c r="W17" s="239"/>
      <c r="X17" s="239"/>
      <c r="Y17" s="239"/>
      <c r="Z17" s="239"/>
      <c r="AA17" s="239"/>
      <c r="AB17" s="239"/>
      <c r="AC17" s="239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44" t="s">
        <v>2232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24">
        <v>0</v>
      </c>
      <c r="V18" s="239"/>
      <c r="W18" s="239"/>
      <c r="X18" s="239"/>
      <c r="Y18" s="239"/>
      <c r="Z18" s="239"/>
      <c r="AA18" s="239"/>
      <c r="AB18" s="239"/>
      <c r="AC18" s="239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31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24">
        <v>0</v>
      </c>
      <c r="V19" s="239"/>
      <c r="W19" s="239"/>
      <c r="X19" s="239"/>
      <c r="Y19" s="239"/>
      <c r="Z19" s="239"/>
      <c r="AA19" s="239"/>
      <c r="AB19" s="239"/>
      <c r="AC19" s="239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31" t="s">
        <v>2067</v>
      </c>
      <c r="I20" s="52" t="s">
        <v>242</v>
      </c>
      <c r="J20" s="70" t="b" cm="1">
        <f t="array" aca="1" ref="J20" ca="1">RIGHT("00"&amp;INDIRECT("R_"&amp;H20),2)=RIGHT("00"&amp;I20,2)</f>
        <v>1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24">
        <v>0</v>
      </c>
      <c r="V20" s="239"/>
      <c r="W20" s="239"/>
      <c r="X20" s="239"/>
      <c r="Y20" s="239"/>
      <c r="Z20" s="239"/>
      <c r="AA20" s="239"/>
      <c r="AB20" s="239"/>
      <c r="AC20" s="239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31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24">
        <v>0</v>
      </c>
      <c r="V21" s="239"/>
      <c r="W21" s="239"/>
      <c r="X21" s="239"/>
      <c r="Y21" s="239"/>
      <c r="Z21" s="239"/>
      <c r="AA21" s="239"/>
      <c r="AB21" s="239"/>
      <c r="AC21" s="239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31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24">
        <v>0</v>
      </c>
      <c r="V22" s="239"/>
      <c r="W22" s="239"/>
      <c r="X22" s="239"/>
      <c r="Y22" s="239"/>
      <c r="Z22" s="239"/>
      <c r="AA22" s="239"/>
      <c r="AB22" s="239"/>
      <c r="AC22" s="239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24">
        <v>0</v>
      </c>
      <c r="V23" s="239"/>
      <c r="W23" s="239"/>
      <c r="X23" s="239"/>
      <c r="Y23" s="239"/>
      <c r="Z23" s="239"/>
      <c r="AA23" s="239"/>
      <c r="AB23" s="239"/>
      <c r="AC23" s="239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44" t="s">
        <v>2232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24">
        <v>0</v>
      </c>
      <c r="V24" s="239"/>
      <c r="W24" s="239"/>
      <c r="X24" s="239"/>
      <c r="Y24" s="239"/>
      <c r="Z24" s="239"/>
      <c r="AA24" s="239"/>
      <c r="AB24" s="239"/>
      <c r="AC24" s="239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31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24">
        <v>0</v>
      </c>
      <c r="V25" s="239"/>
      <c r="W25" s="239"/>
      <c r="X25" s="239"/>
      <c r="Y25" s="239"/>
      <c r="Z25" s="239"/>
      <c r="AA25" s="239"/>
      <c r="AB25" s="239"/>
      <c r="AC25" s="239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31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24">
        <v>0</v>
      </c>
      <c r="V26" s="239"/>
      <c r="W26" s="239"/>
      <c r="X26" s="239"/>
      <c r="Y26" s="239"/>
      <c r="Z26" s="239"/>
      <c r="AA26" s="239"/>
      <c r="AB26" s="239"/>
      <c r="AC26" s="239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31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0</v>
      </c>
      <c r="S27" s="224">
        <v>0</v>
      </c>
      <c r="V27" s="239"/>
      <c r="W27" s="239"/>
      <c r="X27" s="239"/>
      <c r="Y27" s="239"/>
      <c r="Z27" s="239"/>
      <c r="AA27" s="239"/>
      <c r="AB27" s="239"/>
      <c r="AC27" s="239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31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24">
        <v>0</v>
      </c>
      <c r="V28" s="239"/>
      <c r="W28" s="239"/>
      <c r="X28" s="239"/>
      <c r="Y28" s="239"/>
      <c r="Z28" s="239"/>
      <c r="AA28" s="239"/>
      <c r="AB28" s="239"/>
      <c r="AC28" s="239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31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24">
        <v>0</v>
      </c>
      <c r="V29" s="239"/>
      <c r="W29" s="239"/>
      <c r="X29" s="239"/>
      <c r="Y29" s="239"/>
      <c r="Z29" s="239"/>
      <c r="AA29" s="239"/>
      <c r="AB29" s="239"/>
      <c r="AC29" s="239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31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24">
        <v>0</v>
      </c>
      <c r="V30" s="239"/>
      <c r="W30" s="239"/>
      <c r="X30" s="239"/>
      <c r="Y30" s="239"/>
      <c r="Z30" s="239"/>
      <c r="AA30" s="239"/>
      <c r="AB30" s="239"/>
      <c r="AC30" s="239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31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24">
        <v>0</v>
      </c>
      <c r="V31" s="239"/>
      <c r="W31" s="239"/>
      <c r="X31" s="239"/>
      <c r="Y31" s="239"/>
      <c r="Z31" s="239"/>
      <c r="AA31" s="239"/>
      <c r="AB31" s="239"/>
      <c r="AC31" s="239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31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24">
        <v>0</v>
      </c>
      <c r="V32" s="239"/>
      <c r="W32" s="239"/>
      <c r="X32" s="239"/>
      <c r="Y32" s="239"/>
      <c r="Z32" s="239"/>
      <c r="AA32" s="239"/>
      <c r="AB32" s="239"/>
      <c r="AC32" s="239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31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24">
        <v>0</v>
      </c>
      <c r="V33" s="239"/>
      <c r="W33" s="239"/>
      <c r="X33" s="239"/>
      <c r="Y33" s="239"/>
      <c r="Z33" s="239"/>
      <c r="AA33" s="239"/>
      <c r="AB33" s="239"/>
      <c r="AC33" s="239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24">
        <v>0</v>
      </c>
      <c r="V34" s="239"/>
      <c r="W34" s="239"/>
      <c r="X34" s="239"/>
      <c r="Y34" s="239"/>
      <c r="Z34" s="239"/>
      <c r="AA34" s="239"/>
      <c r="AB34" s="239"/>
      <c r="AC34" s="239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44" t="s">
        <v>2232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24">
        <v>0</v>
      </c>
      <c r="V35" s="239"/>
      <c r="W35" s="239"/>
      <c r="X35" s="239"/>
      <c r="Y35" s="239"/>
      <c r="Z35" s="239"/>
      <c r="AA35" s="239"/>
      <c r="AB35" s="239"/>
      <c r="AC35" s="239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31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24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31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24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31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24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31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24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31"/>
      <c r="I40" s="52"/>
      <c r="J40" s="6"/>
      <c r="K40" s="6"/>
      <c r="L40" s="6"/>
      <c r="M40" s="6"/>
      <c r="N40" s="6"/>
      <c r="P40" s="57"/>
      <c r="Q40" s="27"/>
      <c r="R40" s="27"/>
      <c r="S40" s="224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31"/>
      <c r="I41" s="52"/>
      <c r="J41" s="6"/>
      <c r="K41" s="6"/>
      <c r="L41" s="6"/>
      <c r="M41" s="6"/>
      <c r="N41" s="6"/>
      <c r="P41" s="57"/>
      <c r="Q41" s="27"/>
      <c r="R41" s="27"/>
      <c r="S41" s="224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31"/>
      <c r="I42" s="52"/>
      <c r="J42" s="6"/>
      <c r="K42" s="6"/>
      <c r="L42" s="6"/>
      <c r="M42" s="6"/>
      <c r="N42" s="6"/>
      <c r="P42" s="57"/>
      <c r="Q42" s="27"/>
      <c r="R42" s="27"/>
      <c r="S42" s="224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31"/>
      <c r="I43" s="52"/>
      <c r="J43" s="6"/>
      <c r="K43" s="6"/>
      <c r="L43" s="6"/>
      <c r="M43" s="6"/>
      <c r="N43" s="6"/>
      <c r="P43" s="57"/>
      <c r="Q43" s="27"/>
      <c r="R43" s="27"/>
      <c r="S43" s="224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31"/>
      <c r="I44" s="52"/>
      <c r="J44" s="6"/>
      <c r="K44" s="6"/>
      <c r="L44" s="6"/>
      <c r="M44" s="6"/>
      <c r="N44" s="6"/>
      <c r="P44" s="57"/>
      <c r="Q44" s="27"/>
      <c r="R44" s="27"/>
      <c r="S44" s="224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31"/>
      <c r="I45" s="52"/>
      <c r="J45" s="6"/>
      <c r="K45" s="6"/>
      <c r="L45" s="6"/>
      <c r="M45" s="6"/>
      <c r="N45" s="6"/>
      <c r="P45" s="57"/>
      <c r="Q45" s="27"/>
      <c r="R45" s="27"/>
      <c r="S45" s="224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24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43" t="s">
        <v>2232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24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32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24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31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24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31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24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31"/>
      <c r="I51" s="52"/>
      <c r="J51" s="6"/>
      <c r="K51" s="6"/>
      <c r="L51" s="6"/>
      <c r="M51" s="6"/>
      <c r="N51" s="6"/>
      <c r="P51" s="57"/>
      <c r="Q51" s="27"/>
      <c r="R51" s="27"/>
      <c r="S51" s="224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31"/>
      <c r="I52" s="52"/>
      <c r="J52" s="6"/>
      <c r="K52" s="6"/>
      <c r="L52" s="6"/>
      <c r="M52" s="6"/>
      <c r="N52" s="6"/>
      <c r="P52" s="57"/>
      <c r="Q52" s="27"/>
      <c r="R52" s="27"/>
      <c r="S52" s="224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31"/>
      <c r="I53" s="52"/>
      <c r="J53" s="6"/>
      <c r="K53" s="6"/>
      <c r="L53" s="6"/>
      <c r="M53" s="6"/>
      <c r="N53" s="6"/>
      <c r="P53" s="57"/>
      <c r="Q53" s="27"/>
      <c r="R53" s="27"/>
      <c r="S53" s="224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31"/>
      <c r="I54" s="52"/>
      <c r="J54" s="6"/>
      <c r="K54" s="6"/>
      <c r="L54" s="6"/>
      <c r="M54" s="6"/>
      <c r="N54" s="6"/>
      <c r="P54" s="57"/>
      <c r="Q54" s="27"/>
      <c r="R54" s="27"/>
      <c r="S54" s="224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24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43" t="s">
        <v>2232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24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32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24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31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24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31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24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31"/>
      <c r="I60" s="52"/>
      <c r="J60" s="6"/>
      <c r="K60" s="6"/>
      <c r="L60" s="6"/>
      <c r="M60" s="6"/>
      <c r="N60" s="6"/>
      <c r="P60" s="57"/>
      <c r="Q60" s="27"/>
      <c r="R60" s="27"/>
      <c r="S60" s="224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31"/>
      <c r="I61" s="52"/>
      <c r="J61" s="6"/>
      <c r="K61" s="6"/>
      <c r="L61" s="6"/>
      <c r="M61" s="6"/>
      <c r="N61" s="6"/>
      <c r="P61" s="57"/>
      <c r="Q61" s="27"/>
      <c r="R61" s="27"/>
      <c r="S61" s="224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31"/>
      <c r="I62" s="52"/>
      <c r="J62" s="6"/>
      <c r="K62" s="6"/>
      <c r="L62" s="6"/>
      <c r="M62" s="6"/>
      <c r="N62" s="6"/>
      <c r="P62" s="57"/>
      <c r="Q62" s="27"/>
      <c r="R62" s="27"/>
      <c r="S62" s="224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31"/>
      <c r="I63" s="52"/>
      <c r="J63" s="6"/>
      <c r="K63" s="6"/>
      <c r="L63" s="6"/>
      <c r="M63" s="6"/>
      <c r="N63" s="6"/>
      <c r="P63" s="57"/>
      <c r="Q63" s="27"/>
      <c r="R63" s="27"/>
      <c r="S63" s="224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24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44" t="s">
        <v>2232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24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31" t="s">
        <v>146</v>
      </c>
      <c r="I66" s="52" t="s">
        <v>198</v>
      </c>
      <c r="J66" s="70" t="b" cm="1">
        <f t="array" aca="1" ref="J66" ca="1">RIGHT("00"&amp;INDIRECT("R_"&amp;H66),2)=RIGHT("00"&amp;I66,2)</f>
        <v>0</v>
      </c>
      <c r="K66" s="6"/>
      <c r="L66" s="6"/>
      <c r="M66" s="6"/>
      <c r="N66" s="6"/>
      <c r="P66" s="57"/>
      <c r="Q66" s="27"/>
      <c r="R66" s="27"/>
      <c r="S66" s="224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31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24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31"/>
      <c r="I68" s="52"/>
      <c r="J68" s="6"/>
      <c r="K68" s="6"/>
      <c r="L68" s="6"/>
      <c r="M68" s="6"/>
      <c r="N68" s="6"/>
      <c r="P68" s="57"/>
      <c r="Q68" s="27"/>
      <c r="R68" s="27"/>
      <c r="S68" s="224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31"/>
      <c r="I69" s="52"/>
      <c r="J69" s="6"/>
      <c r="K69" s="6"/>
      <c r="L69" s="6"/>
      <c r="M69" s="6"/>
      <c r="N69" s="6"/>
      <c r="P69" s="57"/>
      <c r="Q69" s="27"/>
      <c r="R69" s="27"/>
      <c r="S69" s="224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31"/>
      <c r="I70" s="52"/>
      <c r="J70" s="6"/>
      <c r="K70" s="6"/>
      <c r="L70" s="6"/>
      <c r="M70" s="6"/>
      <c r="N70" s="6"/>
      <c r="P70" s="57"/>
      <c r="Q70" s="27"/>
      <c r="R70" s="27"/>
      <c r="S70" s="224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24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44" t="s">
        <v>2232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24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31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24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31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24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31"/>
      <c r="I75" s="52"/>
      <c r="J75" s="6"/>
      <c r="K75" s="6"/>
      <c r="L75" s="6"/>
      <c r="M75" s="6"/>
      <c r="N75" s="6"/>
      <c r="P75" s="57"/>
      <c r="Q75" s="27"/>
      <c r="R75" s="27"/>
      <c r="S75" s="224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31"/>
      <c r="I76" s="52"/>
      <c r="J76" s="6"/>
      <c r="K76" s="6"/>
      <c r="L76" s="6"/>
      <c r="M76" s="6"/>
      <c r="N76" s="6"/>
      <c r="P76" s="57"/>
      <c r="Q76" s="27"/>
      <c r="R76" s="27"/>
      <c r="S76" s="224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24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44" t="s">
        <v>2232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24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31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24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31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24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31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24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31"/>
      <c r="I82" s="52"/>
      <c r="J82" s="6"/>
      <c r="K82" s="6"/>
      <c r="L82" s="6"/>
      <c r="M82" s="6"/>
      <c r="N82" s="6"/>
      <c r="P82" s="57"/>
      <c r="Q82" s="27"/>
      <c r="R82" s="27"/>
      <c r="S82" s="224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31"/>
      <c r="I83" s="52"/>
      <c r="J83" s="6"/>
      <c r="K83" s="6"/>
      <c r="L83" s="6"/>
      <c r="M83" s="6"/>
      <c r="N83" s="6"/>
      <c r="P83" s="57"/>
      <c r="Q83" s="27"/>
      <c r="R83" s="27"/>
      <c r="S83" s="224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31"/>
      <c r="I84" s="52"/>
      <c r="J84" s="6"/>
      <c r="K84" s="6"/>
      <c r="L84" s="6"/>
      <c r="M84" s="6"/>
      <c r="N84" s="6"/>
      <c r="P84" s="57"/>
      <c r="Q84" s="27"/>
      <c r="R84" s="27"/>
      <c r="S84" s="224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24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44" t="s">
        <v>2232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24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31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24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31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24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31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24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31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24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24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44" t="s">
        <v>2232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24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31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24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31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24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31"/>
      <c r="I95" s="52"/>
      <c r="J95" s="6"/>
      <c r="K95" s="6"/>
      <c r="L95" s="6"/>
      <c r="M95" s="6"/>
      <c r="N95" s="6"/>
      <c r="P95" s="57"/>
      <c r="Q95" s="27"/>
      <c r="R95" s="27"/>
      <c r="S95" s="224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31"/>
      <c r="I96" s="52"/>
      <c r="J96" s="6"/>
      <c r="K96" s="6"/>
      <c r="L96" s="6"/>
      <c r="M96" s="6"/>
      <c r="N96" s="6"/>
      <c r="P96" s="57"/>
      <c r="Q96" s="27"/>
      <c r="R96" s="27"/>
      <c r="S96" s="224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31"/>
      <c r="I97" s="52"/>
      <c r="J97" s="6"/>
      <c r="K97" s="6"/>
      <c r="L97" s="6"/>
      <c r="M97" s="6"/>
      <c r="N97" s="6"/>
      <c r="P97" s="57"/>
      <c r="Q97" s="27"/>
      <c r="R97" s="27"/>
      <c r="S97" s="224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31"/>
      <c r="I98" s="52"/>
      <c r="J98" s="6"/>
      <c r="K98" s="6"/>
      <c r="L98" s="6"/>
      <c r="M98" s="6"/>
      <c r="N98" s="6"/>
      <c r="P98" s="57"/>
      <c r="Q98" s="27"/>
      <c r="R98" s="27"/>
      <c r="S98" s="224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31"/>
      <c r="I99" s="52"/>
      <c r="J99" s="6"/>
      <c r="K99" s="6"/>
      <c r="L99" s="6"/>
      <c r="M99" s="6"/>
      <c r="N99" s="6"/>
      <c r="P99" s="57"/>
      <c r="Q99" s="27"/>
      <c r="R99" s="27"/>
      <c r="S99" s="224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24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0</v>
      </c>
      <c r="K101" s="244" t="s">
        <v>2232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24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31" t="s">
        <v>146</v>
      </c>
      <c r="I102" s="52" t="s">
        <v>346</v>
      </c>
      <c r="J102" s="70" t="b" cm="1">
        <f t="array" aca="1" ref="J102" ca="1">RIGHT("00"&amp;INDIRECT("R_"&amp;H102),2)=RIGHT("00"&amp;I102,2)</f>
        <v>1</v>
      </c>
      <c r="K102" s="6"/>
      <c r="L102" s="6"/>
      <c r="M102" s="6"/>
      <c r="N102" s="6"/>
      <c r="P102" s="57"/>
      <c r="Q102" s="27"/>
      <c r="R102" s="27"/>
      <c r="S102" s="224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31"/>
      <c r="I103" s="52"/>
      <c r="J103" s="6"/>
      <c r="K103" s="6"/>
      <c r="L103" s="6"/>
      <c r="M103" s="6"/>
      <c r="N103" s="6"/>
      <c r="P103" s="57"/>
      <c r="Q103" s="27"/>
      <c r="R103" s="27"/>
      <c r="S103" s="224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31"/>
      <c r="I104" s="52"/>
      <c r="J104" s="6"/>
      <c r="K104" s="6"/>
      <c r="L104" s="6"/>
      <c r="M104" s="6"/>
      <c r="N104" s="6"/>
      <c r="P104" s="57"/>
      <c r="Q104" s="27"/>
      <c r="R104" s="27"/>
      <c r="S104" s="224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31"/>
      <c r="I105" s="52"/>
      <c r="J105" s="6"/>
      <c r="K105" s="6"/>
      <c r="L105" s="6"/>
      <c r="M105" s="6"/>
      <c r="N105" s="6"/>
      <c r="P105" s="57"/>
      <c r="Q105" s="27"/>
      <c r="R105" s="27"/>
      <c r="S105" s="224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31"/>
      <c r="I106" s="52"/>
      <c r="J106" s="6"/>
      <c r="K106" s="6"/>
      <c r="L106" s="6"/>
      <c r="M106" s="6"/>
      <c r="N106" s="6"/>
      <c r="P106" s="57"/>
      <c r="Q106" s="27"/>
      <c r="R106" s="27"/>
      <c r="S106" s="224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24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44" t="s">
        <v>2232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24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31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24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31" t="s">
        <v>2067</v>
      </c>
      <c r="I110" s="52" t="s">
        <v>242</v>
      </c>
      <c r="J110" s="70" t="b" cm="1">
        <f t="array" aca="1" ref="J110" ca="1">RIGHT("00"&amp;INDIRECT("R_"&amp;H110),2)=RIGHT("00"&amp;I110,2)</f>
        <v>1</v>
      </c>
      <c r="K110" s="6"/>
      <c r="L110" s="6"/>
      <c r="M110" s="6"/>
      <c r="N110" s="6"/>
      <c r="P110" s="57"/>
      <c r="Q110" s="27"/>
      <c r="R110" s="27"/>
      <c r="S110" s="224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31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24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31"/>
      <c r="I112" s="52"/>
      <c r="J112" s="6"/>
      <c r="K112" s="6"/>
      <c r="L112" s="6"/>
      <c r="M112" s="6"/>
      <c r="N112" s="6"/>
      <c r="P112" s="57"/>
      <c r="Q112" s="27"/>
      <c r="R112" s="27"/>
      <c r="S112" s="224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31"/>
      <c r="I113" s="52"/>
      <c r="J113" s="6"/>
      <c r="K113" s="6"/>
      <c r="L113" s="6"/>
      <c r="M113" s="6"/>
      <c r="N113" s="6"/>
      <c r="P113" s="57"/>
      <c r="Q113" s="27"/>
      <c r="R113" s="27"/>
      <c r="S113" s="224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31"/>
      <c r="I114" s="52"/>
      <c r="J114" s="6"/>
      <c r="K114" s="6"/>
      <c r="L114" s="6"/>
      <c r="M114" s="6"/>
      <c r="N114" s="6"/>
      <c r="P114" s="57"/>
      <c r="Q114" s="27"/>
      <c r="R114" s="27"/>
      <c r="S114" s="224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31"/>
      <c r="I115" s="52"/>
      <c r="J115" s="6"/>
      <c r="K115" s="6"/>
      <c r="L115" s="6"/>
      <c r="M115" s="6"/>
      <c r="N115" s="6"/>
      <c r="P115" s="57"/>
      <c r="Q115" s="27"/>
      <c r="R115" s="27"/>
      <c r="S115" s="224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31"/>
      <c r="I116" s="52"/>
      <c r="J116" s="6"/>
      <c r="K116" s="6"/>
      <c r="L116" s="6"/>
      <c r="M116" s="6"/>
      <c r="N116" s="6"/>
      <c r="P116" s="57"/>
      <c r="Q116" s="27"/>
      <c r="R116" s="27"/>
      <c r="S116" s="224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31"/>
      <c r="I117" s="52"/>
      <c r="J117" s="6"/>
      <c r="K117" s="6"/>
      <c r="L117" s="6"/>
      <c r="M117" s="6"/>
      <c r="N117" s="6"/>
      <c r="P117" s="57"/>
      <c r="Q117" s="27"/>
      <c r="R117" s="27"/>
      <c r="S117" s="224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24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44" t="s">
        <v>2232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24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31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24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31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24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31" t="s">
        <v>146</v>
      </c>
      <c r="I122" s="52" t="s">
        <v>198</v>
      </c>
      <c r="J122" s="70" t="b" cm="1">
        <f t="array" aca="1" ref="J122" ca="1">RIGHT("00"&amp;INDIRECT("R_"&amp;H122),2)=RIGHT("00"&amp;I122,2)</f>
        <v>0</v>
      </c>
      <c r="K122" s="6"/>
      <c r="L122" s="6"/>
      <c r="M122" s="6"/>
      <c r="N122" s="6"/>
      <c r="P122" s="57"/>
      <c r="Q122" s="27"/>
      <c r="R122" s="27"/>
      <c r="S122" s="224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31"/>
      <c r="I123" s="52"/>
      <c r="J123" s="6"/>
      <c r="K123" s="6"/>
      <c r="L123" s="6"/>
      <c r="M123" s="6"/>
      <c r="N123" s="6"/>
      <c r="P123" s="57"/>
      <c r="Q123" s="27"/>
      <c r="R123" s="27"/>
      <c r="S123" s="224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31"/>
      <c r="I124" s="52"/>
      <c r="J124" s="6"/>
      <c r="K124" s="6"/>
      <c r="L124" s="6"/>
      <c r="M124" s="6"/>
      <c r="N124" s="6"/>
      <c r="P124" s="57"/>
      <c r="Q124" s="27"/>
      <c r="R124" s="27"/>
      <c r="S124" s="224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31"/>
      <c r="I125" s="52"/>
      <c r="J125" s="6"/>
      <c r="K125" s="6"/>
      <c r="L125" s="6"/>
      <c r="M125" s="6"/>
      <c r="N125" s="6"/>
      <c r="P125" s="8"/>
      <c r="Q125" s="225"/>
      <c r="R125" s="225"/>
      <c r="S125" s="226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31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31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31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44" t="s">
        <v>2232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31" t="s">
        <v>146</v>
      </c>
      <c r="I131" s="52" t="s">
        <v>346</v>
      </c>
      <c r="J131" s="70" t="b" cm="1">
        <f t="array" aca="1" ref="J131" ca="1">RIGHT("00"&amp;INDIRECT("R_"&amp;H131),2)=RIGHT("00"&amp;I131,2)</f>
        <v>1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31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31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31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31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31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31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31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31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31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31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31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44" t="s">
        <v>2232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31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31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31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31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31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31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31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31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31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31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31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31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31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31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31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31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31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31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31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31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31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31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31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31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43" t="s">
        <v>2232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2198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 t="shared" ref="B173:B179" si="7">DEC2HEX(C173)</f>
        <v>0</v>
      </c>
      <c r="C173" s="27">
        <v>0</v>
      </c>
      <c r="D173" s="199"/>
      <c r="E173" s="199" t="s">
        <v>2005</v>
      </c>
      <c r="F173" s="200" t="s">
        <v>2199</v>
      </c>
      <c r="G173" s="78"/>
      <c r="H173" s="232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 t="shared" si="7"/>
        <v>1</v>
      </c>
      <c r="C174" s="6">
        <v>1</v>
      </c>
      <c r="D174" s="203"/>
      <c r="E174" s="199" t="s">
        <v>1986</v>
      </c>
      <c r="F174" s="200" t="s">
        <v>2199</v>
      </c>
      <c r="G174" s="79"/>
      <c r="H174" s="231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 t="shared" si="7"/>
        <v>2</v>
      </c>
      <c r="C175" s="6">
        <v>2</v>
      </c>
      <c r="D175" s="203"/>
      <c r="E175" s="199" t="s">
        <v>1986</v>
      </c>
      <c r="F175" s="200" t="s">
        <v>2200</v>
      </c>
      <c r="G175" s="79"/>
      <c r="H175" s="231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 t="shared" si="7"/>
        <v>3</v>
      </c>
      <c r="C176" s="6">
        <v>3</v>
      </c>
      <c r="D176" s="203"/>
      <c r="E176" s="199" t="s">
        <v>2009</v>
      </c>
      <c r="F176" s="200" t="s">
        <v>2201</v>
      </c>
      <c r="G176" s="79"/>
      <c r="H176" s="231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 t="shared" si="7"/>
        <v>4</v>
      </c>
      <c r="C177" s="6">
        <v>4</v>
      </c>
      <c r="D177" s="203"/>
      <c r="E177" s="199" t="s">
        <v>1988</v>
      </c>
      <c r="F177" s="200" t="s">
        <v>2202</v>
      </c>
      <c r="G177" s="79"/>
      <c r="H177" s="231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 t="shared" si="7"/>
        <v>5</v>
      </c>
      <c r="C178" s="6">
        <v>5</v>
      </c>
      <c r="D178" s="203"/>
      <c r="E178" s="199" t="s">
        <v>1988</v>
      </c>
      <c r="F178" s="200" t="s">
        <v>2201</v>
      </c>
      <c r="G178" s="79"/>
      <c r="H178" s="231"/>
      <c r="I178" s="52"/>
      <c r="J178" s="6"/>
      <c r="K178" s="6"/>
      <c r="L178" s="6"/>
      <c r="M178" s="6"/>
      <c r="N178" s="6"/>
    </row>
    <row r="179" spans="1:14">
      <c r="B179" s="6" t="str">
        <f t="shared" si="7"/>
        <v>6</v>
      </c>
      <c r="C179" s="6">
        <v>6</v>
      </c>
      <c r="D179" s="203"/>
      <c r="E179" s="199" t="s">
        <v>182</v>
      </c>
      <c r="F179" s="200"/>
      <c r="G179" s="79"/>
      <c r="H179" s="231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43" t="s">
        <v>2232</v>
      </c>
      <c r="L181" s="54" t="s">
        <v>2203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 t="shared" ref="B182:B190" si="8">DEC2HEX(C182)</f>
        <v>0</v>
      </c>
      <c r="C182" s="6">
        <v>0</v>
      </c>
      <c r="D182" s="203"/>
      <c r="E182" s="199" t="s">
        <v>727</v>
      </c>
      <c r="F182" s="200" t="s">
        <v>2204</v>
      </c>
      <c r="G182" s="79"/>
      <c r="H182" s="231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 t="shared" si="8"/>
        <v>1</v>
      </c>
      <c r="C183" s="6">
        <v>1</v>
      </c>
      <c r="D183" s="203"/>
      <c r="E183" s="199" t="s">
        <v>1962</v>
      </c>
      <c r="F183" s="200" t="s">
        <v>2205</v>
      </c>
      <c r="G183" s="79"/>
      <c r="H183" s="231" t="s">
        <v>2067</v>
      </c>
      <c r="I183" s="52" t="s">
        <v>242</v>
      </c>
      <c r="J183" s="70" t="b" cm="1">
        <f t="array" aca="1" ref="J183" ca="1">RIGHT("00"&amp;INDIRECT("R_"&amp;H183),2)=RIGHT("00"&amp;I183,2)</f>
        <v>1</v>
      </c>
      <c r="K183" s="6"/>
      <c r="L183" s="6"/>
      <c r="M183" s="6"/>
      <c r="N183" s="6"/>
    </row>
    <row r="184" spans="1:14">
      <c r="B184" s="6" t="str">
        <f t="shared" si="8"/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31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 t="shared" si="8"/>
        <v>3</v>
      </c>
      <c r="C185" s="6">
        <v>3</v>
      </c>
      <c r="D185" s="203" t="s">
        <v>2205</v>
      </c>
      <c r="E185" s="199" t="s">
        <v>2005</v>
      </c>
      <c r="F185" s="200" t="s">
        <v>2190</v>
      </c>
      <c r="G185" s="79"/>
      <c r="H185" s="231"/>
      <c r="I185" s="52"/>
      <c r="J185" s="6"/>
      <c r="K185" s="6"/>
      <c r="L185" s="6"/>
      <c r="M185" s="6"/>
      <c r="N185" s="6"/>
    </row>
    <row r="186" spans="1:14">
      <c r="B186" s="6" t="str">
        <f t="shared" si="8"/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31"/>
      <c r="I186" s="52"/>
      <c r="J186" s="6"/>
      <c r="K186" s="6"/>
      <c r="L186" s="6"/>
      <c r="M186" s="6"/>
      <c r="N186" s="6"/>
    </row>
    <row r="187" spans="1:14">
      <c r="B187" s="6" t="str">
        <f t="shared" si="8"/>
        <v>5</v>
      </c>
      <c r="C187" s="6">
        <v>5</v>
      </c>
      <c r="D187" s="203"/>
      <c r="E187" s="199" t="s">
        <v>1966</v>
      </c>
      <c r="F187" s="200" t="s">
        <v>2206</v>
      </c>
      <c r="G187" s="79"/>
      <c r="H187" s="231"/>
      <c r="I187" s="52"/>
      <c r="J187" s="6"/>
      <c r="K187" s="6"/>
      <c r="L187" s="6"/>
      <c r="M187" s="6"/>
      <c r="N187" s="6"/>
    </row>
    <row r="188" spans="1:14">
      <c r="B188" s="6" t="str">
        <f t="shared" si="8"/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31"/>
      <c r="I188" s="52"/>
      <c r="J188" s="6"/>
      <c r="K188" s="6"/>
      <c r="L188" s="6"/>
      <c r="M188" s="6"/>
      <c r="N188" s="6"/>
    </row>
    <row r="189" spans="1:14">
      <c r="B189" s="6" t="str">
        <f t="shared" si="8"/>
        <v>7</v>
      </c>
      <c r="C189" s="6">
        <v>7</v>
      </c>
      <c r="D189" s="203" t="s">
        <v>2206</v>
      </c>
      <c r="E189" s="199" t="s">
        <v>727</v>
      </c>
      <c r="F189" s="200" t="s">
        <v>2207</v>
      </c>
      <c r="G189" s="79"/>
      <c r="H189" s="231"/>
      <c r="I189" s="52"/>
      <c r="J189" s="6"/>
      <c r="K189" s="6"/>
      <c r="L189" s="6"/>
      <c r="M189" s="6"/>
      <c r="N189" s="6"/>
    </row>
    <row r="190" spans="1:14">
      <c r="B190" s="6" t="str">
        <f t="shared" si="8"/>
        <v>8</v>
      </c>
      <c r="C190" s="6">
        <v>8</v>
      </c>
      <c r="D190" s="203"/>
      <c r="E190" s="199" t="s">
        <v>182</v>
      </c>
      <c r="F190" s="200"/>
      <c r="G190" s="79"/>
      <c r="H190" s="231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43" t="s">
        <v>2232</v>
      </c>
      <c r="L192" s="54" t="s">
        <v>2208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 t="shared" ref="B193:B203" si="9">DEC2HEX(C193)</f>
        <v>0</v>
      </c>
      <c r="C193" s="6">
        <v>0</v>
      </c>
      <c r="D193" s="203"/>
      <c r="E193" s="199" t="s">
        <v>727</v>
      </c>
      <c r="F193" s="200" t="s">
        <v>2209</v>
      </c>
      <c r="G193" s="79"/>
      <c r="H193" s="231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 t="shared" si="9"/>
        <v>1</v>
      </c>
      <c r="C194" s="6">
        <v>1</v>
      </c>
      <c r="D194" s="203"/>
      <c r="E194" s="199" t="s">
        <v>1977</v>
      </c>
      <c r="F194" s="200"/>
      <c r="G194" s="79"/>
      <c r="H194" s="231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 t="shared" si="9"/>
        <v>2</v>
      </c>
      <c r="C195" s="6">
        <v>2</v>
      </c>
      <c r="D195" s="203"/>
      <c r="E195" s="199" t="s">
        <v>327</v>
      </c>
      <c r="F195" s="200" t="s">
        <v>2209</v>
      </c>
      <c r="G195" s="79"/>
      <c r="H195" s="231" t="s">
        <v>2067</v>
      </c>
      <c r="I195" s="52" t="s">
        <v>242</v>
      </c>
      <c r="J195" s="70" t="b" cm="1">
        <f t="array" aca="1" ref="J195" ca="1">RIGHT("00"&amp;INDIRECT("R_"&amp;H195),2)=RIGHT("00"&amp;I195,2)</f>
        <v>1</v>
      </c>
      <c r="K195" s="6"/>
      <c r="L195" s="6"/>
      <c r="M195" s="6"/>
      <c r="N195" s="6"/>
    </row>
    <row r="196" spans="1:14">
      <c r="B196" s="6" t="str">
        <f t="shared" si="9"/>
        <v>3</v>
      </c>
      <c r="C196" s="6">
        <v>3</v>
      </c>
      <c r="D196" s="203"/>
      <c r="E196" s="199" t="s">
        <v>1970</v>
      </c>
      <c r="F196" s="200" t="s">
        <v>2210</v>
      </c>
      <c r="G196" s="79"/>
      <c r="H196" s="231"/>
      <c r="I196" s="52"/>
      <c r="J196" s="6"/>
      <c r="K196" s="6"/>
      <c r="L196" s="6"/>
      <c r="M196" s="6"/>
      <c r="N196" s="6"/>
    </row>
    <row r="197" spans="1:14">
      <c r="B197" s="6" t="str">
        <f t="shared" si="9"/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31"/>
      <c r="I197" s="52"/>
      <c r="J197" s="6"/>
      <c r="K197" s="6"/>
      <c r="L197" s="6"/>
      <c r="M197" s="6"/>
      <c r="N197" s="6"/>
    </row>
    <row r="198" spans="1:14">
      <c r="B198" s="6" t="str">
        <f t="shared" si="9"/>
        <v>5</v>
      </c>
      <c r="C198" s="6">
        <v>5</v>
      </c>
      <c r="D198" s="203" t="s">
        <v>2210</v>
      </c>
      <c r="E198" s="199" t="s">
        <v>2005</v>
      </c>
      <c r="F198" s="200" t="s">
        <v>2190</v>
      </c>
      <c r="G198" s="79"/>
      <c r="H198" s="231"/>
      <c r="I198" s="52"/>
      <c r="J198" s="6"/>
      <c r="K198" s="6"/>
      <c r="L198" s="6"/>
      <c r="M198" s="6"/>
      <c r="N198" s="6"/>
    </row>
    <row r="199" spans="1:14">
      <c r="B199" s="6" t="str">
        <f t="shared" si="9"/>
        <v>6</v>
      </c>
      <c r="C199" s="6">
        <v>6</v>
      </c>
      <c r="D199" s="203"/>
      <c r="E199" s="199" t="s">
        <v>1983</v>
      </c>
      <c r="F199" s="200"/>
      <c r="G199" s="79"/>
      <c r="H199" s="231"/>
      <c r="I199" s="52"/>
      <c r="J199" s="6"/>
      <c r="K199" s="6"/>
      <c r="L199" s="6"/>
      <c r="M199" s="6"/>
      <c r="N199" s="6"/>
    </row>
    <row r="200" spans="1:14">
      <c r="B200" s="6" t="str">
        <f t="shared" si="9"/>
        <v>7</v>
      </c>
      <c r="C200" s="6">
        <v>7</v>
      </c>
      <c r="D200" s="203"/>
      <c r="E200" s="199" t="s">
        <v>1968</v>
      </c>
      <c r="F200" s="200" t="s">
        <v>2211</v>
      </c>
      <c r="G200" s="79"/>
      <c r="H200" s="231"/>
      <c r="I200" s="52"/>
      <c r="J200" s="6"/>
      <c r="K200" s="6"/>
      <c r="L200" s="6"/>
      <c r="M200" s="6"/>
      <c r="N200" s="6"/>
    </row>
    <row r="201" spans="1:14">
      <c r="B201" s="6" t="str">
        <f t="shared" si="9"/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31"/>
      <c r="I201" s="52"/>
      <c r="J201" s="6"/>
      <c r="K201" s="6"/>
      <c r="L201" s="6"/>
      <c r="M201" s="6"/>
      <c r="N201" s="6"/>
    </row>
    <row r="202" spans="1:14">
      <c r="B202" s="6" t="str">
        <f t="shared" si="9"/>
        <v>9</v>
      </c>
      <c r="C202" s="6">
        <v>9</v>
      </c>
      <c r="D202" s="203" t="s">
        <v>2211</v>
      </c>
      <c r="E202" s="199" t="s">
        <v>727</v>
      </c>
      <c r="F202" s="200" t="s">
        <v>2212</v>
      </c>
      <c r="G202" s="79"/>
      <c r="H202" s="231"/>
      <c r="I202" s="52"/>
      <c r="J202" s="6"/>
      <c r="K202" s="6"/>
      <c r="L202" s="6"/>
      <c r="M202" s="6"/>
      <c r="N202" s="6"/>
    </row>
    <row r="203" spans="1:14">
      <c r="B203" s="6" t="str">
        <f t="shared" si="9"/>
        <v>A</v>
      </c>
      <c r="C203" s="6">
        <v>10</v>
      </c>
      <c r="D203" s="203"/>
      <c r="E203" s="199" t="s">
        <v>182</v>
      </c>
      <c r="F203" s="200"/>
      <c r="G203" s="79"/>
      <c r="H203" s="231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29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43" t="s">
        <v>2232</v>
      </c>
      <c r="L205" s="54" t="s">
        <v>2213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 t="shared" ref="B206:B213" si="10">DEC2HEX(C206)</f>
        <v>0</v>
      </c>
      <c r="C206" s="6">
        <v>0</v>
      </c>
      <c r="D206" s="203"/>
      <c r="E206" s="199" t="s">
        <v>2005</v>
      </c>
      <c r="F206" s="200" t="s">
        <v>2214</v>
      </c>
      <c r="G206" s="79"/>
      <c r="H206" s="231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 t="shared" si="10"/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31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 t="shared" si="10"/>
        <v>2</v>
      </c>
      <c r="C208" s="6">
        <v>2</v>
      </c>
      <c r="D208" s="203"/>
      <c r="E208" s="199" t="s">
        <v>2009</v>
      </c>
      <c r="F208" s="200" t="s">
        <v>2215</v>
      </c>
      <c r="G208" s="79"/>
      <c r="H208" s="231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 t="shared" si="10"/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31"/>
      <c r="I209" s="52"/>
      <c r="J209" s="6"/>
      <c r="K209" s="6"/>
      <c r="L209" s="6"/>
      <c r="M209" s="6"/>
      <c r="N209" s="6"/>
    </row>
    <row r="210" spans="1:14">
      <c r="B210" s="6" t="str">
        <f t="shared" si="10"/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31"/>
      <c r="I210" s="52"/>
      <c r="J210" s="6"/>
      <c r="K210" s="6"/>
      <c r="L210" s="6"/>
      <c r="M210" s="6"/>
      <c r="N210" s="6"/>
    </row>
    <row r="211" spans="1:14">
      <c r="B211" s="6" t="str">
        <f t="shared" si="10"/>
        <v>5</v>
      </c>
      <c r="C211" s="6">
        <v>5</v>
      </c>
      <c r="D211" s="203"/>
      <c r="E211" s="199" t="s">
        <v>2005</v>
      </c>
      <c r="F211" s="200" t="s">
        <v>2216</v>
      </c>
      <c r="G211" s="79"/>
      <c r="H211" s="231"/>
      <c r="I211" s="52"/>
      <c r="J211" s="6"/>
      <c r="K211" s="6"/>
      <c r="L211" s="6"/>
      <c r="M211" s="6"/>
      <c r="N211" s="6"/>
    </row>
    <row r="212" spans="1:14">
      <c r="B212" s="6" t="str">
        <f t="shared" si="10"/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31"/>
      <c r="I212" s="52"/>
      <c r="J212" s="6"/>
      <c r="K212" s="6"/>
      <c r="L212" s="6"/>
      <c r="M212" s="6"/>
      <c r="N212" s="6"/>
    </row>
    <row r="213" spans="1:14">
      <c r="B213" s="6" t="str">
        <f t="shared" si="10"/>
        <v>7</v>
      </c>
      <c r="C213" s="6">
        <v>7</v>
      </c>
      <c r="D213" s="203"/>
      <c r="E213" s="199" t="s">
        <v>182</v>
      </c>
      <c r="F213" s="200"/>
      <c r="G213" s="79"/>
      <c r="H213" s="231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43" t="s">
        <v>2232</v>
      </c>
      <c r="L215" s="54" t="s">
        <v>2217</v>
      </c>
      <c r="M215" s="20">
        <f>IFERROR(VLOOKUP($A215,$P$6:$S$1048576,3,0),0)</f>
        <v>0</v>
      </c>
      <c r="N215" s="20">
        <f>IFERROR(VLOOKUP($A215,$P$6:$S$1048576,4,0),0)</f>
        <v>0</v>
      </c>
    </row>
    <row r="216" spans="1:14">
      <c r="B216" s="6" t="str">
        <f>DEC2HEX(C216)</f>
        <v>0</v>
      </c>
      <c r="C216" s="6">
        <v>0</v>
      </c>
      <c r="D216" s="203" t="s">
        <v>2218</v>
      </c>
      <c r="E216" s="199" t="s">
        <v>158</v>
      </c>
      <c r="F216" s="200">
        <v>42</v>
      </c>
      <c r="G216" s="79"/>
      <c r="H216" s="231" t="s">
        <v>146</v>
      </c>
      <c r="I216" s="52">
        <v>42</v>
      </c>
      <c r="J216" s="70" t="b" cm="1">
        <f t="array" aca="1" ref="J216" ca="1">RIGHT("00"&amp;INDIRECT("R_"&amp;H216),2)=RIGHT("00"&amp;I216,2)</f>
        <v>1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2219</v>
      </c>
      <c r="G217" s="79"/>
      <c r="H217" s="231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31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31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43" t="s">
        <v>2232</v>
      </c>
      <c r="L221" s="54" t="s">
        <v>2220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 t="shared" ref="B222:B228" si="11">DEC2HEX(C222)</f>
        <v>0</v>
      </c>
      <c r="C222" s="6">
        <v>0</v>
      </c>
      <c r="D222" s="203"/>
      <c r="E222" s="199" t="s">
        <v>2032</v>
      </c>
      <c r="F222" s="200"/>
      <c r="G222" s="79"/>
      <c r="H222" s="231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 t="shared" si="11"/>
        <v>1</v>
      </c>
      <c r="C223" s="6">
        <v>1</v>
      </c>
      <c r="D223" s="203"/>
      <c r="E223" s="199" t="s">
        <v>2036</v>
      </c>
      <c r="F223" s="200"/>
      <c r="G223" s="79"/>
      <c r="H223" s="231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 t="shared" si="11"/>
        <v>2</v>
      </c>
      <c r="C224" s="6">
        <v>2</v>
      </c>
      <c r="D224" s="203"/>
      <c r="E224" s="199" t="s">
        <v>2017</v>
      </c>
      <c r="F224" s="200"/>
      <c r="G224" s="79"/>
      <c r="H224" s="231"/>
      <c r="I224" s="52"/>
      <c r="J224" s="6"/>
      <c r="K224" s="6"/>
      <c r="L224" s="6"/>
      <c r="M224" s="6"/>
      <c r="N224" s="6"/>
    </row>
    <row r="225" spans="1:14">
      <c r="B225" s="6" t="str">
        <f t="shared" si="11"/>
        <v>3</v>
      </c>
      <c r="C225" s="6">
        <v>3</v>
      </c>
      <c r="D225" s="203"/>
      <c r="E225" s="199" t="s">
        <v>1977</v>
      </c>
      <c r="F225" s="200"/>
      <c r="G225" s="79"/>
      <c r="H225" s="231"/>
      <c r="I225" s="52"/>
      <c r="J225" s="6"/>
      <c r="K225" s="6"/>
      <c r="L225" s="6"/>
      <c r="M225" s="6"/>
      <c r="N225" s="6"/>
    </row>
    <row r="226" spans="1:14">
      <c r="B226" s="6" t="str">
        <f t="shared" si="11"/>
        <v>4</v>
      </c>
      <c r="C226" s="6">
        <v>4</v>
      </c>
      <c r="D226" s="203"/>
      <c r="E226" s="199" t="s">
        <v>1981</v>
      </c>
      <c r="F226" s="200"/>
      <c r="G226" s="79"/>
      <c r="H226" s="231"/>
      <c r="I226" s="52"/>
      <c r="J226" s="6"/>
      <c r="K226" s="6"/>
      <c r="L226" s="6"/>
      <c r="M226" s="6"/>
      <c r="N226" s="6"/>
    </row>
    <row r="227" spans="1:14">
      <c r="B227" s="6" t="str">
        <f t="shared" si="11"/>
        <v>5</v>
      </c>
      <c r="C227" s="6">
        <v>5</v>
      </c>
      <c r="D227" s="203"/>
      <c r="E227" s="199" t="s">
        <v>2021</v>
      </c>
      <c r="F227" s="200"/>
      <c r="G227" s="79"/>
      <c r="H227" s="231"/>
      <c r="I227" s="52"/>
      <c r="J227" s="6"/>
      <c r="K227" s="6"/>
      <c r="L227" s="6"/>
      <c r="M227" s="6"/>
      <c r="N227" s="6"/>
    </row>
    <row r="228" spans="1:14">
      <c r="B228" s="6" t="str">
        <f t="shared" si="11"/>
        <v>6</v>
      </c>
      <c r="C228" s="6">
        <v>6</v>
      </c>
      <c r="D228" s="203"/>
      <c r="E228" s="199" t="s">
        <v>182</v>
      </c>
      <c r="F228" s="200"/>
      <c r="G228" s="79"/>
      <c r="H228" s="231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43" t="s">
        <v>2232</v>
      </c>
      <c r="L230" s="54" t="s">
        <v>2221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 t="shared" ref="B231:B237" si="12"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31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 t="shared" si="12"/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31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 t="shared" si="12"/>
        <v>2</v>
      </c>
      <c r="C233" s="6">
        <v>2</v>
      </c>
      <c r="D233" s="203"/>
      <c r="E233" s="199" t="s">
        <v>182</v>
      </c>
      <c r="F233" s="200"/>
      <c r="G233" s="79"/>
      <c r="H233" s="231"/>
      <c r="I233" s="52"/>
      <c r="J233" s="6"/>
      <c r="K233" s="6"/>
      <c r="L233" s="6"/>
      <c r="M233" s="6"/>
      <c r="N233" s="6"/>
    </row>
    <row r="234" spans="1:14">
      <c r="B234" s="6" t="str">
        <f t="shared" si="12"/>
        <v>3</v>
      </c>
      <c r="C234" s="6">
        <v>3</v>
      </c>
      <c r="D234" s="203" t="s">
        <v>869</v>
      </c>
      <c r="E234" s="199" t="s">
        <v>2002</v>
      </c>
      <c r="F234" s="200" t="s">
        <v>2222</v>
      </c>
      <c r="G234" s="79"/>
      <c r="H234" s="231"/>
      <c r="I234" s="52"/>
      <c r="J234" s="6"/>
      <c r="K234" s="6"/>
      <c r="L234" s="6"/>
      <c r="M234" s="6"/>
      <c r="N234" s="6"/>
    </row>
    <row r="235" spans="1:14">
      <c r="B235" s="6" t="str">
        <f t="shared" si="12"/>
        <v>4</v>
      </c>
      <c r="C235" s="6">
        <v>4</v>
      </c>
      <c r="D235" s="203"/>
      <c r="E235" s="199" t="s">
        <v>2029</v>
      </c>
      <c r="F235" s="200"/>
      <c r="G235" s="79"/>
      <c r="H235" s="231"/>
      <c r="I235" s="52"/>
      <c r="J235" s="6"/>
      <c r="K235" s="6"/>
      <c r="L235" s="6"/>
      <c r="M235" s="6"/>
      <c r="N235" s="6"/>
    </row>
    <row r="236" spans="1:14">
      <c r="B236" s="6" t="str">
        <f t="shared" si="12"/>
        <v>5</v>
      </c>
      <c r="C236" s="6">
        <v>5</v>
      </c>
      <c r="D236" s="203" t="s">
        <v>2222</v>
      </c>
      <c r="E236" s="199" t="s">
        <v>727</v>
      </c>
      <c r="F236" s="200" t="s">
        <v>2223</v>
      </c>
      <c r="G236" s="79"/>
      <c r="H236" s="231"/>
      <c r="I236" s="52"/>
      <c r="J236" s="6"/>
      <c r="K236" s="6"/>
      <c r="L236" s="6"/>
      <c r="M236" s="6"/>
      <c r="N236" s="6"/>
    </row>
    <row r="237" spans="1:14">
      <c r="B237" s="6" t="str">
        <f t="shared" si="12"/>
        <v>6</v>
      </c>
      <c r="C237" s="6">
        <v>6</v>
      </c>
      <c r="D237" s="203"/>
      <c r="E237" s="199" t="s">
        <v>2029</v>
      </c>
      <c r="F237" s="200"/>
      <c r="G237" s="79"/>
      <c r="H237" s="231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0</v>
      </c>
      <c r="K239" s="243" t="s">
        <v>2232</v>
      </c>
      <c r="L239" s="54" t="s">
        <v>2224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 t="shared" ref="B240:B249" si="13"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31" t="s">
        <v>146</v>
      </c>
      <c r="I240" s="52" t="s">
        <v>346</v>
      </c>
      <c r="J240" s="70" t="b" cm="1">
        <f t="array" aca="1" ref="J240" ca="1">RIGHT("00"&amp;INDIRECT("R_"&amp;H240),2)=RIGHT("00"&amp;I240,2)</f>
        <v>1</v>
      </c>
      <c r="K240" s="6"/>
      <c r="L240" s="6"/>
      <c r="M240" s="6"/>
      <c r="N240" s="6"/>
    </row>
    <row r="241" spans="2:14">
      <c r="B241" s="6" t="str">
        <f t="shared" si="13"/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31" t="s">
        <v>2067</v>
      </c>
      <c r="I241" s="52" t="s">
        <v>242</v>
      </c>
      <c r="J241" s="70" t="b" cm="1">
        <f t="array" aca="1" ref="J241" ca="1">RIGHT("00"&amp;INDIRECT("R_"&amp;H241),2)=RIGHT("00"&amp;I241,2)</f>
        <v>1</v>
      </c>
      <c r="K241" s="6"/>
      <c r="L241" s="6"/>
      <c r="M241" s="6"/>
      <c r="N241" s="6"/>
    </row>
    <row r="242" spans="2:14">
      <c r="B242" s="6" t="str">
        <f t="shared" si="13"/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31"/>
      <c r="I242" s="52"/>
      <c r="J242" s="6"/>
      <c r="K242" s="6"/>
      <c r="L242" s="6"/>
      <c r="M242" s="6"/>
      <c r="N242" s="6"/>
    </row>
    <row r="243" spans="2:14">
      <c r="B243" s="6" t="str">
        <f t="shared" si="13"/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31"/>
      <c r="I243" s="52"/>
      <c r="J243" s="6"/>
      <c r="K243" s="6"/>
      <c r="L243" s="6"/>
      <c r="M243" s="6"/>
      <c r="N243" s="6"/>
    </row>
    <row r="244" spans="2:14">
      <c r="B244" s="6" t="str">
        <f t="shared" si="13"/>
        <v>4</v>
      </c>
      <c r="C244" s="6">
        <v>4</v>
      </c>
      <c r="D244" s="203"/>
      <c r="E244" s="199" t="s">
        <v>341</v>
      </c>
      <c r="F244" s="200"/>
      <c r="G244" s="79"/>
      <c r="H244" s="231"/>
      <c r="I244" s="52"/>
      <c r="J244" s="6"/>
      <c r="K244" s="6"/>
      <c r="L244" s="6"/>
      <c r="M244" s="6"/>
      <c r="N244" s="6"/>
    </row>
    <row r="245" spans="2:14">
      <c r="B245" s="6" t="str">
        <f t="shared" si="13"/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31"/>
      <c r="I245" s="52"/>
      <c r="J245" s="6"/>
      <c r="K245" s="6"/>
      <c r="L245" s="6"/>
      <c r="M245" s="6"/>
      <c r="N245" s="6"/>
    </row>
    <row r="246" spans="2:14">
      <c r="B246" s="6" t="str">
        <f t="shared" si="13"/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31"/>
      <c r="I246" s="52"/>
      <c r="J246" s="6"/>
      <c r="K246" s="6"/>
      <c r="L246" s="6"/>
      <c r="M246" s="6"/>
      <c r="N246" s="6"/>
    </row>
    <row r="247" spans="2:14">
      <c r="B247" s="6" t="str">
        <f t="shared" si="13"/>
        <v>7</v>
      </c>
      <c r="C247" s="6">
        <v>7</v>
      </c>
      <c r="D247" s="203"/>
      <c r="E247" s="199" t="s">
        <v>341</v>
      </c>
      <c r="F247" s="200"/>
      <c r="G247" s="79"/>
      <c r="H247" s="231"/>
      <c r="I247" s="52"/>
      <c r="J247" s="6"/>
      <c r="K247" s="6"/>
      <c r="L247" s="6"/>
      <c r="M247" s="6"/>
      <c r="N247" s="6"/>
    </row>
    <row r="248" spans="2:14">
      <c r="B248" s="6" t="str">
        <f t="shared" si="13"/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31"/>
      <c r="I248" s="52"/>
      <c r="J248" s="6"/>
      <c r="K248" s="6"/>
      <c r="L248" s="6"/>
      <c r="M248" s="6"/>
      <c r="N248" s="6"/>
    </row>
    <row r="249" spans="2:14">
      <c r="B249" s="6" t="str">
        <f t="shared" si="13"/>
        <v>9</v>
      </c>
      <c r="C249" s="6">
        <v>9</v>
      </c>
      <c r="D249" s="203"/>
      <c r="E249" s="199" t="s">
        <v>182</v>
      </c>
      <c r="F249" s="200"/>
      <c r="G249" s="79"/>
      <c r="H249" s="231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168" priority="1095" operator="equal">
      <formula>0</formula>
    </cfRule>
    <cfRule type="cellIs" dxfId="167" priority="1096" operator="equal">
      <formula>1</formula>
    </cfRule>
  </conditionalFormatting>
  <conditionalFormatting sqref="M4:N4">
    <cfRule type="cellIs" dxfId="166" priority="1085" operator="equal">
      <formula>0</formula>
    </cfRule>
    <cfRule type="cellIs" dxfId="165" priority="1086" operator="equal">
      <formula>1</formula>
    </cfRule>
  </conditionalFormatting>
  <conditionalFormatting sqref="R6:R125">
    <cfRule type="cellIs" dxfId="164" priority="1043" operator="equal">
      <formula>0</formula>
    </cfRule>
    <cfRule type="cellIs" dxfId="163" priority="1044" operator="equal">
      <formula>1</formula>
    </cfRule>
  </conditionalFormatting>
  <conditionalFormatting sqref="K11">
    <cfRule type="cellIs" dxfId="162" priority="897" operator="equal">
      <formula>0</formula>
    </cfRule>
    <cfRule type="cellIs" dxfId="161" priority="898" operator="equal">
      <formula>1</formula>
    </cfRule>
  </conditionalFormatting>
  <conditionalFormatting sqref="J11">
    <cfRule type="cellIs" dxfId="160" priority="895" operator="equal">
      <formula>0</formula>
    </cfRule>
    <cfRule type="cellIs" dxfId="159" priority="896" operator="equal">
      <formula>1</formula>
    </cfRule>
  </conditionalFormatting>
  <conditionalFormatting sqref="S6:S125">
    <cfRule type="cellIs" dxfId="158" priority="678" operator="equal">
      <formula>0</formula>
    </cfRule>
    <cfRule type="cellIs" dxfId="157" priority="679" operator="equal">
      <formula>1</formula>
    </cfRule>
  </conditionalFormatting>
  <conditionalFormatting sqref="M11:N11">
    <cfRule type="cellIs" dxfId="156" priority="636" operator="equal">
      <formula>0</formula>
    </cfRule>
    <cfRule type="cellIs" dxfId="155" priority="637" operator="equal">
      <formula>1</formula>
    </cfRule>
  </conditionalFormatting>
  <conditionalFormatting sqref="Z1:AG3">
    <cfRule type="cellIs" dxfId="154" priority="566" operator="equal">
      <formula>0</formula>
    </cfRule>
    <cfRule type="cellIs" dxfId="153" priority="567" operator="equal">
      <formula>1</formula>
    </cfRule>
  </conditionalFormatting>
  <conditionalFormatting sqref="K18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18:N18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18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24">
    <cfRule type="cellIs" dxfId="146" priority="161" operator="equal">
      <formula>0</formula>
    </cfRule>
    <cfRule type="cellIs" dxfId="145" priority="162" operator="equal">
      <formula>1</formula>
    </cfRule>
  </conditionalFormatting>
  <conditionalFormatting sqref="M24:N24">
    <cfRule type="cellIs" dxfId="144" priority="159" operator="equal">
      <formula>0</formula>
    </cfRule>
    <cfRule type="cellIs" dxfId="143" priority="160" operator="equal">
      <formula>1</formula>
    </cfRule>
  </conditionalFormatting>
  <conditionalFormatting sqref="J24">
    <cfRule type="cellIs" dxfId="142" priority="157" operator="equal">
      <formula>0</formula>
    </cfRule>
    <cfRule type="cellIs" dxfId="141" priority="158" operator="equal">
      <formula>1</formula>
    </cfRule>
  </conditionalFormatting>
  <conditionalFormatting sqref="K35">
    <cfRule type="cellIs" dxfId="140" priority="155" operator="equal">
      <formula>0</formula>
    </cfRule>
    <cfRule type="cellIs" dxfId="139" priority="156" operator="equal">
      <formula>1</formula>
    </cfRule>
  </conditionalFormatting>
  <conditionalFormatting sqref="M35:N35">
    <cfRule type="cellIs" dxfId="138" priority="153" operator="equal">
      <formula>0</formula>
    </cfRule>
    <cfRule type="cellIs" dxfId="137" priority="154" operator="equal">
      <formula>1</formula>
    </cfRule>
  </conditionalFormatting>
  <conditionalFormatting sqref="K47">
    <cfRule type="cellIs" dxfId="136" priority="149" operator="equal">
      <formula>0</formula>
    </cfRule>
    <cfRule type="cellIs" dxfId="135" priority="150" operator="equal">
      <formula>1</formula>
    </cfRule>
  </conditionalFormatting>
  <conditionalFormatting sqref="M47:N47">
    <cfRule type="cellIs" dxfId="134" priority="147" operator="equal">
      <formula>0</formula>
    </cfRule>
    <cfRule type="cellIs" dxfId="133" priority="148" operator="equal">
      <formula>1</formula>
    </cfRule>
  </conditionalFormatting>
  <conditionalFormatting sqref="K56">
    <cfRule type="cellIs" dxfId="132" priority="143" operator="equal">
      <formula>0</formula>
    </cfRule>
    <cfRule type="cellIs" dxfId="131" priority="144" operator="equal">
      <formula>1</formula>
    </cfRule>
  </conditionalFormatting>
  <conditionalFormatting sqref="M56:N56">
    <cfRule type="cellIs" dxfId="130" priority="141" operator="equal">
      <formula>0</formula>
    </cfRule>
    <cfRule type="cellIs" dxfId="129" priority="142" operator="equal">
      <formula>1</formula>
    </cfRule>
  </conditionalFormatting>
  <conditionalFormatting sqref="K65">
    <cfRule type="cellIs" dxfId="128" priority="137" operator="equal">
      <formula>0</formula>
    </cfRule>
    <cfRule type="cellIs" dxfId="127" priority="138" operator="equal">
      <formula>1</formula>
    </cfRule>
  </conditionalFormatting>
  <conditionalFormatting sqref="M65:N65">
    <cfRule type="cellIs" dxfId="126" priority="135" operator="equal">
      <formula>0</formula>
    </cfRule>
    <cfRule type="cellIs" dxfId="125" priority="136" operator="equal">
      <formula>1</formula>
    </cfRule>
  </conditionalFormatting>
  <conditionalFormatting sqref="K72">
    <cfRule type="cellIs" dxfId="124" priority="131" operator="equal">
      <formula>0</formula>
    </cfRule>
    <cfRule type="cellIs" dxfId="123" priority="132" operator="equal">
      <formula>1</formula>
    </cfRule>
  </conditionalFormatting>
  <conditionalFormatting sqref="M72:N72">
    <cfRule type="cellIs" dxfId="122" priority="129" operator="equal">
      <formula>0</formula>
    </cfRule>
    <cfRule type="cellIs" dxfId="121" priority="130" operator="equal">
      <formula>1</formula>
    </cfRule>
  </conditionalFormatting>
  <conditionalFormatting sqref="K78">
    <cfRule type="cellIs" dxfId="120" priority="125" operator="equal">
      <formula>0</formula>
    </cfRule>
    <cfRule type="cellIs" dxfId="119" priority="126" operator="equal">
      <formula>1</formula>
    </cfRule>
  </conditionalFormatting>
  <conditionalFormatting sqref="M78:N78">
    <cfRule type="cellIs" dxfId="118" priority="123" operator="equal">
      <formula>0</formula>
    </cfRule>
    <cfRule type="cellIs" dxfId="117" priority="124" operator="equal">
      <formula>1</formula>
    </cfRule>
  </conditionalFormatting>
  <conditionalFormatting sqref="K86">
    <cfRule type="cellIs" dxfId="116" priority="119" operator="equal">
      <formula>0</formula>
    </cfRule>
    <cfRule type="cellIs" dxfId="115" priority="120" operator="equal">
      <formula>1</formula>
    </cfRule>
  </conditionalFormatting>
  <conditionalFormatting sqref="M86:N86">
    <cfRule type="cellIs" dxfId="114" priority="117" operator="equal">
      <formula>0</formula>
    </cfRule>
    <cfRule type="cellIs" dxfId="113" priority="118" operator="equal">
      <formula>1</formula>
    </cfRule>
  </conditionalFormatting>
  <conditionalFormatting sqref="K92">
    <cfRule type="cellIs" dxfId="112" priority="113" operator="equal">
      <formula>0</formula>
    </cfRule>
    <cfRule type="cellIs" dxfId="111" priority="114" operator="equal">
      <formula>1</formula>
    </cfRule>
  </conditionalFormatting>
  <conditionalFormatting sqref="M92:N92">
    <cfRule type="cellIs" dxfId="110" priority="111" operator="equal">
      <formula>0</formula>
    </cfRule>
    <cfRule type="cellIs" dxfId="109" priority="112" operator="equal">
      <formula>1</formula>
    </cfRule>
  </conditionalFormatting>
  <conditionalFormatting sqref="K101">
    <cfRule type="cellIs" dxfId="108" priority="107" operator="equal">
      <formula>0</formula>
    </cfRule>
    <cfRule type="cellIs" dxfId="107" priority="108" operator="equal">
      <formula>1</formula>
    </cfRule>
  </conditionalFormatting>
  <conditionalFormatting sqref="M101:N101">
    <cfRule type="cellIs" dxfId="106" priority="105" operator="equal">
      <formula>0</formula>
    </cfRule>
    <cfRule type="cellIs" dxfId="105" priority="106" operator="equal">
      <formula>1</formula>
    </cfRule>
  </conditionalFormatting>
  <conditionalFormatting sqref="K108">
    <cfRule type="cellIs" dxfId="104" priority="101" operator="equal">
      <formula>0</formula>
    </cfRule>
    <cfRule type="cellIs" dxfId="103" priority="102" operator="equal">
      <formula>1</formula>
    </cfRule>
  </conditionalFormatting>
  <conditionalFormatting sqref="M108:N108">
    <cfRule type="cellIs" dxfId="102" priority="99" operator="equal">
      <formula>0</formula>
    </cfRule>
    <cfRule type="cellIs" dxfId="101" priority="100" operator="equal">
      <formula>1</formula>
    </cfRule>
  </conditionalFormatting>
  <conditionalFormatting sqref="K119">
    <cfRule type="cellIs" dxfId="100" priority="95" operator="equal">
      <formula>0</formula>
    </cfRule>
    <cfRule type="cellIs" dxfId="99" priority="96" operator="equal">
      <formula>1</formula>
    </cfRule>
  </conditionalFormatting>
  <conditionalFormatting sqref="M119:N119">
    <cfRule type="cellIs" dxfId="98" priority="93" operator="equal">
      <formula>0</formula>
    </cfRule>
    <cfRule type="cellIs" dxfId="97" priority="94" operator="equal">
      <formula>1</formula>
    </cfRule>
  </conditionalFormatting>
  <conditionalFormatting sqref="J35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J47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65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J72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78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J86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J92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101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J108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J119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56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130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130:N130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130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144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144:N144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144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170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J170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M170:N170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172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172:N172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172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181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181:N181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181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192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192:N192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192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205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205:N205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205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21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215:N21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21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22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221:N22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22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230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230:N230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230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23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239:N23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23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J22" sqref="J22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40" t="s">
        <v>915</v>
      </c>
      <c r="B1" s="241"/>
      <c r="C1" s="241"/>
      <c r="D1" s="242"/>
      <c r="L1" s="240" t="s">
        <v>2164</v>
      </c>
      <c r="M1" s="241"/>
      <c r="N1" s="241"/>
      <c r="O1" s="242"/>
      <c r="R1" s="240" t="s">
        <v>2173</v>
      </c>
      <c r="S1" s="241"/>
      <c r="T1" s="241"/>
      <c r="U1" s="242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40" t="s">
        <v>848</v>
      </c>
      <c r="B24" s="241"/>
      <c r="C24" s="241"/>
      <c r="D24" s="242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40" t="s">
        <v>857</v>
      </c>
      <c r="B49" s="241"/>
      <c r="C49" s="241"/>
      <c r="D49" s="242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40" t="s">
        <v>862</v>
      </c>
      <c r="B56" s="241"/>
      <c r="C56" s="241"/>
      <c r="D56" s="242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40" t="s">
        <v>865</v>
      </c>
      <c r="B70" s="241"/>
      <c r="C70" s="241"/>
      <c r="D70" s="242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40" t="s">
        <v>877</v>
      </c>
      <c r="B83" s="241"/>
      <c r="C83" s="241"/>
      <c r="D83" s="242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8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2191</v>
      </c>
    </row>
    <row r="75" spans="1:3">
      <c r="A75" s="151">
        <v>2.35</v>
      </c>
      <c r="B75" s="156">
        <v>46114.701921296299</v>
      </c>
      <c r="C75" t="s">
        <v>2192</v>
      </c>
    </row>
    <row r="76" spans="1:3">
      <c r="A76" s="151">
        <v>2.36</v>
      </c>
      <c r="B76" s="156">
        <v>46114.703090277777</v>
      </c>
      <c r="C76" t="s">
        <v>2193</v>
      </c>
    </row>
    <row r="77" spans="1:3">
      <c r="A77" s="151">
        <v>2.36</v>
      </c>
      <c r="B77" s="156">
        <v>46114.703090277777</v>
      </c>
      <c r="C77" t="s">
        <v>2194</v>
      </c>
    </row>
    <row r="78" spans="1:3">
      <c r="A78" s="151">
        <v>2.37</v>
      </c>
      <c r="B78" s="156">
        <v>46114.748680555553</v>
      </c>
      <c r="C78" t="s">
        <v>2196</v>
      </c>
    </row>
    <row r="79" spans="1:3">
      <c r="A79" s="151">
        <v>2.37</v>
      </c>
      <c r="B79" s="156">
        <v>46114.748680555553</v>
      </c>
      <c r="C79" t="s">
        <v>2197</v>
      </c>
    </row>
    <row r="80" spans="1:3">
      <c r="A80" s="151">
        <v>2.38</v>
      </c>
      <c r="B80" s="156">
        <v>46114.938090277778</v>
      </c>
      <c r="C80" t="s">
        <v>2225</v>
      </c>
    </row>
    <row r="81" spans="1:3">
      <c r="A81" s="151">
        <v>2.38</v>
      </c>
      <c r="B81" s="156">
        <v>46114.938090277778</v>
      </c>
      <c r="C81" t="s">
        <v>2226</v>
      </c>
    </row>
    <row r="82" spans="1:3">
      <c r="A82" s="151">
        <v>2.39</v>
      </c>
      <c r="B82" s="156">
        <v>46114.942743055559</v>
      </c>
      <c r="C82" t="s">
        <v>2227</v>
      </c>
    </row>
    <row r="83" spans="1:3">
      <c r="A83" s="151">
        <v>2.39</v>
      </c>
      <c r="B83" s="156">
        <v>46114.942743055559</v>
      </c>
      <c r="C83" t="s">
        <v>2228</v>
      </c>
    </row>
    <row r="84" spans="1:3">
      <c r="A84" s="151">
        <v>2.4</v>
      </c>
      <c r="B84" s="156">
        <v>46114.955590277779</v>
      </c>
      <c r="C84" t="s">
        <v>2229</v>
      </c>
    </row>
    <row r="85" spans="1:3">
      <c r="A85" s="151">
        <v>2.4</v>
      </c>
      <c r="B85" s="156">
        <v>46114.955590277779</v>
      </c>
      <c r="C85" t="s">
        <v>2230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2" priority="2" operator="notEqual">
      <formula>0</formula>
    </cfRule>
  </conditionalFormatting>
  <conditionalFormatting sqref="J2:J637">
    <cfRule type="cellIs" dxfId="1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0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2026-04-03T03:00:57Z</dcterms:modified>
</cp:coreProperties>
</file>