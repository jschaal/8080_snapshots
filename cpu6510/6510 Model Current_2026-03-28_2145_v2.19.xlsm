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FD7CB3F0-C68E-4EF8-AE73-5679133B3CB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/>
  <c r="S1069" i="2" a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/>
  <c r="S1063" i="2" a="1"/>
  <c r="S1062" i="2" a="1"/>
  <c r="S1062" i="2" s="1"/>
  <c r="S1061" i="2" a="1"/>
  <c r="S1061" i="2" s="1"/>
  <c r="S1060" i="2" a="1"/>
  <c r="S1060" i="2" s="1"/>
  <c r="S1059" i="2"/>
  <c r="S1059" i="2" a="1"/>
  <c r="S1058" i="2" a="1"/>
  <c r="S1058" i="2" s="1"/>
  <c r="S1057" i="2"/>
  <c r="S1057" i="2" a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/>
  <c r="S1051" i="2" a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/>
  <c r="S1045" i="2" a="1"/>
  <c r="S1044" i="2" a="1"/>
  <c r="S1044" i="2" s="1"/>
  <c r="S1043" i="2" a="1"/>
  <c r="S1043" i="2" s="1"/>
  <c r="S1042" i="2" a="1"/>
  <c r="S1042" i="2" s="1"/>
  <c r="S1041" i="2"/>
  <c r="S1041" i="2" a="1"/>
  <c r="S1040" i="2" a="1"/>
  <c r="S1040" i="2" s="1"/>
  <c r="S1039" i="2"/>
  <c r="S1039" i="2" a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/>
  <c r="S1033" i="2" a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/>
  <c r="S1027" i="2" a="1"/>
  <c r="S1026" i="2" a="1"/>
  <c r="S1026" i="2" s="1"/>
  <c r="S1025" i="2" a="1"/>
  <c r="S1025" i="2" s="1"/>
  <c r="S1024" i="2" a="1"/>
  <c r="S1024" i="2" s="1"/>
  <c r="S1023" i="2"/>
  <c r="S1023" i="2" a="1"/>
  <c r="S1022" i="2" a="1"/>
  <c r="S1022" i="2" s="1"/>
  <c r="S1021" i="2"/>
  <c r="S1021" i="2" a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/>
  <c r="S1015" i="2" a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/>
  <c r="S1009" i="2" a="1"/>
  <c r="S1008" i="2" a="1"/>
  <c r="S1008" i="2" s="1"/>
  <c r="S1007" i="2" a="1"/>
  <c r="S1007" i="2" s="1"/>
  <c r="S1006" i="2" a="1"/>
  <c r="S1006" i="2" s="1"/>
  <c r="S1005" i="2"/>
  <c r="S1005" i="2" a="1"/>
  <c r="S1004" i="2" a="1"/>
  <c r="S1004" i="2" s="1"/>
  <c r="S1003" i="2"/>
  <c r="S1003" i="2" a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/>
  <c r="S997" i="2" a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/>
  <c r="S991" i="2" a="1"/>
  <c r="S990" i="2" a="1"/>
  <c r="S990" i="2" s="1"/>
  <c r="S989" i="2" a="1"/>
  <c r="S989" i="2" s="1"/>
  <c r="S988" i="2" a="1"/>
  <c r="S988" i="2" s="1"/>
  <c r="S987" i="2"/>
  <c r="S987" i="2" a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/>
  <c r="S975" i="2" a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/>
  <c r="S969" i="2" a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/>
  <c r="S951" i="2" a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/>
  <c r="S921" i="2" a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/>
  <c r="S915" i="2" a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/>
  <c r="S903" i="2" a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/>
  <c r="S897" i="2" a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/>
  <c r="S879" i="2" a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/>
  <c r="S849" i="2" a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/>
  <c r="S843" i="2" a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/>
  <c r="S831" i="2" a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/>
  <c r="S825" i="2" a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/>
  <c r="S807" i="2" a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/>
  <c r="S783" i="2" a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/>
  <c r="S777" i="2" a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/>
  <c r="S771" i="2" a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/>
  <c r="S759" i="2" a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/>
  <c r="S753" i="2" a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/>
  <c r="S735" i="2" a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/>
  <c r="S705" i="2" a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/>
  <c r="S699" i="2" a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/>
  <c r="S687" i="2" a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/>
  <c r="S663" i="2" a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/>
  <c r="S639" i="2" a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/>
  <c r="S633" i="2" a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/>
  <c r="S627" i="2" a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/>
  <c r="S615" i="2" a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/>
  <c r="S609" i="2" a="1"/>
  <c r="S608" i="2"/>
  <c r="S608" i="2" a="1"/>
  <c r="S607" i="2" a="1"/>
  <c r="S607" i="2" s="1"/>
  <c r="S606" i="2" a="1"/>
  <c r="S606" i="2" s="1"/>
  <c r="S605" i="2" a="1"/>
  <c r="S605" i="2" s="1"/>
  <c r="S604" i="2" a="1"/>
  <c r="S604" i="2" s="1"/>
  <c r="S603" i="2"/>
  <c r="S603" i="2" a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/>
  <c r="S597" i="2" a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/>
  <c r="S591" i="2" a="1"/>
  <c r="S590" i="2"/>
  <c r="S590" i="2" a="1"/>
  <c r="S589" i="2" a="1"/>
  <c r="S589" i="2" s="1"/>
  <c r="S588" i="2" a="1"/>
  <c r="S588" i="2" s="1"/>
  <c r="S587" i="2" a="1"/>
  <c r="S587" i="2" s="1"/>
  <c r="S586" i="2" a="1"/>
  <c r="S586" i="2" s="1"/>
  <c r="S585" i="2"/>
  <c r="S585" i="2" a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/>
  <c r="S579" i="2" a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/>
  <c r="S572" i="2" a="1"/>
  <c r="S571" i="2" a="1"/>
  <c r="S571" i="2" s="1"/>
  <c r="S570" i="2" a="1"/>
  <c r="S570" i="2" s="1"/>
  <c r="S569" i="2" a="1"/>
  <c r="S569" i="2" s="1"/>
  <c r="S568" i="2" a="1"/>
  <c r="S568" i="2" s="1"/>
  <c r="S567" i="2"/>
  <c r="S567" i="2" a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/>
  <c r="S561" i="2" a="1"/>
  <c r="S560" i="2" a="1"/>
  <c r="S560" i="2" s="1"/>
  <c r="S559" i="2" a="1"/>
  <c r="S559" i="2" s="1"/>
  <c r="S558" i="2" a="1"/>
  <c r="S558" i="2" s="1"/>
  <c r="S557" i="2"/>
  <c r="S557" i="2" a="1"/>
  <c r="S556" i="2" a="1"/>
  <c r="S556" i="2" s="1"/>
  <c r="S555" i="2" a="1"/>
  <c r="S555" i="2" s="1"/>
  <c r="S554" i="2" a="1"/>
  <c r="S554" i="2" s="1"/>
  <c r="S553" i="2"/>
  <c r="S553" i="2" a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/>
  <c r="S547" i="2" a="1"/>
  <c r="S546" i="2" a="1"/>
  <c r="S546" i="2" s="1"/>
  <c r="S545" i="2"/>
  <c r="S545" i="2" a="1"/>
  <c r="S544" i="2"/>
  <c r="S544" i="2" a="1"/>
  <c r="S543" i="2" a="1"/>
  <c r="S543" i="2" s="1"/>
  <c r="S542" i="2" a="1"/>
  <c r="S542" i="2" s="1"/>
  <c r="S541" i="2"/>
  <c r="S541" i="2" a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/>
  <c r="S535" i="2" a="1"/>
  <c r="S534" i="2" a="1"/>
  <c r="S534" i="2" s="1"/>
  <c r="S533" i="2"/>
  <c r="S533" i="2" a="1"/>
  <c r="S532" i="2" a="1"/>
  <c r="S532" i="2" s="1"/>
  <c r="S531" i="2" a="1"/>
  <c r="S531" i="2" s="1"/>
  <c r="S530" i="2" a="1"/>
  <c r="S530" i="2" s="1"/>
  <c r="S529" i="2"/>
  <c r="S529" i="2" a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/>
  <c r="S523" i="2" a="1"/>
  <c r="S522" i="2" a="1"/>
  <c r="S522" i="2" s="1"/>
  <c r="S521" i="2"/>
  <c r="S521" i="2" a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AM29" i="2"/>
  <c r="C903" i="5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4" i="2" a="1"/>
  <c r="S22" i="2" a="1"/>
  <c r="S33" i="2" a="1"/>
  <c r="S31" i="2" a="1"/>
  <c r="S30" i="2" a="1"/>
  <c r="S29" i="2" a="1"/>
  <c r="S28" i="2" a="1"/>
  <c r="S27" i="2" a="1"/>
  <c r="S26" i="2" a="1"/>
  <c r="S25" i="2" a="1"/>
  <c r="S24" i="2" a="1"/>
  <c r="S35" i="2" a="1"/>
  <c r="S23" i="2" a="1"/>
  <c r="S20" i="2" a="1"/>
  <c r="S19" i="2" a="1"/>
  <c r="S16" i="2" a="1"/>
  <c r="S13" i="2" a="1"/>
  <c r="S15" i="2" a="1"/>
  <c r="S14" i="2" a="1"/>
  <c r="S18" i="2" a="1"/>
  <c r="S17" i="2" a="1"/>
  <c r="S12" i="2" a="1"/>
  <c r="S11" i="2" a="1"/>
  <c r="S10" i="2" a="1"/>
  <c r="S9" i="2" a="1"/>
  <c r="S8" i="2" a="1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J176" i="6" a="1"/>
  <c r="J64" i="6" a="1"/>
  <c r="J117" i="6" a="1"/>
  <c r="K449" i="13" a="1"/>
  <c r="K347" i="13" a="1"/>
  <c r="K535" i="13" a="1"/>
  <c r="K503" i="13" a="1"/>
  <c r="K467" i="13" a="1"/>
  <c r="K446" i="13" a="1"/>
  <c r="J10" i="6" a="1"/>
  <c r="K357" i="13" a="1"/>
  <c r="K549" i="13" a="1"/>
  <c r="K348" i="13" a="1"/>
  <c r="K578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497" i="13" a="1"/>
  <c r="J188" i="6" a="1"/>
  <c r="K142" i="13" a="1"/>
  <c r="K632" i="13" a="1"/>
  <c r="J48" i="6" a="1"/>
  <c r="K598" i="13" a="1"/>
  <c r="K595" i="13" a="1"/>
  <c r="K504" i="13" a="1"/>
  <c r="K345" i="13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55" i="6" a="1"/>
  <c r="K315" i="13" a="1"/>
  <c r="J179" i="6" a="1"/>
  <c r="J249" i="6" a="1"/>
  <c r="K40" i="13" a="1"/>
  <c r="J196" i="6" a="1"/>
  <c r="J216" i="6" a="1"/>
  <c r="K527" i="13" a="1"/>
  <c r="J140" i="6" a="1"/>
  <c r="J103" i="6" a="1"/>
  <c r="K441" i="13" a="1"/>
  <c r="K517" i="13" a="1"/>
  <c r="J62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88" i="6" a="1"/>
  <c r="K621" i="13" a="1"/>
  <c r="J194" i="6" a="1"/>
  <c r="K416" i="13" a="1"/>
  <c r="J217" i="6" a="1"/>
  <c r="J232" i="6" a="1"/>
  <c r="J236" i="6" a="1"/>
  <c r="J214" i="6" a="1"/>
  <c r="J137" i="6" a="1"/>
  <c r="K480" i="13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J17" i="6" a="1"/>
  <c r="K574" i="13" a="1"/>
  <c r="K637" i="13" a="1"/>
  <c r="J106" i="6" a="1"/>
  <c r="K408" i="13" a="1"/>
  <c r="J242" i="6" a="1"/>
  <c r="J248" i="6" a="1"/>
  <c r="J98" i="6" a="1"/>
  <c r="K456" i="13" a="1"/>
  <c r="J202" i="6" a="1"/>
  <c r="K484" i="13" a="1"/>
  <c r="J25" i="6" a="1"/>
  <c r="J199" i="6" a="1"/>
  <c r="K454" i="13" a="1"/>
  <c r="K522" i="13" a="1"/>
  <c r="K234" i="13" a="1"/>
  <c r="J243" i="6" a="1"/>
  <c r="J27" i="6" a="1"/>
  <c r="J29" i="6" a="1"/>
  <c r="J148" i="6" a="1"/>
  <c r="J133" i="6" a="1"/>
  <c r="K400" i="13" a="1"/>
  <c r="K631" i="13" a="1"/>
  <c r="J120" i="6" a="1"/>
  <c r="J49" i="6" a="1"/>
  <c r="J115" i="6" a="1"/>
  <c r="K506" i="13" a="1"/>
  <c r="K466" i="13" a="1"/>
  <c r="J22" i="6" a="1"/>
  <c r="K585" i="13" a="1"/>
  <c r="J221" i="6" a="1"/>
  <c r="J109" i="6" a="1"/>
  <c r="K363" i="13" a="1"/>
  <c r="K10" i="13" a="1"/>
  <c r="J182" i="6" a="1"/>
  <c r="J77" i="6" a="1"/>
  <c r="J163" i="6" a="1"/>
  <c r="K541" i="13" a="1"/>
  <c r="J165" i="6" a="1"/>
  <c r="J37" i="6" a="1"/>
  <c r="J4" i="6" a="1"/>
  <c r="K584" i="13" a="1"/>
  <c r="J204" i="6" a="1"/>
  <c r="J240" i="6" a="1"/>
  <c r="J90" i="6" a="1"/>
  <c r="K200" i="13" a="1"/>
  <c r="K545" i="13" a="1"/>
  <c r="J190" i="6" a="1"/>
  <c r="K512" i="13" a="1"/>
  <c r="K516" i="13" a="1"/>
  <c r="J125" i="6" a="1"/>
  <c r="K471" i="13" a="1"/>
  <c r="J181" i="6" a="1"/>
  <c r="J7" i="6" a="1"/>
  <c r="K282" i="13" a="1"/>
  <c r="K609" i="13" a="1"/>
  <c r="J127" i="6" a="1"/>
  <c r="K469" i="13" a="1"/>
  <c r="J157" i="6" a="1"/>
  <c r="J197" i="6" a="1"/>
  <c r="K411" i="13" a="1"/>
  <c r="K617" i="13" a="1"/>
  <c r="K550" i="13" a="1"/>
  <c r="K495" i="13" a="1"/>
  <c r="K537" i="13" a="1"/>
  <c r="K286" i="13" a="1"/>
  <c r="J46" i="6" a="1"/>
  <c r="J35" i="6" a="1"/>
  <c r="K520" i="13" a="1"/>
  <c r="J189" i="6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K428" i="13" a="1"/>
  <c r="K376" i="13" a="1"/>
  <c r="K465" i="13" a="1"/>
  <c r="J86" i="6" a="1"/>
  <c r="K513" i="13" a="1"/>
  <c r="K358" i="13" a="1"/>
  <c r="J166" i="6" a="1"/>
  <c r="J72" i="6" a="1"/>
  <c r="K362" i="13" a="1"/>
  <c r="J134" i="6" a="1"/>
  <c r="K383" i="13" a="1"/>
  <c r="K552" i="13" a="1"/>
  <c r="K619" i="13" a="1"/>
  <c r="J172" i="6" a="1"/>
  <c r="J87" i="6" a="1"/>
  <c r="J224" i="6" a="1"/>
  <c r="J40" i="6" a="1"/>
  <c r="K500" i="13" a="1"/>
  <c r="J123" i="6" a="1"/>
  <c r="J207" i="6" a="1"/>
  <c r="K464" i="13" a="1"/>
  <c r="J159" i="6" a="1"/>
  <c r="J142" i="6" a="1"/>
  <c r="K565" i="13" a="1"/>
  <c r="K523" i="13" a="1"/>
  <c r="K392" i="13" a="1"/>
  <c r="J11" i="6" a="1"/>
  <c r="K349" i="13" a="1"/>
  <c r="K434" i="13" a="1"/>
  <c r="K461" i="13" a="1"/>
  <c r="K451" i="13" a="1"/>
  <c r="J251" i="6" a="1"/>
  <c r="J155" i="6" a="1"/>
  <c r="K623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152" i="6" a="1"/>
  <c r="K440" i="13" a="1"/>
  <c r="K558" i="13" a="1"/>
  <c r="K380" i="13" a="1"/>
  <c r="K125" i="13" a="1"/>
  <c r="K628" i="13" a="1"/>
  <c r="K635" i="13" a="1"/>
  <c r="K479" i="13" a="1"/>
  <c r="K320" i="13" a="1"/>
  <c r="K412" i="13" a="1"/>
  <c r="K559" i="13" a="1"/>
  <c r="K531" i="13" a="1"/>
  <c r="K538" i="13" a="1"/>
  <c r="K459" i="13" a="1"/>
  <c r="K423" i="13" a="1"/>
  <c r="K339" i="13" a="1"/>
  <c r="K277" i="13" a="1"/>
  <c r="K622" i="13" a="1"/>
  <c r="J208" i="6" a="1"/>
  <c r="J42" i="6" a="1"/>
  <c r="J89" i="6" a="1"/>
  <c r="K405" i="13" a="1"/>
  <c r="K611" i="13" a="1"/>
  <c r="K150" i="13" a="1"/>
  <c r="J20" i="6" a="1"/>
  <c r="K332" i="13" a="1"/>
  <c r="J114" i="6" a="1"/>
  <c r="J174" i="6" a="1"/>
  <c r="J95" i="6" a="1"/>
  <c r="K319" i="13" a="1"/>
  <c r="K564" i="13" a="1"/>
  <c r="J45" i="6" a="1"/>
  <c r="J169" i="6" a="1"/>
  <c r="K575" i="13" a="1"/>
  <c r="K381" i="13" a="1"/>
  <c r="J93" i="6" a="1"/>
  <c r="J206" i="6" a="1"/>
  <c r="K424" i="13" a="1"/>
  <c r="J21" i="6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J128" i="6" a="1"/>
  <c r="K401" i="13" a="1"/>
  <c r="J38" i="6" a="1"/>
  <c r="J122" i="6" a="1"/>
  <c r="K384" i="13" a="1"/>
  <c r="J144" i="6" a="1"/>
  <c r="K515" i="13" a="1"/>
  <c r="K252" i="13" a="1"/>
  <c r="K326" i="13" a="1"/>
  <c r="K397" i="13" a="1"/>
  <c r="K468" i="13" a="1"/>
  <c r="J51" i="6" a="1"/>
  <c r="K582" i="13" a="1"/>
  <c r="K626" i="13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K322" i="13" a="1"/>
  <c r="J145" i="6" a="1"/>
  <c r="K14" i="13" a="1"/>
  <c r="J61" i="6" a="1"/>
  <c r="J192" i="6" a="1"/>
  <c r="K182" i="13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J246" i="6" a="1"/>
  <c r="K634" i="13" a="1"/>
  <c r="J139" i="6" a="1"/>
  <c r="K386" i="13" a="1"/>
  <c r="K429" i="13" a="1"/>
  <c r="K477" i="13" a="1"/>
  <c r="K426" i="13" a="1"/>
  <c r="J31" i="6" a="1"/>
  <c r="J901" i="5" a="1"/>
  <c r="J900" i="5" a="1"/>
  <c r="J902" i="5" a="1"/>
  <c r="S23" i="2" l="1"/>
  <c r="S35" i="2"/>
  <c r="S24" i="2"/>
  <c r="S25" i="2"/>
  <c r="S26" i="2"/>
  <c r="S27" i="2"/>
  <c r="S28" i="2"/>
  <c r="S29" i="2"/>
  <c r="S30" i="2"/>
  <c r="S31" i="2"/>
  <c r="S33" i="2"/>
  <c r="S22" i="2"/>
  <c r="S34" i="2"/>
  <c r="S20" i="2"/>
  <c r="S19" i="2"/>
  <c r="S16" i="2"/>
  <c r="S17" i="2"/>
  <c r="S18" i="2"/>
  <c r="S14" i="2"/>
  <c r="S15" i="2"/>
  <c r="S13" i="2"/>
  <c r="S12" i="2"/>
  <c r="S9" i="2"/>
  <c r="S10" i="2"/>
  <c r="S11" i="2"/>
  <c r="S8" i="2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55" i="13" a="1"/>
  <c r="K141" i="13" a="1"/>
  <c r="K253" i="13" a="1"/>
  <c r="K160" i="13" a="1"/>
  <c r="K259" i="13" a="1"/>
  <c r="K230" i="13" a="1"/>
  <c r="K155" i="13" a="1"/>
  <c r="K241" i="13" a="1"/>
  <c r="K82" i="13" a="1"/>
  <c r="K97" i="13" a="1"/>
  <c r="K300" i="13" a="1"/>
  <c r="K179" i="13" a="1"/>
  <c r="K257" i="13" a="1"/>
  <c r="K69" i="13" a="1"/>
  <c r="K169" i="13" a="1"/>
  <c r="K233" i="13" a="1"/>
  <c r="K112" i="13" a="1"/>
  <c r="K20" i="13" a="1"/>
  <c r="K29" i="13" a="1"/>
  <c r="K261" i="13" a="1"/>
  <c r="K89" i="13" a="1"/>
  <c r="K180" i="13" a="1"/>
  <c r="K67" i="13" a="1"/>
  <c r="K292" i="13" a="1"/>
  <c r="K260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117" i="13" a="1"/>
  <c r="K254" i="13" a="1"/>
  <c r="K284" i="13" a="1"/>
  <c r="K2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47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127" i="13" a="1"/>
  <c r="K140" i="13" a="1"/>
  <c r="K283" i="13" a="1"/>
  <c r="K138" i="13" a="1"/>
  <c r="K53" i="13" a="1"/>
  <c r="K74" i="13" a="1"/>
  <c r="K79" i="13" a="1"/>
  <c r="K105" i="13" a="1"/>
  <c r="K172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255" i="13" a="1"/>
  <c r="K3" i="13" a="1"/>
  <c r="K21" i="13" a="1"/>
  <c r="K195" i="13" a="1"/>
  <c r="K32" i="13" a="1"/>
  <c r="K4" i="13" a="1"/>
  <c r="K251" i="13" a="1"/>
  <c r="K218" i="13" a="1"/>
  <c r="K91" i="13" a="1"/>
  <c r="K76" i="13" a="1"/>
  <c r="K194" i="13" a="1"/>
  <c r="K168" i="13" a="1"/>
  <c r="K81" i="13" a="1"/>
  <c r="K215" i="13" a="1"/>
  <c r="K186" i="13" a="1"/>
  <c r="K201" i="13" a="1"/>
  <c r="K31" i="13" a="1"/>
  <c r="K170" i="13" a="1"/>
  <c r="K132" i="13" a="1"/>
  <c r="K227" i="13" a="1"/>
  <c r="K229" i="13" a="1"/>
  <c r="K288" i="13" a="1"/>
  <c r="K304" i="13" a="1"/>
  <c r="K269" i="13" a="1"/>
  <c r="K313" i="13" a="1"/>
  <c r="K106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136" i="13" a="1"/>
  <c r="K244" i="13" a="1"/>
  <c r="K285" i="13" a="1"/>
  <c r="K61" i="13" a="1"/>
  <c r="K9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96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248" i="13" a="1"/>
  <c r="K240" i="13" a="1"/>
  <c r="K99" i="13" a="1"/>
  <c r="K28" i="13" a="1"/>
  <c r="K217" i="13" a="1"/>
  <c r="K267" i="13" a="1"/>
  <c r="K274" i="13" a="1"/>
  <c r="K44" i="13" a="1"/>
  <c r="K303" i="13" a="1"/>
  <c r="K62" i="13" a="1"/>
  <c r="K262" i="13" a="1"/>
  <c r="K153" i="13" a="1"/>
  <c r="K85" i="13" a="1"/>
  <c r="K104" i="13" a="1"/>
  <c r="K86" i="13" a="1"/>
  <c r="K9" i="13" a="1"/>
  <c r="K264" i="13" a="1"/>
  <c r="K75" i="13" a="1"/>
  <c r="K298" i="13" a="1"/>
  <c r="K213" i="13" a="1"/>
  <c r="K35" i="13" a="1"/>
  <c r="K149" i="13" a="1"/>
  <c r="K171" i="13" a="1"/>
  <c r="K294" i="13" a="1"/>
  <c r="K208" i="13" a="1"/>
  <c r="K33" i="13" a="1"/>
  <c r="K312" i="13" a="1"/>
  <c r="K108" i="13" a="1"/>
  <c r="K60" i="13" a="1"/>
  <c r="K24" i="13" a="1"/>
  <c r="K206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2" i="2" a="1"/>
  <c r="AB81" i="2" a="1"/>
  <c r="AB80" i="2" a="1"/>
  <c r="AB69" i="2" a="1"/>
  <c r="AB60" i="2" a="1"/>
  <c r="AB25" i="2" a="1"/>
  <c r="AB74" i="2" a="1"/>
  <c r="AB62" i="2" a="1"/>
  <c r="AB22" i="2" a="1"/>
  <c r="AB33" i="2" a="1"/>
  <c r="AB45" i="2" a="1"/>
  <c r="AB48" i="2" a="1"/>
  <c r="AB78" i="2" a="1"/>
  <c r="AB50" i="2" a="1"/>
  <c r="AB37" i="2" a="1"/>
  <c r="AB67" i="2" a="1"/>
  <c r="AB35" i="2" a="1"/>
  <c r="AB61" i="2" a="1"/>
  <c r="AB20" i="2" a="1"/>
  <c r="AB23" i="2" a="1"/>
  <c r="AB30" i="2" a="1"/>
  <c r="AB47" i="2" a="1"/>
  <c r="AB28" i="2" a="1"/>
  <c r="AB65" i="2" a="1"/>
  <c r="AB56" i="2" a="1"/>
  <c r="AB38" i="2" a="1"/>
  <c r="AB64" i="2" a="1"/>
  <c r="AB26" i="2" a="1"/>
  <c r="AB29" i="2" a="1"/>
  <c r="AB51" i="2" a="1"/>
  <c r="AB66" i="2" a="1"/>
  <c r="AB41" i="2" a="1"/>
  <c r="AB57" i="2" a="1"/>
  <c r="AB53" i="2" a="1"/>
  <c r="AB16" i="2" a="1"/>
  <c r="AB72" i="2" a="1"/>
  <c r="AB77" i="2" a="1"/>
  <c r="AB34" i="2" a="1"/>
  <c r="AB59" i="2" a="1"/>
  <c r="AB73" i="2" a="1"/>
  <c r="AB46" i="2" a="1"/>
  <c r="AB31" i="2" a="1"/>
  <c r="AB44" i="2" a="1"/>
  <c r="AB71" i="2" a="1"/>
  <c r="AB42" i="2" a="1"/>
  <c r="AB58" i="2" a="1"/>
  <c r="AB43" i="2" a="1"/>
  <c r="AB24" i="2" a="1"/>
  <c r="AB15" i="2" a="1"/>
  <c r="AB40" i="2" a="1"/>
  <c r="AB32" i="2" a="1"/>
  <c r="AB54" i="2" a="1"/>
  <c r="AB68" i="2" a="1"/>
  <c r="AB76" i="2" a="1"/>
  <c r="AB21" i="2" a="1"/>
  <c r="AB19" i="2" a="1"/>
  <c r="AB52" i="2" a="1"/>
  <c r="AB63" i="2" a="1"/>
  <c r="AB18" i="2" a="1"/>
  <c r="AB79" i="2" a="1"/>
  <c r="AB27" i="2" a="1"/>
  <c r="AB70" i="2" a="1"/>
  <c r="AB36" i="2" a="1"/>
  <c r="AB75" i="2" a="1"/>
  <c r="AB49" i="2" a="1"/>
  <c r="AB55" i="2" a="1"/>
  <c r="AB39" i="2" a="1"/>
  <c r="AB17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294" i="5" a="1"/>
  <c r="J829" i="5" a="1"/>
  <c r="J359" i="5" a="1"/>
  <c r="J580" i="5" a="1"/>
  <c r="J889" i="5" a="1"/>
  <c r="J394" i="5" a="1"/>
  <c r="J804" i="5" a="1"/>
  <c r="J811" i="5" a="1"/>
  <c r="J475" i="5" a="1"/>
  <c r="J551" i="5" a="1"/>
  <c r="J677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02" i="5" a="1"/>
  <c r="J242" i="5" a="1"/>
  <c r="J464" i="5" a="1"/>
  <c r="J225" i="5" a="1"/>
  <c r="J396" i="5" a="1"/>
  <c r="J261" i="5" a="1"/>
  <c r="J313" i="5" a="1"/>
  <c r="J881" i="5" a="1"/>
  <c r="J822" i="5" a="1"/>
  <c r="J296" i="5" a="1"/>
  <c r="J390" i="5" a="1"/>
  <c r="J812" i="5" a="1"/>
  <c r="J634" i="5" a="1"/>
  <c r="J746" i="5" a="1"/>
  <c r="J431" i="5" a="1"/>
  <c r="J271" i="5" a="1"/>
  <c r="J309" i="5" a="1"/>
  <c r="J493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560" i="5" a="1"/>
  <c r="J438" i="5" a="1"/>
  <c r="J588" i="5" a="1"/>
  <c r="J248" i="5" a="1"/>
  <c r="J323" i="5" a="1"/>
  <c r="J595" i="5" a="1"/>
  <c r="J200" i="5" a="1"/>
  <c r="J874" i="5" a="1"/>
  <c r="J378" i="5" a="1"/>
  <c r="J554" i="5" a="1"/>
  <c r="J447" i="5" a="1"/>
  <c r="J547" i="5" a="1"/>
  <c r="J282" i="5" a="1"/>
  <c r="J312" i="5" a="1"/>
  <c r="J880" i="5" a="1"/>
  <c r="J608" i="5" a="1"/>
  <c r="J243" i="5" a="1"/>
  <c r="J199" i="5" a="1"/>
  <c r="J850" i="5" a="1"/>
  <c r="J803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553" i="5" a="1"/>
  <c r="J561" i="5" a="1"/>
  <c r="J844" i="5" a="1"/>
  <c r="J260" i="5" a="1"/>
  <c r="J181" i="5" a="1"/>
  <c r="J363" i="5" a="1"/>
  <c r="J559" i="5" a="1"/>
  <c r="J837" i="5" a="1"/>
  <c r="J365" i="5" a="1"/>
  <c r="J156" i="5" a="1"/>
  <c r="J601" i="5" a="1"/>
  <c r="J324" i="5" a="1"/>
  <c r="J546" i="5" a="1"/>
  <c r="J297" i="5" a="1"/>
  <c r="J219" i="5" a="1"/>
  <c r="J132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305" i="5" a="1"/>
  <c r="J165" i="5" a="1"/>
  <c r="J710" i="5" a="1"/>
  <c r="J277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268" i="5" a="1"/>
  <c r="J402" i="5" a="1"/>
  <c r="J322" i="5" a="1"/>
  <c r="J823" i="5" a="1"/>
  <c r="J188" i="5" a="1"/>
  <c r="J345" i="5" a="1"/>
  <c r="J293" i="5" a="1"/>
  <c r="J550" i="5" a="1"/>
  <c r="J448" i="5" a="1"/>
  <c r="J895" i="5" a="1"/>
  <c r="J565" i="5" a="1"/>
  <c r="J266" i="5" a="1"/>
  <c r="J332" i="5" a="1"/>
  <c r="J404" i="5" a="1"/>
  <c r="J340" i="5" a="1"/>
  <c r="J838" i="5" a="1"/>
  <c r="J288" i="5" a="1"/>
  <c r="J892" i="5" a="1"/>
  <c r="J755" i="5" a="1"/>
  <c r="J245" i="5" a="1"/>
  <c r="J262" i="5" a="1"/>
  <c r="J150" i="5" a="1"/>
  <c r="J393" i="5" a="1"/>
  <c r="J358" i="5" a="1"/>
  <c r="J417" i="5" a="1"/>
  <c r="J579" i="5" a="1"/>
  <c r="J392" i="5" a="1"/>
  <c r="J179" i="5" a="1"/>
  <c r="J405" i="5" a="1"/>
  <c r="J339" i="5" a="1"/>
  <c r="J695" i="5" a="1"/>
  <c r="J256" i="5" a="1"/>
  <c r="J320" i="5" a="1"/>
  <c r="J882" i="5" a="1"/>
  <c r="J195" i="5" a="1"/>
  <c r="J883" i="5" a="1"/>
  <c r="J798" i="5" a="1"/>
  <c r="J246" i="5" a="1"/>
  <c r="J728" i="5" a="1"/>
  <c r="J862" i="5" a="1"/>
  <c r="J704" i="5" a="1"/>
  <c r="J555" i="5" a="1"/>
  <c r="J226" i="5" a="1"/>
  <c r="J888" i="5" a="1"/>
  <c r="J779" i="5" a="1"/>
  <c r="J581" i="5" a="1"/>
  <c r="J366" i="5" a="1"/>
  <c r="J142" i="5" a="1"/>
  <c r="J321" i="5" a="1"/>
  <c r="J385" i="5" a="1"/>
  <c r="J151" i="5" a="1"/>
  <c r="J492" i="5" a="1"/>
  <c r="J463" i="5" a="1"/>
  <c r="J206" i="5" a="1"/>
  <c r="J131" i="5" a="1"/>
  <c r="J428" i="5" a="1"/>
  <c r="J128" i="5" a="1"/>
  <c r="J137" i="5" a="1"/>
  <c r="J367" i="5" a="1"/>
  <c r="J766" i="5" a="1"/>
  <c r="J338" i="5" a="1"/>
  <c r="J377" i="5" a="1"/>
  <c r="J399" i="5" a="1"/>
  <c r="J330" i="5" a="1"/>
  <c r="J300" i="5" a="1"/>
  <c r="J737" i="5" a="1"/>
  <c r="J719" i="5" a="1"/>
  <c r="J548" i="5" a="1"/>
  <c r="J351" i="5" a="1"/>
  <c r="J576" i="5" a="1"/>
  <c r="J360" i="5" a="1"/>
  <c r="J279" i="5" a="1"/>
  <c r="J304" i="5" a="1"/>
  <c r="J446" i="5" a="1"/>
  <c r="J292" i="5" a="1"/>
  <c r="J285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7" i="5" a="1"/>
  <c r="J109" i="5" a="1"/>
  <c r="J91" i="5" a="1"/>
  <c r="J108" i="5" a="1"/>
  <c r="J101" i="5" a="1"/>
  <c r="J99" i="5" a="1"/>
  <c r="J84" i="5" a="1"/>
  <c r="J85" i="5" a="1"/>
  <c r="J86" i="5" a="1"/>
  <c r="J107" i="5" a="1"/>
  <c r="J88" i="5" a="1"/>
  <c r="J89" i="5" a="1"/>
  <c r="J100" i="5" a="1"/>
  <c r="J90" i="5" a="1"/>
  <c r="J80" i="5" a="1"/>
  <c r="J102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51" i="5" a="1"/>
  <c r="J77" i="5" a="1"/>
  <c r="J63" i="5" a="1"/>
  <c r="J42" i="5" a="1"/>
  <c r="J71" i="5" a="1"/>
  <c r="J78" i="5" a="1"/>
  <c r="J59" i="5" a="1"/>
  <c r="J72" i="5" a="1"/>
  <c r="J22" i="5" a="1"/>
  <c r="J35" i="5" a="1"/>
  <c r="J12" i="5" a="1"/>
  <c r="J33" i="5" a="1"/>
  <c r="J31" i="5" a="1"/>
  <c r="J61" i="5" a="1"/>
  <c r="J26" i="5" a="1"/>
  <c r="J70" i="5" a="1"/>
  <c r="J69" i="5" a="1"/>
  <c r="J52" i="5" a="1"/>
  <c r="J40" i="5" a="1"/>
  <c r="J6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<sst xmlns="http://schemas.openxmlformats.org/spreadsheetml/2006/main" count="11190" uniqueCount="2406">
  <si>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</si>
  <si>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</si>
  <si>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</si>
  <si>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</si>
  <si>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</si>
  <si>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</si>
  <si>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</si>
  <si>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</si>
  <si>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</si>
  <si>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</si>
  <si>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</si>
  <si>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</si>
  <si>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</si>
  <si>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</si>
  <si>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</si>
  <si>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</si>
  <si>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</si>
  <si>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</si>
  <si>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</si>
  <si>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</si>
  <si>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</si>
  <si>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</si>
  <si>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</si>
  <si>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</si>
  <si>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</si>
  <si>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</si>
  <si>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</si>
  <si>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</si>
  <si>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</si>
  <si>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</si>
  <si>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</si>
  <si>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</si>
  <si>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</si>
  <si>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</si>
  <si>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</si>
  <si>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</si>
  <si>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</si>
  <si>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</si>
  <si>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</si>
  <si>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</si>
  <si>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</si>
  <si>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</si>
  <si>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</si>
  <si>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</si>
  <si>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</si>
  <si>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</si>
  <si>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</si>
  <si>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</si>
  <si>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</si>
  <si>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</si>
  <si>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</si>
  <si>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</si>
  <si>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</si>
  <si>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</si>
  <si>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</si>
  <si>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</si>
  <si>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</si>
  <si>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</si>
  <si>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</si>
  <si>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</si>
  <si>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</si>
  <si>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</si>
  <si>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</si>
  <si>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</si>
  <si>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</si>
  <si>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</si>
  <si>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</si>
  <si>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</si>
  <si>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</si>
  <si>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</si>
  <si>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</si>
  <si>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</si>
  <si>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</si>
  <si>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</si>
  <si>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</si>
  <si>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</si>
  <si>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</si>
  <si>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</si>
  <si>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</si>
  <si>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</si>
  <si>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</si>
  <si>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</si>
  <si>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</si>
  <si>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</si>
  <si>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</si>
  <si>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</si>
  <si>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</si>
  <si>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</si>
  <si>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</si>
  <si>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</si>
  <si>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</si>
  <si>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</si>
  <si>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</si>
  <si>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</si>
  <si>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</si>
  <si>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</si>
  <si>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</si>
  <si>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</si>
  <si>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</si>
  <si>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</si>
  <si>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</si>
  <si>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</si>
  <si>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</si>
  <si>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</si>
  <si>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</si>
  <si>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</si>
  <si>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</si>
  <si>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</si>
  <si>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</si>
  <si>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</si>
  <si>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</si>
  <si>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</si>
  <si>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</si>
  <si>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</si>
  <si>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</si>
  <si>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</si>
  <si>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</si>
  <si>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</si>
  <si>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</si>
  <si>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</si>
  <si>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</si>
  <si>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</si>
  <si>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</si>
  <si>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</si>
  <si>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</si>
  <si>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</si>
  <si>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</si>
  <si>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</si>
  <si>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</si>
  <si>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</si>
  <si>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</si>
  <si>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</si>
  <si>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</si>
  <si>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</si>
  <si>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</si>
  <si>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</si>
  <si>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</si>
  <si>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</si>
  <si>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</si>
  <si>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</si>
  <si>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</si>
  <si>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</si>
  <si>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</si>
  <si>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</si>
  <si>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</si>
  <si>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</si>
  <si>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</si>
  <si>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</si>
  <si>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</si>
  <si>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</si>
  <si>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</si>
  <si>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</si>
  <si>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</si>
  <si>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</si>
  <si>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</si>
  <si>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</si>
  <si>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</si>
  <si>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</si>
  <si>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</si>
  <si>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</si>
  <si>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</si>
  <si>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</si>
  <si>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</si>
  <si>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</si>
  <si>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</si>
  <si>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</si>
  <si>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</si>
  <si>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</si>
  <si>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</si>
  <si>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</si>
  <si>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</si>
  <si>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</si>
  <si>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</si>
  <si>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</si>
  <si>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</si>
  <si>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</si>
  <si>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</si>
  <si>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</si>
  <si>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</si>
  <si>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</si>
  <si>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</si>
  <si>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</si>
  <si>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</si>
  <si>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</si>
  <si>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</si>
  <si>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</si>
  <si>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</si>
  <si>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</si>
  <si>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</si>
  <si>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</si>
  <si>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</si>
  <si>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</si>
  <si>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</si>
  <si>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</si>
  <si>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</si>
  <si>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</si>
  <si>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</si>
  <si>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</si>
  <si>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</si>
  <si>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</si>
  <si>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</si>
  <si>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</si>
  <si>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</si>
  <si>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</si>
  <si>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</si>
  <si>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</si>
  <si>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</si>
  <si>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</si>
  <si>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</si>
  <si>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</si>
  <si>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</si>
  <si>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</si>
  <si>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</si>
  <si>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</si>
  <si>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</si>
  <si>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</si>
  <si>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</si>
  <si>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</si>
  <si>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</si>
  <si>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</si>
  <si>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</si>
  <si>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</si>
  <si>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</si>
  <si>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</si>
  <si>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</si>
  <si>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</si>
  <si>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</si>
  <si>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</si>
  <si>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</si>
  <si>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</si>
  <si>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</si>
  <si>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</si>
  <si>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</si>
  <si>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</si>
  <si>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</si>
  <si>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</si>
  <si>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</si>
  <si>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</si>
  <si>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</si>
  <si>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</si>
  <si>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</si>
  <si>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</si>
  <si>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</si>
  <si>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</si>
  <si>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</si>
  <si>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</si>
  <si>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</si>
  <si>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</si>
  <si>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</si>
  <si>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</si>
  <si>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</si>
  <si>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</si>
  <si>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</si>
  <si>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</si>
  <si>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</si>
  <si>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</si>
  <si>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</si>
  <si>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</si>
  <si>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</si>
  <si>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</si>
  <si>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</si>
  <si>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</si>
  <si>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</si>
  <si>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</si>
  <si>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</si>
  <si>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</si>
  <si>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</si>
  <si>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</si>
  <si>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</si>
  <si>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</si>
  <si>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</si>
  <si>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</si>
  <si>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</si>
  <si>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</si>
  <si>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</si>
  <si>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</si>
  <si>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</si>
  <si>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</si>
  <si>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</si>
  <si>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</si>
  <si>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</si>
  <si>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</si>
  <si>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</si>
  <si>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</si>
  <si>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</si>
  <si>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</si>
  <si>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</si>
  <si>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</si>
  <si>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</si>
  <si>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</si>
  <si>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</si>
  <si>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</si>
  <si>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</si>
  <si>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</si>
  <si>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</si>
  <si>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</si>
  <si>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</si>
  <si>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</si>
  <si>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</si>
  <si>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</si>
  <si>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</si>
  <si>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</si>
  <si>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</si>
  <si>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</si>
  <si>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</si>
  <si>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</si>
  <si>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</si>
  <si>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</si>
  <si>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</si>
  <si>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</si>
  <si>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</si>
  <si>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</si>
  <si>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</si>
  <si>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</si>
  <si>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</si>
  <si>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</si>
  <si>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</si>
  <si>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</si>
  <si>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</si>
  <si>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</si>
  <si>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</si>
  <si>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</si>
  <si>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</si>
  <si>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</si>
  <si>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</si>
  <si>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</si>
  <si>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</si>
  <si>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</si>
  <si>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</si>
  <si>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</si>
  <si>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</si>
  <si>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</si>
  <si>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</si>
  <si>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</si>
  <si>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</si>
  <si>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</si>
  <si>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</si>
  <si>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</si>
  <si>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</si>
  <si>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</si>
  <si>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</si>
  <si>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</si>
  <si>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</si>
  <si>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</si>
  <si>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</si>
  <si>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</si>
  <si>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</si>
  <si>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</si>
  <si>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</si>
  <si>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</si>
  <si>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</si>
  <si>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</si>
  <si>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</si>
  <si>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</si>
  <si>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</si>
  <si>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</si>
  <si>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</si>
  <si>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</si>
  <si>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</si>
  <si>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</si>
  <si>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</si>
  <si>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</si>
  <si>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</si>
  <si>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</si>
  <si>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</si>
  <si>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</si>
  <si>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</si>
  <si>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</si>
  <si>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</si>
  <si>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</si>
  <si>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</si>
  <si>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</si>
  <si>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</si>
  <si>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</si>
  <si>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</si>
  <si>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</si>
  <si>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</si>
  <si>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</si>
  <si>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</si>
  <si>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</si>
  <si>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</si>
  <si>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</si>
  <si>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</si>
  <si>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</si>
  <si>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</si>
  <si>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</si>
  <si>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</si>
  <si>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</si>
  <si>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</si>
  <si>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</si>
  <si>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</si>
  <si>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</si>
  <si>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</si>
  <si>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</si>
  <si>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</si>
  <si>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</si>
  <si>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</si>
  <si>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</si>
  <si>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</si>
  <si>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</si>
  <si>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</si>
  <si>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</si>
  <si>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</si>
  <si>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</si>
  <si>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</si>
  <si>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</si>
  <si>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</si>
  <si>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</si>
  <si>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</si>
  <si>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</si>
  <si>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</si>
  <si>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</si>
  <si>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</si>
  <si>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</si>
  <si>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</si>
  <si>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</si>
  <si>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</si>
  <si>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</si>
  <si>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</si>
  <si>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</si>
  <si>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</si>
  <si>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</si>
  <si>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</si>
  <si>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</si>
  <si>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</si>
  <si>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</si>
  <si>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</si>
  <si>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</si>
  <si>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</si>
  <si>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</si>
  <si>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</si>
  <si>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</si>
  <si>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</si>
  <si>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</si>
  <si>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</si>
  <si>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</si>
  <si>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</si>
  <si>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</si>
  <si>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</si>
  <si>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</si>
  <si>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</si>
  <si>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</si>
  <si>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</si>
  <si>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</si>
  <si>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</si>
  <si>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</si>
  <si>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</si>
  <si>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</si>
  <si>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</si>
  <si>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</si>
  <si>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</si>
  <si>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</si>
  <si>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</si>
  <si>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</si>
  <si>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</si>
  <si>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</si>
  <si>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</si>
  <si>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</si>
  <si>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</si>
  <si>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</si>
  <si>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</si>
  <si>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</si>
  <si>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</si>
  <si>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</si>
  <si>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</si>
  <si>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</si>
  <si>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</si>
  <si>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</si>
  <si>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</si>
  <si>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</si>
  <si>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</si>
  <si>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</si>
  <si>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</si>
  <si>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</si>
  <si>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</si>
  <si>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</si>
  <si>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</si>
  <si>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</si>
  <si>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</si>
  <si>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</si>
  <si>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</si>
  <si>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</si>
  <si>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</si>
  <si>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</si>
  <si>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</si>
  <si>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</si>
  <si>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</si>
  <si>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</si>
  <si>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</si>
  <si>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</si>
  <si>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</si>
  <si>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</si>
  <si>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</si>
  <si>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</si>
  <si>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</si>
  <si>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</si>
  <si>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</si>
  <si>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</si>
  <si>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</si>
  <si>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</si>
  <si>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</si>
  <si>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</si>
  <si>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</si>
  <si>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</si>
  <si>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</si>
  <si>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</si>
  <si>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</si>
  <si>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</si>
  <si>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</si>
  <si>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</si>
  <si>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</si>
  <si>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</si>
  <si>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</si>
  <si>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</si>
  <si>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</si>
  <si>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</si>
  <si>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</si>
  <si>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</si>
  <si>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</si>
  <si>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</si>
  <si>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</si>
  <si>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</si>
  <si>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</si>
  <si>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</si>
  <si>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</si>
  <si>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</si>
  <si>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</si>
  <si>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</si>
  <si>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</si>
  <si>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</si>
  <si>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</si>
  <si>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</si>
  <si>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</si>
  <si>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</si>
  <si>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</si>
  <si>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</si>
  <si>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</si>
  <si>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</si>
  <si>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</si>
  <si>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</si>
  <si>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</si>
  <si>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</si>
  <si>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</si>
  <si>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</si>
  <si>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</si>
  <si>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</si>
  <si>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</si>
  <si>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</si>
  <si>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</si>
  <si>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</si>
  <si>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</si>
  <si>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</si>
  <si>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</si>
  <si>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</si>
  <si>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</si>
  <si>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</si>
  <si>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</si>
  <si>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</si>
  <si>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</si>
  <si>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</si>
  <si>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</si>
  <si>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</si>
  <si>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</si>
  <si>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</si>
  <si>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</si>
  <si>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</si>
  <si>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</si>
  <si>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</si>
  <si>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</si>
  <si>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</si>
  <si>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</si>
  <si>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</si>
  <si>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</si>
  <si>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</si>
  <si>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</si>
  <si>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</si>
  <si>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</si>
  <si>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</si>
  <si>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</si>
  <si>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</si>
  <si>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</si>
  <si>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</si>
  <si>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</si>
  <si>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</si>
  <si>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</si>
  <si>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</si>
  <si>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</si>
  <si>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</si>
  <si>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</si>
  <si>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</si>
  <si>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</si>
  <si>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</si>
  <si>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</si>
  <si>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</si>
  <si>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</si>
  <si>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</si>
  <si>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</si>
  <si>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</si>
  <si>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</si>
  <si>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</si>
  <si>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</si>
  <si>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</si>
  <si>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</si>
  <si>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</si>
  <si>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</si>
  <si>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</si>
  <si>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</si>
  <si>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</si>
  <si>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</si>
  <si>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</si>
  <si>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</si>
  <si>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</si>
  <si>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</si>
  <si>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</si>
  <si>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</si>
  <si>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</si>
  <si>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</si>
  <si>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</si>
  <si>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</si>
  <si>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</si>
  <si>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</si>
  <si>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</si>
  <si>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</si>
  <si>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</si>
  <si>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</si>
  <si>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</si>
  <si>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</si>
  <si>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</si>
  <si>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</si>
  <si>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</si>
  <si>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</si>
  <si>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</si>
  <si>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</si>
  <si>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</si>
  <si>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</si>
  <si>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</si>
  <si>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</si>
  <si>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</si>
  <si>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</si>
  <si>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</si>
  <si>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</si>
  <si>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</si>
  <si>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</si>
  <si>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</si>
  <si>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</si>
  <si>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</si>
  <si>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</si>
  <si>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</si>
  <si>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</si>
  <si>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</si>
  <si>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</si>
  <si>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</si>
  <si>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</si>
  <si>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</si>
  <si>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</si>
  <si>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</si>
  <si>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</si>
  <si>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</si>
  <si>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</si>
  <si>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</si>
  <si>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</si>
  <si>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</si>
  <si>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</si>
  <si>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</si>
  <si>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</si>
  <si>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</si>
  <si>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</si>
  <si>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</si>
  <si>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</si>
  <si>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</si>
  <si>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</si>
  <si>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</si>
  <si>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</si>
  <si>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</si>
  <si>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</si>
  <si>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</si>
  <si>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</si>
  <si>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</si>
  <si>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</si>
  <si>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</si>
  <si>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</si>
  <si>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</si>
  <si>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</si>
  <si>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</si>
  <si>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</si>
  <si>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</si>
  <si>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</si>
  <si>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</si>
  <si>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</si>
  <si>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</si>
  <si>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</si>
  <si>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</si>
  <si>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</si>
  <si>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</si>
  <si>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</si>
  <si>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</si>
  <si>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</si>
  <si>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</si>
  <si>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</si>
  <si>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</si>
  <si>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</si>
  <si>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</si>
  <si>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</si>
  <si>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</si>
  <si>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</si>
  <si>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</si>
  <si>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</si>
  <si>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</si>
  <si>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</si>
  <si>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</si>
  <si>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</si>
  <si>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</si>
  <si>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</si>
  <si>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</si>
  <si>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</si>
  <si>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</si>
  <si>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</si>
  <si>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</si>
  <si>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</si>
  <si>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</si>
  <si>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</si>
  <si>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</si>
  <si>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</si>
  <si>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</si>
  <si>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</si>
  <si>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</si>
  <si>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</si>
  <si>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</si>
  <si>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</si>
  <si>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</si>
  <si>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</si>
  <si>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</si>
  <si>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</si>
  <si>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</si>
  <si>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</si>
  <si>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</si>
  <si>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</si>
  <si>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</si>
  <si>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</si>
  <si>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</si>
  <si>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</si>
  <si>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</si>
  <si>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</si>
  <si>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</si>
  <si>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</si>
  <si>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</si>
  <si>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</si>
  <si>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</si>
  <si>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</si>
  <si>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</si>
  <si>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</si>
  <si>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</si>
  <si>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</si>
  <si>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</si>
  <si>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</si>
  <si>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</si>
  <si>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</si>
  <si>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</si>
  <si>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</si>
  <si>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</si>
  <si>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</si>
  <si>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</si>
  <si>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</si>
  <si>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</si>
  <si>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</si>
  <si>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</si>
  <si>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</si>
  <si>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</si>
  <si>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</si>
  <si>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</si>
  <si>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</si>
  <si>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</si>
  <si>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</si>
  <si>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</si>
  <si>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</si>
  <si>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</si>
  <si>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</si>
  <si>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</si>
  <si>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</si>
  <si>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</si>
  <si>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</si>
  <si>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</si>
  <si>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</si>
  <si>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</si>
  <si>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</si>
  <si>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</si>
  <si>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</si>
  <si>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</si>
  <si>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</si>
  <si>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</si>
  <si>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</si>
  <si>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</si>
  <si>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</si>
  <si>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</si>
  <si>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</si>
  <si>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</si>
  <si>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</si>
  <si>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</si>
  <si>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</si>
  <si>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</si>
  <si>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</si>
  <si>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</si>
  <si>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</si>
  <si>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</si>
  <si>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</si>
  <si>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</si>
  <si>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</si>
  <si>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</si>
  <si>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</si>
  <si>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</si>
  <si>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</si>
  <si>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</si>
  <si>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</si>
  <si>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</si>
  <si>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</si>
  <si>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</si>
  <si>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</si>
  <si>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</si>
  <si>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</si>
  <si>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</si>
  <si>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</si>
  <si>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</si>
  <si>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</si>
  <si>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</si>
  <si>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</si>
  <si>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</si>
  <si>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</si>
  <si>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</si>
  <si>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</si>
  <si>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</si>
  <si>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</si>
  <si>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</si>
  <si>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</si>
  <si>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</si>
  <si>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</si>
  <si>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</si>
  <si>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</si>
  <si>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</si>
  <si>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</si>
  <si>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</si>
  <si>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</si>
  <si>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</si>
  <si>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</si>
  <si>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</si>
  <si>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</si>
  <si>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</si>
  <si>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</si>
  <si>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</si>
  <si>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</si>
  <si>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</si>
  <si>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</si>
  <si>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</si>
  <si>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</si>
  <si>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</si>
  <si>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</si>
  <si>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</si>
  <si>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</si>
  <si>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</si>
  <si>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</si>
  <si>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</si>
  <si>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</si>
  <si>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</si>
  <si>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</si>
  <si>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</si>
  <si>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</si>
  <si>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</si>
  <si>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</si>
  <si>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</si>
  <si>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</si>
  <si>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</si>
  <si>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</si>
  <si>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</si>
  <si>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</si>
  <si>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</si>
  <si>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</si>
  <si>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</si>
  <si>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</si>
  <si>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</si>
  <si>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</si>
  <si>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</si>
  <si>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</si>
  <si>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</si>
  <si>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</si>
  <si>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</si>
  <si>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</si>
  <si>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</si>
  <si>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</si>
  <si>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</si>
  <si>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</si>
  <si>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</si>
  <si>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</si>
  <si>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</si>
  <si>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</si>
  <si>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</si>
  <si>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</si>
  <si>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</si>
  <si>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</si>
  <si>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</si>
  <si>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</si>
  <si>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</si>
  <si>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</si>
  <si>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</si>
  <si>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</si>
  <si>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</si>
  <si>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</si>
  <si>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</si>
  <si>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</si>
  <si>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</si>
  <si>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</si>
  <si>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</si>
  <si>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</si>
  <si>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</si>
  <si>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</si>
  <si>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</si>
  <si>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</si>
  <si>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</si>
  <si>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</si>
  <si>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</si>
  <si>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</si>
  <si>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</si>
  <si>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</si>
  <si>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</si>
  <si>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</si>
  <si>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</si>
  <si>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</si>
  <si>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</si>
  <si>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</si>
  <si>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</si>
  <si>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</si>
  <si>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</si>
  <si>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</si>
  <si>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</si>
  <si>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</si>
  <si>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</si>
  <si>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</si>
  <si>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</si>
  <si>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</si>
  <si>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</si>
  <si>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</si>
  <si>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</si>
  <si>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</si>
  <si>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</si>
  <si>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</si>
  <si>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</si>
  <si>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</si>
  <si>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</si>
  <si>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</si>
  <si>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</si>
  <si>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</si>
  <si>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</si>
  <si>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</si>
  <si>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</si>
  <si>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</si>
  <si>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</si>
  <si>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</si>
  <si>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</si>
  <si>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</si>
  <si>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</si>
  <si>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</si>
  <si>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</si>
  <si>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</si>
  <si>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</si>
  <si>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</si>
  <si>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</si>
  <si>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</si>
  <si>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</si>
  <si>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</si>
  <si>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</si>
  <si>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</si>
  <si>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</si>
  <si>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</si>
  <si>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</si>
  <si>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</si>
  <si>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</si>
  <si>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</si>
  <si>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</si>
  <si>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</si>
  <si>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</si>
  <si>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</si>
  <si>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</si>
  <si>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</si>
  <si>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</si>
  <si>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</si>
  <si>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</si>
  <si>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</si>
  <si>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</si>
  <si>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</si>
  <si>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</si>
  <si>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</si>
  <si>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</si>
  <si>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</si>
  <si>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</si>
  <si>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</si>
  <si>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</si>
  <si>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</si>
  <si>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</si>
  <si>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</si>
  <si>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</si>
  <si>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</si>
  <si>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</si>
  <si>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</si>
  <si>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</si>
  <si>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</si>
  <si>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</si>
  <si>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</si>
  <si>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</si>
  <si>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</si>
  <si>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</si>
  <si>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</si>
  <si>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</si>
  <si>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</si>
  <si>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</si>
  <si>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</si>
  <si>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</si>
  <si>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</si>
  <si>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</si>
  <si>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</si>
  <si>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</si>
  <si>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</si>
  <si>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</si>
  <si>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</si>
  <si>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</si>
  <si>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</si>
  <si>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</si>
  <si>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</si>
  <si>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</si>
  <si>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</si>
  <si>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</si>
  <si>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</si>
  <si>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</si>
  <si>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</si>
  <si>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</si>
  <si>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</si>
  <si>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</si>
  <si>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</si>
  <si>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</si>
  <si>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</si>
  <si>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</si>
  <si>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</si>
  <si>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</si>
  <si>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</si>
  <si>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</si>
  <si>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</si>
  <si>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</si>
  <si>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</si>
  <si>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</si>
  <si>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</si>
  <si>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</si>
  <si>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</si>
  <si>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</si>
  <si>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</si>
  <si>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</si>
  <si>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</si>
  <si>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</si>
  <si>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</si>
  <si>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</si>
  <si>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</si>
  <si>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</si>
  <si>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</si>
  <si>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</si>
  <si>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</si>
  <si>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</si>
  <si>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</si>
  <si>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</si>
  <si>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</si>
  <si>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</si>
  <si>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</si>
  <si>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</si>
  <si>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</si>
  <si>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</si>
  <si>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</si>
  <si>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</si>
  <si>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</si>
  <si>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</si>
  <si>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</si>
  <si>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</si>
  <si>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</si>
  <si>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</si>
  <si>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</si>
  <si>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</si>
  <si>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</si>
  <si>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</si>
  <si>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</si>
  <si>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</si>
  <si>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</si>
  <si>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</si>
  <si>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</si>
  <si>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</si>
  <si>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</si>
  <si>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</si>
  <si>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</si>
  <si>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</si>
  <si>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</si>
  <si>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</si>
  <si>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</si>
  <si>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</si>
  <si>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</si>
  <si>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</si>
  <si>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</si>
  <si>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</si>
  <si>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</si>
  <si>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</si>
  <si>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</si>
  <si>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</si>
  <si>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</si>
  <si>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</si>
  <si>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</si>
  <si>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</si>
  <si>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</si>
  <si>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</si>
  <si>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</si>
  <si>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</si>
  <si>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</si>
  <si>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</si>
  <si>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</si>
  <si>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</si>
  <si>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</si>
  <si>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</si>
  <si>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</si>
  <si>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</si>
  <si>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</si>
  <si>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</si>
  <si>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</si>
  <si>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</si>
  <si>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</si>
  <si>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</si>
  <si>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</si>
  <si>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</si>
  <si>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</si>
  <si>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</si>
  <si>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</si>
  <si>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</si>
  <si>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</si>
  <si>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</si>
  <si>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</si>
  <si>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</si>
  <si>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</si>
  <si>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</si>
  <si>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</si>
  <si>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</si>
  <si>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</si>
  <si>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</si>
  <si>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</si>
  <si>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</si>
  <si>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</si>
  <si>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</si>
  <si>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</si>
  <si>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</si>
  <si>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</si>
  <si>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</si>
  <si>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</si>
  <si>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</si>
  <si>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</si>
  <si>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</si>
  <si>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</si>
  <si>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</si>
  <si>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</si>
  <si>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</si>
  <si>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</si>
  <si>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</si>
  <si>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</si>
  <si>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</si>
  <si>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</si>
  <si>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</si>
  <si>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</si>
  <si>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</si>
  <si>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</si>
  <si>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</si>
  <si>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</si>
  <si>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</si>
  <si>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</si>
  <si>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</si>
  <si>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</si>
  <si>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</si>
  <si>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</si>
  <si>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</si>
  <si>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</si>
  <si>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</si>
  <si>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</si>
  <si>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</si>
  <si>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</si>
  <si>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</si>
  <si>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</si>
  <si>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</si>
  <si>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</si>
  <si>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</si>
  <si>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</si>
  <si>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</si>
  <si>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</si>
  <si>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</si>
  <si>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</si>
  <si>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</si>
  <si>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</si>
  <si>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</si>
  <si>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</si>
  <si>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</si>
  <si>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</si>
  <si>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</si>
  <si>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</si>
  <si>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</si>
  <si>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</si>
  <si>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</si>
  <si>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</si>
  <si>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</si>
  <si>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</si>
  <si>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</si>
  <si>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</si>
  <si>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</si>
  <si>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</si>
  <si>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</si>
  <si>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</si>
  <si>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</si>
  <si>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</si>
  <si>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</si>
  <si>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</si>
  <si>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</si>
  <si>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</si>
  <si>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</si>
  <si>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</si>
  <si>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</si>
  <si>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</si>
  <si>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</si>
  <si>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</si>
  <si>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</si>
  <si>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</si>
  <si>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</si>
  <si>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</si>
  <si>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</si>
  <si>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</si>
  <si>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</si>
  <si>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</si>
  <si>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</si>
  <si>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</si>
  <si>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</si>
  <si>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</si>
  <si>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</si>
  <si>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</si>
  <si>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</si>
  <si>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</si>
  <si>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</si>
  <si>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</si>
  <si>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</si>
  <si>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</si>
  <si>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</si>
  <si>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</si>
  <si>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</si>
  <si>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</si>
  <si>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</si>
  <si>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</si>
  <si>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</si>
  <si>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</si>
  <si>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</si>
  <si>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</si>
  <si>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</si>
  <si>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</si>
  <si>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</si>
  <si>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</si>
  <si>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</si>
  <si>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</si>
  <si>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</si>
  <si>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</si>
  <si>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</si>
  <si>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</si>
  <si>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</si>
  <si>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</si>
  <si>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</si>
  <si>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</si>
  <si>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</si>
  <si>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</si>
  <si>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</si>
  <si>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</si>
  <si>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</si>
  <si>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</si>
  <si>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</si>
  <si>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</si>
  <si>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</si>
  <si>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</si>
  <si>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</si>
  <si>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</si>
  <si>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</si>
  <si>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</si>
  <si>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</si>
  <si>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</si>
  <si>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</si>
  <si>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</si>
  <si>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</si>
  <si>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</si>
  <si>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</si>
  <si>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</si>
  <si>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</si>
  <si>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</si>
  <si>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</si>
  <si>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</si>
  <si>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</si>
  <si>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</si>
  <si>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</si>
  <si>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</si>
  <si>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</si>
  <si>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</si>
  <si>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</si>
  <si>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</si>
  <si>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</si>
  <si>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</si>
  <si>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</si>
  <si>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</si>
  <si>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</si>
  <si>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</si>
  <si>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</si>
  <si>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</si>
  <si>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</si>
  <si>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</si>
  <si>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</si>
  <si>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</si>
  <si>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</si>
  <si>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</si>
  <si>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</si>
  <si>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</si>
  <si>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</si>
  <si>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</si>
  <si>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</si>
  <si>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</si>
  <si>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</si>
  <si>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</si>
  <si>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</si>
  <si>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</si>
  <si>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</si>
  <si>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</si>
  <si>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</si>
  <si>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</si>
  <si>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</si>
  <si>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</si>
  <si>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</si>
  <si>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</si>
  <si>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</si>
  <si>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</si>
  <si>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</si>
  <si>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</si>
  <si>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</si>
  <si>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</si>
  <si>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</si>
  <si>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</si>
  <si>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</si>
  <si>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</si>
  <si>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</si>
  <si>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</si>
  <si>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</si>
  <si>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</si>
  <si>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</si>
  <si>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</si>
  <si>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</si>
  <si>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</si>
  <si>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</si>
  <si>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</si>
  <si>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</si>
  <si>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</si>
  <si>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</si>
  <si>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</si>
  <si>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</si>
  <si>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</si>
  <si>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</si>
  <si>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</si>
  <si>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</si>
  <si>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</si>
  <si>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</si>
  <si>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</si>
  <si>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</si>
  <si>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</si>
  <si>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</si>
  <si>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</si>
  <si>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</si>
  <si>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</si>
  <si>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</si>
  <si>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</si>
  <si>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</si>
  <si>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</si>
  <si>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</si>
  <si>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</si>
  <si>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</si>
  <si>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</si>
  <si>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</si>
  <si>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</si>
  <si>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</si>
  <si>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</si>
  <si>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</si>
  <si>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</si>
  <si>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</si>
  <si>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</si>
  <si>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</si>
  <si>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</si>
  <si>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</si>
  <si>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</si>
  <si>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</si>
  <si>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</si>
  <si>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</si>
  <si>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</si>
  <si>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</si>
  <si>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</si>
  <si>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</si>
  <si>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</si>
  <si>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</si>
  <si>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</si>
  <si>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</si>
  <si>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</si>
  <si>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</si>
  <si>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</si>
  <si>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</si>
  <si>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</si>
  <si>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</si>
  <si>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</si>
  <si>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</si>
  <si>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</si>
  <si>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</si>
  <si>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</si>
  <si>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</si>
  <si>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</si>
  <si>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</si>
  <si>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</si>
  <si>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</si>
  <si>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</si>
  <si>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</si>
  <si>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</si>
  <si>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</si>
  <si>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</si>
  <si>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</si>
  <si>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</si>
  <si>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</si>
  <si>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</si>
  <si>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</si>
  <si>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</si>
  <si>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</si>
  <si>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</si>
  <si>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</si>
  <si>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</si>
  <si>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</si>
  <si>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</si>
  <si>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</si>
  <si>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</si>
  <si>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</si>
  <si>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</si>
  <si>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</si>
  <si>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</si>
  <si>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</si>
  <si>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</si>
  <si>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</si>
  <si>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</si>
  <si>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</si>
  <si>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</si>
  <si>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</si>
  <si>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</si>
  <si>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</si>
  <si>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</si>
  <si>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</si>
  <si>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</si>
  <si>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</si>
  <si>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</si>
  <si>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</si>
  <si>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</si>
  <si>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</si>
  <si>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</si>
  <si>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</si>
  <si>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</si>
  <si>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</si>
  <si>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</si>
  <si>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</si>
  <si>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</si>
  <si>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</si>
  <si>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</si>
  <si>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</si>
  <si>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</si>
  <si>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</si>
  <si>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</si>
  <si>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</si>
  <si>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</si>
  <si>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</si>
  <si>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</si>
  <si>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</si>
  <si>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</si>
  <si>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</si>
  <si>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</si>
  <si>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</si>
  <si>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</si>
  <si>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</si>
  <si>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</si>
  <si>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</si>
  <si>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</si>
  <si>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</si>
  <si>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</si>
  <si>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</si>
  <si>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</si>
  <si>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</si>
  <si>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</si>
  <si>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</si>
  <si>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</si>
  <si>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</si>
  <si>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</si>
  <si>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</si>
  <si>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</si>
  <si>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</si>
  <si>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</si>
  <si>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</si>
  <si>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</si>
  <si>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</si>
  <si>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</si>
  <si>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</si>
  <si>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</si>
  <si>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</si>
  <si>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</si>
  <si>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</si>
  <si>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</si>
  <si>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</si>
  <si>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</si>
  <si>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</si>
  <si>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</si>
  <si>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</si>
  <si>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</si>
  <si>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</si>
  <si>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</si>
  <si>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</si>
  <si>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</si>
  <si>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</si>
  <si>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</si>
  <si>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</si>
  <si>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</si>
  <si>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</si>
  <si>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</si>
  <si>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</si>
  <si>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</si>
  <si>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</si>
  <si>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</si>
  <si>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</si>
  <si>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</si>
  <si>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</si>
  <si>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</si>
  <si>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</si>
  <si>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</si>
  <si>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</si>
  <si>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</si>
  <si>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</si>
  <si>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</si>
  <si>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</si>
  <si>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</si>
  <si>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</si>
  <si>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</si>
  <si>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</si>
  <si>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</si>
  <si>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</si>
  <si>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</si>
  <si>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</si>
  <si>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</si>
  <si>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</si>
  <si>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</si>
  <si>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</si>
  <si>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</si>
  <si>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</si>
  <si>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</si>
  <si>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</si>
  <si>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</si>
  <si>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</si>
  <si>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</si>
  <si>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</si>
  <si>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</si>
  <si>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</si>
  <si>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</si>
  <si>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</si>
  <si>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</si>
  <si>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</si>
  <si>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</si>
  <si>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</si>
  <si>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</si>
  <si>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</si>
  <si>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</si>
  <si>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</si>
  <si>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</si>
  <si>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</si>
  <si>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</si>
  <si>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</si>
  <si>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</si>
  <si>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</si>
  <si>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</si>
  <si>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</si>
  <si>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</si>
  <si>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</si>
  <si>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</si>
  <si>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</si>
  <si>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</si>
  <si>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</si>
  <si>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</si>
  <si>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</si>
  <si>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</si>
  <si>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</si>
  <si>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</si>
  <si>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</si>
  <si>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</si>
  <si>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</si>
  <si>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</si>
  <si>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</si>
  <si>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</si>
  <si>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</si>
  <si>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</si>
  <si>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</si>
  <si>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</si>
  <si>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</si>
  <si>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</si>
  <si>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</si>
  <si>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</si>
  <si>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</si>
  <si>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</si>
  <si>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</si>
  <si>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</si>
  <si>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</si>
  <si>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</si>
  <si>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</si>
  <si>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</si>
  <si>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</si>
  <si>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</si>
  <si>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</si>
  <si>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</si>
  <si>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</si>
  <si>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</si>
  <si>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</si>
  <si>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</si>
  <si>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</si>
  <si>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</si>
  <si>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</si>
  <si>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</si>
  <si>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</si>
  <si>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</si>
  <si>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</si>
  <si>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</si>
  <si>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</si>
  <si>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</si>
  <si>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</si>
  <si>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</si>
  <si>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</si>
  <si>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</si>
  <si>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</si>
  <si>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</si>
  <si>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</si>
  <si>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</si>
  <si>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</si>
  <si>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</si>
  <si>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</si>
  <si>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</si>
  <si>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</si>
  <si>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</si>
  <si>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</si>
  <si>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</si>
  <si>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</si>
  <si>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</si>
  <si>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</si>
  <si>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</si>
  <si>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</si>
  <si>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</si>
  <si>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</si>
  <si>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</si>
  <si>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</si>
  <si>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</si>
  <si>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</si>
  <si>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</si>
  <si>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</si>
  <si>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</si>
  <si>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</si>
  <si>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</si>
  <si>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</si>
  <si>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</si>
  <si>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</si>
  <si>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</si>
  <si>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</si>
  <si>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</si>
  <si>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</si>
  <si>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</si>
  <si>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</si>
  <si>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</si>
  <si>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</si>
  <si>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</si>
  <si>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</si>
  <si>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</si>
  <si>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</si>
  <si>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</si>
  <si>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</si>
  <si>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</si>
  <si>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</si>
  <si>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</si>
  <si>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</si>
  <si>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</si>
  <si>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</si>
  <si>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</si>
  <si>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</si>
  <si>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</si>
  <si>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</si>
  <si>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</si>
  <si>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</si>
  <si>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</si>
  <si>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</si>
  <si>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</si>
  <si>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</si>
  <si>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</si>
  <si>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</si>
  <si>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</si>
  <si>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</si>
  <si>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</si>
  <si>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</si>
  <si>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</si>
  <si>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</si>
  <si>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</si>
  <si>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</si>
  <si>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</si>
  <si>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</si>
  <si>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</si>
  <si>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</si>
  <si>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</si>
  <si>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</si>
  <si>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</si>
  <si>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</si>
  <si>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</si>
  <si>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</si>
  <si>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</si>
  <si>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</si>
  <si>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</si>
  <si>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</si>
  <si>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</si>
  <si>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</si>
  <si>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</si>
  <si>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</si>
  <si>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</si>
  <si>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</si>
  <si>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</si>
  <si>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</si>
  <si>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</si>
  <si>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</si>
  <si>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</si>
  <si>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</si>
  <si>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</si>
  <si>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</si>
  <si>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</si>
  <si>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</si>
  <si>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</si>
  <si>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</si>
  <si>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</si>
  <si>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</si>
  <si>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</si>
  <si>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</si>
  <si>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</si>
  <si>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</si>
  <si>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</si>
  <si>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</si>
  <si>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</si>
  <si>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</si>
  <si>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</si>
  <si>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</si>
  <si>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</si>
  <si>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</si>
  <si>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</si>
  <si>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</si>
  <si>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</si>
  <si>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</si>
  <si>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</si>
  <si>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</si>
  <si>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</si>
  <si>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</si>
  <si>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</si>
  <si>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</si>
  <si>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</si>
  <si>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</si>
  <si>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</si>
  <si>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</si>
  <si>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</si>
  <si>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</si>
  <si>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</si>
  <si>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</si>
  <si>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</si>
  <si>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</si>
  <si>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</si>
  <si>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</si>
  <si>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</si>
  <si>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</si>
  <si>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</si>
  <si>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</si>
  <si>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</si>
  <si>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</si>
  <si>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</si>
  <si>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</si>
  <si>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</si>
  <si>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</si>
  <si>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</si>
  <si>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</si>
  <si>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</si>
  <si>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</si>
  <si>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</si>
  <si>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</si>
  <si>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</si>
  <si>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</si>
  <si>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</si>
  <si>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</si>
  <si>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</si>
  <si>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</si>
  <si>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</si>
  <si>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</si>
  <si>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</si>
  <si>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</si>
  <si>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</si>
  <si>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</si>
  <si>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</si>
  <si>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</si>
  <si>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</si>
  <si>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</si>
  <si>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</si>
  <si>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</si>
  <si>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</si>
  <si>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</si>
  <si>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</si>
  <si>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</si>
  <si>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</si>
  <si>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</si>
  <si>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</si>
  <si>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</si>
  <si>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</si>
  <si>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</si>
  <si>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</si>
  <si>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</si>
  <si>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</si>
  <si>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</si>
  <si>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</si>
  <si>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</si>
  <si>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</si>
  <si>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</si>
  <si>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</si>
  <si>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</si>
  <si>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</si>
  <si>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</si>
  <si>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</si>
  <si>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</si>
  <si>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</si>
  <si>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</si>
  <si>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</si>
  <si>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</si>
  <si>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</si>
  <si>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</si>
  <si>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</si>
  <si>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</si>
  <si>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</si>
  <si>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</si>
  <si>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</si>
  <si>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</si>
  <si>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</si>
  <si>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</si>
  <si>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</si>
  <si>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</si>
  <si>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</si>
  <si>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</si>
  <si>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</si>
  <si>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</si>
  <si>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</si>
  <si>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</si>
  <si>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</si>
  <si>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</si>
  <si>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</si>
  <si>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</si>
  <si>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</si>
  <si>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</si>
  <si>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</si>
  <si>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</si>
  <si>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</si>
  <si>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</si>
  <si>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</si>
  <si>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</si>
  <si>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</si>
  <si>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</si>
  <si>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</si>
  <si>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</si>
  <si>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</si>
  <si>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</si>
  <si>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</si>
  <si>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</si>
  <si>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</si>
  <si>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</si>
  <si>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</si>
  <si>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</si>
  <si>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</si>
  <si>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</si>
  <si>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</si>
  <si>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</si>
  <si>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</si>
  <si>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</si>
  <si>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</si>
  <si>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</si>
  <si>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</si>
  <si>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</si>
  <si>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</si>
  <si>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</si>
  <si>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</si>
  <si>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</si>
  <si>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</si>
  <si>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</si>
  <si>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</si>
  <si>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</si>
  <si>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</si>
  <si>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</si>
  <si>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</si>
  <si>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</si>
  <si>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</si>
  <si>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</si>
  <si>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</si>
  <si>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</si>
  <si>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</si>
  <si>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</si>
  <si>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</si>
  <si>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</si>
  <si>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</si>
  <si>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</si>
  <si>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</si>
  <si>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</si>
  <si>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</si>
  <si>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</si>
  <si>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</si>
  <si>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</si>
  <si>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</si>
  <si>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</si>
  <si>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</si>
  <si>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</si>
  <si>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</si>
  <si>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</si>
  <si>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</si>
  <si>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</si>
  <si>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</si>
  <si>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</si>
  <si>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</si>
  <si>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</si>
  <si>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</si>
  <si>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</si>
  <si>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</si>
  <si>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</si>
  <si>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</si>
  <si>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</si>
  <si>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</si>
  <si>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</si>
  <si>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</si>
  <si>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</si>
  <si>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</si>
  <si>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</si>
  <si>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</si>
  <si>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</si>
  <si>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</si>
  <si>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</si>
  <si>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</si>
  <si>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</si>
  <si>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</si>
  <si>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</si>
  <si>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</si>
  <si>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</si>
  <si>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</si>
  <si>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</si>
  <si>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</si>
  <si>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</si>
  <si>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</si>
  <si>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</si>
  <si>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</si>
  <si>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</si>
  <si>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</si>
  <si>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</si>
  <si>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</si>
  <si>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</si>
  <si>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</si>
  <si>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</si>
  <si>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</si>
  <si>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</si>
  <si>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</si>
  <si>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</si>
  <si>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</si>
  <si>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</si>
  <si>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</si>
  <si>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</si>
  <si>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</si>
  <si>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</si>
  <si>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</si>
  <si>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</si>
  <si>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</si>
  <si>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</si>
  <si>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</si>
  <si>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</si>
  <si>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</si>
  <si>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</si>
  <si>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</si>
  <si>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</si>
  <si>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</si>
  <si>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</si>
  <si>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</si>
  <si>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</si>
  <si>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</si>
  <si>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</si>
  <si>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</si>
  <si>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</si>
  <si>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</si>
  <si>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</si>
  <si>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</si>
  <si>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</si>
  <si>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</si>
  <si>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</si>
  <si>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</si>
  <si>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</si>
  <si>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</si>
  <si>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</si>
  <si>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</si>
  <si>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</si>
  <si>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</si>
  <si>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</si>
  <si>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</si>
  <si>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</si>
  <si>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</si>
  <si>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</si>
  <si>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</si>
  <si>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</si>
  <si>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</si>
  <si>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</si>
  <si>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</si>
  <si>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</si>
  <si>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</si>
  <si>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</si>
  <si>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</si>
  <si>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</si>
  <si>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</si>
  <si>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</si>
  <si>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</si>
  <si>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</si>
  <si>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</si>
  <si>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</si>
  <si>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</si>
  <si>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</si>
  <si>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</si>
  <si>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</si>
  <si>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</si>
  <si>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</si>
  <si>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</si>
  <si>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</si>
  <si>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</si>
  <si>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</si>
  <si>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</si>
  <si>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</si>
  <si>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</si>
  <si>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</si>
  <si>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</si>
  <si>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</si>
  <si>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</si>
  <si>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</si>
  <si>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</si>
  <si>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</si>
  <si>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</si>
  <si>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</si>
  <si>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</si>
  <si>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</si>
  <si>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</si>
  <si>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</si>
  <si>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</si>
  <si>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</si>
  <si>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</si>
  <si>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</si>
  <si>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</si>
  <si>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</si>
  <si>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</si>
  <si>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</si>
  <si>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</si>
  <si>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</si>
  <si>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</si>
  <si>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</si>
  <si>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</si>
  <si>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</si>
  <si>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</si>
  <si>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</si>
  <si>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</si>
  <si>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</si>
  <si>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</si>
  <si>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</si>
  <si>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</si>
  <si>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</si>
  <si>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</si>
  <si>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</si>
  <si>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</si>
  <si>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</si>
  <si>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</si>
  <si>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</si>
  <si>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</si>
  <si>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</si>
  <si>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</si>
  <si>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</si>
  <si>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</si>
  <si>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</si>
  <si>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</si>
  <si>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</si>
  <si>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</si>
  <si>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</si>
  <si>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</si>
  <si>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</si>
  <si>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</si>
  <si>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</si>
  <si>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</si>
  <si>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</si>
  <si>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</si>
  <si>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</si>
  <si>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</si>
  <si>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</si>
  <si>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</si>
  <si>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</si>
  <si>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</si>
  <si>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</si>
  <si>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</si>
  <si>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</si>
  <si>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</si>
  <si>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</si>
  <si>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</si>
  <si>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</si>
  <si>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</si>
  <si>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</si>
  <si>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</si>
  <si>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</si>
  <si>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</si>
  <si>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</si>
  <si>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</si>
  <si>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</si>
  <si>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</si>
  <si>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</si>
  <si>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</si>
  <si>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</si>
  <si>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</si>
  <si>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</si>
  <si>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</si>
  <si>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</si>
  <si>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</si>
  <si>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</si>
  <si>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</si>
  <si>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</si>
  <si>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</si>
  <si>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</si>
  <si>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</si>
  <si>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</si>
  <si>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</si>
  <si>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</si>
  <si>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</si>
  <si>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</si>
  <si>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</si>
  <si>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</si>
  <si>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</si>
  <si>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</si>
  <si>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</si>
  <si>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</si>
  <si>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</si>
  <si>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</si>
  <si>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</si>
  <si>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</si>
  <si>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</si>
  <si>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</si>
  <si>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</si>
  <si>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</si>
  <si>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</si>
  <si>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</si>
  <si>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</si>
  <si>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</si>
  <si>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</si>
  <si>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</si>
  <si>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</si>
  <si>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</si>
  <si>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</si>
  <si>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</si>
  <si>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</si>
  <si>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</si>
  <si>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</si>
  <si>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</si>
  <si>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</si>
  <si>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</si>
  <si>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</si>
  <si>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</si>
  <si>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</si>
  <si>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</si>
  <si>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</si>
  <si>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</si>
  <si>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</si>
  <si>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</si>
  <si>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</si>
  <si>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</si>
  <si>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</si>
  <si>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</si>
  <si>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</si>
  <si>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</si>
  <si>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</si>
  <si>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</si>
  <si>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</si>
  <si>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</si>
  <si>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</si>
  <si>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</si>
  <si>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</si>
  <si>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</si>
  <si>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</si>
  <si>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</si>
  <si>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</si>
  <si>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</si>
  <si>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</si>
  <si>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</si>
  <si>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</si>
  <si>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</si>
  <si>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</si>
  <si>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</si>
  <si>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</si>
  <si>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</si>
  <si>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</si>
  <si>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</si>
  <si>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</si>
  <si>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</si>
  <si>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</si>
  <si>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</si>
  <si>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</si>
  <si>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</si>
  <si>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</si>
  <si>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</si>
  <si>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</si>
  <si>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</si>
  <si>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</si>
  <si>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</si>
  <si>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</si>
  <si>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</si>
  <si>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</si>
  <si>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</si>
  <si>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</si>
  <si>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</si>
  <si>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</si>
  <si>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</si>
  <si>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</si>
  <si>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</si>
  <si>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</si>
  <si>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</si>
  <si>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</si>
  <si>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</si>
  <si>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</si>
  <si>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</si>
  <si>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</si>
  <si>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</si>
  <si>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</si>
  <si>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</si>
  <si>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</si>
  <si>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</si>
  <si>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</si>
  <si>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</si>
  <si>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</si>
  <si>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</si>
  <si>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</si>
  <si>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</si>
  <si>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</si>
  <si>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</si>
  <si>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</si>
  <si>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</si>
  <si>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</si>
  <si>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</si>
  <si>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</si>
  <si>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</si>
  <si>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</si>
  <si>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</si>
  <si>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</si>
  <si>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</si>
  <si>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</si>
  <si>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</si>
  <si>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</si>
  <si>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</si>
  <si>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</si>
  <si>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</si>
  <si>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</si>
  <si>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</si>
  <si>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</si>
  <si>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</si>
  <si>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</si>
  <si>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</si>
  <si>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</si>
  <si>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</si>
  <si>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</si>
  <si>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</si>
  <si>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</si>
  <si>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</si>
  <si>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</si>
  <si>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</si>
  <si>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</si>
  <si>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</si>
  <si>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</si>
  <si>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</si>
  <si>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</si>
  <si>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</si>
  <si>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</si>
  <si>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</si>
  <si>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</si>
  <si>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</si>
  <si>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</si>
  <si>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</si>
  <si>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</si>
  <si>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</si>
  <si>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</si>
  <si>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</si>
  <si>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</si>
  <si>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</si>
  <si>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</si>
  <si>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</si>
  <si>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</si>
  <si>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</si>
  <si>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</si>
  <si>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</si>
  <si>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</si>
  <si>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</si>
  <si>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</si>
  <si>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</si>
  <si>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</si>
  <si>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</si>
  <si>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</si>
  <si>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</si>
  <si>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</si>
  <si>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</si>
  <si>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</si>
  <si>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</si>
  <si>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</si>
  <si>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</si>
  <si>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</si>
  <si>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</si>
  <si>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</si>
  <si>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</si>
  <si>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</si>
  <si>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</si>
  <si>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</si>
  <si>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</si>
  <si>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</si>
  <si>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</si>
  <si>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</si>
  <si>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</si>
  <si>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</si>
  <si>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</si>
  <si>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</si>
  <si>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</si>
  <si>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</si>
  <si>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</si>
  <si>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</si>
  <si>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</si>
  <si>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</si>
  <si>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</si>
  <si>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</si>
  <si>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</si>
  <si>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</si>
  <si>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</si>
  <si>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</si>
  <si>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</si>
  <si>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</si>
  <si>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</si>
  <si>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</si>
  <si>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</si>
  <si>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</si>
  <si>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</si>
  <si>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</si>
  <si>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</si>
  <si>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</si>
  <si>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</si>
  <si>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</si>
  <si>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</si>
  <si>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</si>
  <si>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</si>
  <si>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</si>
  <si>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</si>
  <si>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</si>
  <si>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</si>
  <si>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</si>
  <si>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</si>
  <si>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</si>
  <si>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</si>
  <si>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</si>
  <si>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</si>
  <si>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</si>
  <si>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</si>
  <si>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</si>
  <si>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</si>
  <si>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</si>
  <si>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</si>
  <si>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</si>
  <si>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</si>
  <si>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</si>
  <si>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</si>
  <si>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</si>
  <si>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</si>
  <si>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</si>
  <si>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</si>
  <si>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</si>
  <si>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</si>
  <si>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</si>
  <si>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</si>
  <si>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 xml:space="preserve">ORG </t>
  </si>
  <si>
    <t>C:\Users\joe\OneDrive\Documents\GitHub\8080_snapshots\cpu6510\6510 Model Current_2026-03-28_2026_v2.14.txt</t>
  </si>
  <si>
    <t>C:\Users\joe\OneDrive\Documents\GitHub\8080_snapshots\cpu6510\6510 Model Current_2026-03-28_2026_v2.14.xlsm</t>
  </si>
  <si>
    <t>#48</t>
  </si>
  <si>
    <t>FFD2</t>
  </si>
  <si>
    <t>#45</t>
  </si>
  <si>
    <t>#4C</t>
  </si>
  <si>
    <t>#4F</t>
  </si>
  <si>
    <t>#0D</t>
  </si>
  <si>
    <t>C:\Users\joe\OneDrive\Documents\GitHub\8080_snapshots\cpu6510\6510 Model Current_2026-03-28_2030_v2.15.txt</t>
  </si>
  <si>
    <t>C:\Users\joe\OneDrive\Documents\GitHub\8080_snapshots\cpu6510\6510 Model Current_2026-03-28_2030_v2.15.xlsm</t>
  </si>
  <si>
    <t>6510 'Hello' via operating system traps</t>
  </si>
  <si>
    <t>C:\Users\joe\OneDrive\Documents\GitHub\8080_snapshots\cpu6510\6510 Model Current_2026-03-28_2107_v2.16.txt</t>
  </si>
  <si>
    <t>C:\Users\joe\OneDrive\Documents\GitHub\8080_snapshots\cpu6510\6510 Model Current_2026-03-28_2107_v2.16.xlsm</t>
  </si>
  <si>
    <t>C:\Users\joe\OneDrive\Documents\GitHub\8080_snapshots\cpu6510\6510 Model Current_2026-03-28_2108_v2.17.txt</t>
  </si>
  <si>
    <t>C:\Users\joe\OneDrive\Documents\GitHub\8080_snapshots\cpu6510\6510 Model Current_2026-03-28_2108_v2.17.xlsm</t>
  </si>
  <si>
    <t>C:\Users\joe\OneDrive\Documents\GitHub\8080_snapshots\cpu6510\6510 Model Current_2026-03-28_2112_v2.18.txt</t>
  </si>
  <si>
    <t>C:\Users\joe\OneDrive\Documents\GitHub\8080_snapshots\cpu6510\6510 Model Current_2026-03-28_2112_v2.18.xlsm</t>
  </si>
  <si>
    <t>0500</t>
  </si>
  <si>
    <t>PASS</t>
  </si>
  <si>
    <t>Error: 311 - LDA: Invalid address: #AA at line 768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</si>
  <si>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&gt;Unit_T056:FAIL_x000D_
&gt;Unit_T057:FAIL_x000D_
&gt;Unit_T058:PASS_x000D_
&gt;Unit_T059:PASS_x000D_
&gt;Unit_T060:PASS_x000D_
&gt;Unit_T061:FAIL_x000D_
&gt;Unit_T062:FAIL_x000D_
&gt;Unit_T063:FAIL_x000D_
&gt;Unit_T064:FAIL_x000D_
&gt;Unit_T065:FAIL_x000D_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&gt;Unit_T088:FAIL_x000D_
&gt;Unit_T089:PASS_x000D_
&gt;Unit_T090:PASS_x000D_
&gt;Unit_T091:PASS_x000D_
&gt;Unit_T092:PASS_x000D_
&gt;Unit_T093:PASS_x000D_
&gt;Unit_T094:PASS_x000D_
&gt;Unit_T095:PASS_x000D_
&gt;Unit_T096:PASS_x000D_
&gt;Unit_T097:PASS_x000D_
&gt;Unit_T098:FAIL_x000D_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</si>
</sst>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1" borderId="16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30" borderId="16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8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5" sqref="I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311</v>
      </c>
      <c r="F1" s="253" t="s">
        <v>2404</v>
      </c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5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768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0300</v>
      </c>
      <c r="N8" s="69">
        <f>I19</f>
        <v>768</v>
      </c>
      <c r="O8" s="95"/>
      <c r="P8" s="96" t="s">
        <v>870</v>
      </c>
      <c r="Q8" s="153" t="s">
        <v>2367</v>
      </c>
      <c r="R8" s="98"/>
      <c r="S8" s="150" cm="1">
        <f t="array" ref="S8">IF(P8="",0,IF(OR(O8=";",P8="EQU",P8="ORG"),0,HlpGetInstructionSize(P8,Q8,R8)))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0303</v>
      </c>
      <c r="N9" s="69">
        <f>N8+S8</f>
        <v>771</v>
      </c>
      <c r="O9" s="95"/>
      <c r="P9" s="96" t="s">
        <v>2317</v>
      </c>
      <c r="Q9" s="153" t="s">
        <v>2368</v>
      </c>
      <c r="R9" s="98"/>
      <c r="S9" s="151" cm="1">
        <f t="array" ref="S9">IF(P9="",0,IF(OR(O9=";",P9="EQU",P9="ORG"),0,HlpGetInstructionSize(P9,Q9,R9)))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0304</v>
      </c>
      <c r="N10" s="69">
        <f t="shared" ref="N10:N73" si="15">N9+S9</f>
        <v>772</v>
      </c>
      <c r="O10" s="95"/>
      <c r="P10" s="96" t="s">
        <v>2321</v>
      </c>
      <c r="Q10" s="153" t="s">
        <v>2379</v>
      </c>
      <c r="R10" s="98"/>
      <c r="S10" s="151" cm="1">
        <f t="array" ref="S10">IF(P10="",0,IF(OR(O10=";",P10="EQU",P10="ORG"),0,HlpGetInstructionSize(P10,Q10,R10)))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0305</v>
      </c>
      <c r="N11" s="69">
        <f t="shared" si="15"/>
        <v>773</v>
      </c>
      <c r="O11" s="95"/>
      <c r="P11" s="96" t="s">
        <v>190</v>
      </c>
      <c r="Q11" s="153"/>
      <c r="R11" s="98"/>
      <c r="S11" s="151" cm="1">
        <f t="array" ref="S11">IF(P11="",0,IF(OR(O11=";",P11="EQU",P11="ORG"),0,HlpGetInstructionSize(P11,Q11,R11)))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0306</v>
      </c>
      <c r="N12" s="69">
        <f t="shared" si="15"/>
        <v>774</v>
      </c>
      <c r="O12" s="95"/>
      <c r="P12" s="96"/>
      <c r="Q12" s="153"/>
      <c r="R12" s="98"/>
      <c r="S12" s="151" cm="1">
        <f t="array" ref="S12">IF(P12="",0,IF(OR(O12=";",P12="EQU",P12="ORG"),0,HlpGetInstructionSize(P12,Q12,R12)))</f>
        <v>0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1149</v>
      </c>
      <c r="D13" s="34" t="str">
        <f t="shared" si="3"/>
        <v>.</v>
      </c>
      <c r="E13" s="35">
        <f t="shared" si="4"/>
        <v>768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0306</v>
      </c>
      <c r="N13" s="69">
        <f t="shared" si="15"/>
        <v>774</v>
      </c>
      <c r="O13" s="95"/>
      <c r="P13" s="96"/>
      <c r="Q13" s="153"/>
      <c r="R13" s="98"/>
      <c r="S13" s="151" cm="1">
        <f t="array" ref="S13">IF(P13="",0,IF(OR(O13=";",P13="EQU",P13="ORG"),0,HlpGetInstructionSize(P13,Q13,R13)))</f>
        <v>0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2402</v>
      </c>
      <c r="D14" s="36" t="str">
        <f t="shared" si="3"/>
        <v>.</v>
      </c>
      <c r="E14" s="37">
        <f t="shared" si="4"/>
        <v>1280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0306</v>
      </c>
      <c r="N14" s="69">
        <f t="shared" si="15"/>
        <v>774</v>
      </c>
      <c r="O14" s="95"/>
      <c r="P14" s="96"/>
      <c r="Q14" s="153"/>
      <c r="R14" s="98"/>
      <c r="S14" s="151" cm="1">
        <f t="array" ref="S14">IF(P14="",0,IF(OR(O14=";",P14="EQU",P14="ORG"),0,HlpGetInstructionSize(P14,Q14,R14)))</f>
        <v>0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0306</v>
      </c>
      <c r="N15" s="69">
        <f t="shared" si="15"/>
        <v>774</v>
      </c>
      <c r="O15" s="95"/>
      <c r="P15" s="96"/>
      <c r="Q15" s="153"/>
      <c r="R15" s="98"/>
      <c r="S15" s="151" cm="1">
        <f t="array" ref="S15">IF(P15="",0,IF(OR(O15=";",P15="EQU",P15="ORG"),0,HlpGetInstructionSize(P15,Q15,R15)))</f>
        <v>0</v>
      </c>
      <c r="V15" s="48"/>
      <c r="W15" s="16"/>
      <c r="X15" s="34"/>
      <c r="Y15" s="35"/>
      <c r="AA15" s="128">
        <v>768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0</v>
      </c>
      <c r="K16" s="85"/>
      <c r="L16" s="54" t="str">
        <f t="shared" si="14"/>
        <v/>
      </c>
      <c r="M16" s="38" t="str">
        <f t="shared" si="12"/>
        <v>0306</v>
      </c>
      <c r="N16" s="69">
        <f t="shared" si="15"/>
        <v>774</v>
      </c>
      <c r="O16" s="95"/>
      <c r="P16" s="96"/>
      <c r="Q16" s="153"/>
      <c r="R16" s="98"/>
      <c r="S16" s="151" cm="1">
        <f t="array" ref="S16">IF(P16="",0,IF(OR(O16=";",P16="EQU",P16="ORG"),0,HlpGetInstructionSize(P16,Q16,R16)))</f>
        <v>0</v>
      </c>
      <c r="V16" s="48"/>
      <c r="W16" s="16"/>
      <c r="X16" s="34"/>
      <c r="Y16" s="35"/>
      <c r="AA16" s="74">
        <v>776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370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00</v>
      </c>
      <c r="D17" s="158" t="str">
        <f>IF(AND(E17&gt;=32,E17&lt;=126),CHAR(E17),".")</f>
        <v>.</v>
      </c>
      <c r="E17" s="211">
        <f>HEX2DEC(C17)</f>
        <v>0</v>
      </c>
      <c r="K17" s="85"/>
      <c r="L17" s="54" t="str">
        <f t="shared" si="14"/>
        <v/>
      </c>
      <c r="M17" s="38" t="str">
        <f t="shared" si="12"/>
        <v>0306</v>
      </c>
      <c r="N17" s="69">
        <f t="shared" si="15"/>
        <v>774</v>
      </c>
      <c r="O17" s="95"/>
      <c r="P17" s="96"/>
      <c r="Q17" s="153"/>
      <c r="R17" s="98"/>
      <c r="S17" s="151" cm="1">
        <f t="array" ref="S17">IF(P17="",0,IF(OR(O17=";",P17="EQU",P17="ORG"),0,HlpGetInstructionSize(P17,Q17,R17)))</f>
        <v>0</v>
      </c>
      <c r="V17" s="48"/>
      <c r="W17" s="16"/>
      <c r="X17" s="34"/>
      <c r="Y17" s="35"/>
      <c r="AA17" s="74">
        <v>784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370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500</v>
      </c>
      <c r="I18" s="58">
        <f>HEX2DEC(H18)</f>
        <v>1280</v>
      </c>
      <c r="K18" s="85"/>
      <c r="L18" s="54" t="str">
        <f t="shared" si="14"/>
        <v/>
      </c>
      <c r="M18" s="38" t="str">
        <f t="shared" si="12"/>
        <v>0306</v>
      </c>
      <c r="N18" s="69">
        <f t="shared" si="15"/>
        <v>774</v>
      </c>
      <c r="O18" s="95"/>
      <c r="P18" s="96"/>
      <c r="Q18" s="153"/>
      <c r="R18" s="98"/>
      <c r="S18" s="151" cm="1">
        <f t="array" ref="S18">IF(P18="",0,IF(OR(O18=";",P18="EQU",P18="ORG"),0,HlpGetInstructionSize(P18,Q18,R18)))</f>
        <v>0</v>
      </c>
      <c r="V18" s="48"/>
      <c r="W18" s="16"/>
      <c r="X18" s="34"/>
      <c r="Y18" s="35"/>
      <c r="AA18" s="74">
        <v>792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300</v>
      </c>
      <c r="I19" s="35">
        <f>HEX2DEC(H19)</f>
        <v>768</v>
      </c>
      <c r="K19" s="85"/>
      <c r="L19" s="54" t="str">
        <f t="shared" si="14"/>
        <v/>
      </c>
      <c r="M19" s="38" t="str">
        <f t="shared" si="12"/>
        <v>0306</v>
      </c>
      <c r="N19" s="69">
        <f t="shared" si="15"/>
        <v>774</v>
      </c>
      <c r="O19" s="95"/>
      <c r="P19" s="96"/>
      <c r="Q19" s="153"/>
      <c r="R19" s="98"/>
      <c r="S19" s="151" cm="1">
        <f t="array" ref="S19">IF(P19="",0,IF(OR(O19=";",P19="EQU",P19="ORG"),0,HlpGetInstructionSize(P19,Q19,R19)))</f>
        <v>0</v>
      </c>
      <c r="V19" s="48"/>
      <c r="W19" s="16"/>
      <c r="X19" s="34"/>
      <c r="Y19" s="35"/>
      <c r="AA19" s="74">
        <v>800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370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0300</v>
      </c>
      <c r="D20" s="34" t="str">
        <f t="shared" si="24"/>
        <v>.</v>
      </c>
      <c r="E20" s="35">
        <f t="shared" si="25"/>
        <v>768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0306</v>
      </c>
      <c r="N20" s="69">
        <f t="shared" si="15"/>
        <v>774</v>
      </c>
      <c r="O20" s="95"/>
      <c r="P20" s="96"/>
      <c r="Q20" s="153"/>
      <c r="R20" s="98"/>
      <c r="S20" s="151" cm="1">
        <f t="array" ref="S20">IF(P20="",0,IF(OR(O20=";",P20="EQU",P20="ORG"),0,HlpGetInstructionSize(P20,Q20,R20)))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0500</v>
      </c>
      <c r="D21" s="34" t="str">
        <f t="shared" si="24"/>
        <v>.</v>
      </c>
      <c r="E21" s="35">
        <f t="shared" si="25"/>
        <v>1280</v>
      </c>
      <c r="G21" s="8" t="s">
        <v>209</v>
      </c>
      <c r="H21" s="36" t="str">
        <f>DEC2HEX(I21)</f>
        <v>500</v>
      </c>
      <c r="I21" s="37">
        <f>I19+I20</f>
        <v>1280</v>
      </c>
      <c r="K21" s="85"/>
      <c r="L21" s="54" t="str">
        <f t="shared" si="14"/>
        <v/>
      </c>
      <c r="M21" s="38" t="str">
        <f t="shared" si="12"/>
        <v>0306</v>
      </c>
      <c r="N21" s="69">
        <f t="shared" si="15"/>
        <v>774</v>
      </c>
      <c r="O21" s="95"/>
      <c r="P21" s="96"/>
      <c r="Q21" s="153"/>
      <c r="R21" s="98"/>
      <c r="S21" s="151" cm="1">
        <f t="array" ref="S21">IF(P21="",0,IF(OR(O21=";",P21="EQU",P21="ORG"),0,HlpGetInstructionSize(P21,Q21,R21)))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899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0306</v>
      </c>
      <c r="N22" s="69">
        <f t="shared" si="15"/>
        <v>774</v>
      </c>
      <c r="O22" s="95"/>
      <c r="P22" s="96"/>
      <c r="Q22" s="153"/>
      <c r="R22" s="98"/>
      <c r="S22" s="151" cm="1">
        <f t="array" ref="S22">IF(P22="",0,IF(OR(O22=";",P22="EQU",P22="ORG"),0,HlpGetInstructionSize(P22,Q22,R22)))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0306</v>
      </c>
      <c r="N23" s="69">
        <f t="shared" si="15"/>
        <v>774</v>
      </c>
      <c r="O23" s="95"/>
      <c r="P23" s="96"/>
      <c r="Q23" s="153"/>
      <c r="R23" s="98"/>
      <c r="S23" s="151" cm="1">
        <f t="array" ref="S23">IF(P23="",0,IF(OR(O23=";",P23="EQU",P23="ORG"),0,HlpGetInstructionSize(P23,Q23,R23)))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0306</v>
      </c>
      <c r="N24" s="69">
        <f t="shared" si="15"/>
        <v>774</v>
      </c>
      <c r="O24" s="95"/>
      <c r="P24" s="96"/>
      <c r="Q24" s="153"/>
      <c r="R24" s="98"/>
      <c r="S24" s="151" cm="1">
        <f t="array" ref="S24">IF(P24="",0,IF(OR(O24=";",P24="EQU",P24="ORG"),0,HlpGetInstructionSize(P24,Q24,R24)))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0306</v>
      </c>
      <c r="N25" s="69">
        <f t="shared" si="15"/>
        <v>774</v>
      </c>
      <c r="O25" s="95"/>
      <c r="P25" s="96"/>
      <c r="Q25" s="153"/>
      <c r="R25" s="98"/>
      <c r="S25" s="151" cm="1">
        <f t="array" ref="S25">IF(P25="",0,IF(OR(O25=";",P25="EQU",P25="ORG"),0,HlpGetInstructionSize(P25,Q25,R25)))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0306</v>
      </c>
      <c r="N26" s="69">
        <f t="shared" si="15"/>
        <v>774</v>
      </c>
      <c r="O26" s="95"/>
      <c r="P26" s="96"/>
      <c r="Q26" s="153"/>
      <c r="R26" s="98"/>
      <c r="S26" s="151" cm="1">
        <f t="array" ref="S26">IF(P26="",0,IF(OR(O26=";",P26="EQU",P26="ORG"),0,HlpGetInstructionSize(P26,Q26,R26)))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0306</v>
      </c>
      <c r="N27" s="69">
        <f t="shared" si="15"/>
        <v>774</v>
      </c>
      <c r="O27" s="95"/>
      <c r="P27" s="96"/>
      <c r="Q27" s="153"/>
      <c r="R27" s="98"/>
      <c r="S27" s="151" cm="1">
        <f t="array" ref="S27">IF(P27="",0,IF(OR(O27=";",P27="EQU",P27="ORG"),0,HlpGetInstructionSize(P27,Q27,R27)))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0306</v>
      </c>
      <c r="N28" s="69">
        <f t="shared" si="15"/>
        <v>774</v>
      </c>
      <c r="O28" s="95"/>
      <c r="P28" s="96"/>
      <c r="Q28" s="153"/>
      <c r="R28" s="98"/>
      <c r="S28" s="151" cm="1">
        <f t="array" ref="S28">IF(P28="",0,IF(OR(O28=";",P28="EQU",P28="ORG"),0,HlpGetInstructionSize(P28,Q28,R28)))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0306</v>
      </c>
      <c r="N29" s="69">
        <f t="shared" si="15"/>
        <v>774</v>
      </c>
      <c r="O29" s="95"/>
      <c r="P29" s="96"/>
      <c r="Q29" s="153"/>
      <c r="R29" s="98"/>
      <c r="S29" s="151" cm="1">
        <f t="array" ref="S29">IF(P29="",0,IF(OR(O29=";",P29="EQU",P29="ORG"),0,HlpGetInstructionSize(P29,Q29,R29)))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  <c r="AM29">
        <f>HEX2DEC(("200"))</f>
        <v>512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0306</v>
      </c>
      <c r="N30" s="69">
        <f t="shared" si="15"/>
        <v>774</v>
      </c>
      <c r="O30" s="95"/>
      <c r="P30" s="96"/>
      <c r="Q30" s="153"/>
      <c r="R30" s="98"/>
      <c r="S30" s="151" cm="1">
        <f t="array" ref="S30">IF(P30="",0,IF(OR(O30=";",P30="EQU",P30="ORG"),0,HlpGetInstructionSize(P30,Q30,R30)))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0306</v>
      </c>
      <c r="N31" s="69">
        <f t="shared" si="15"/>
        <v>774</v>
      </c>
      <c r="O31" s="95"/>
      <c r="P31" s="96"/>
      <c r="Q31" s="153"/>
      <c r="R31" s="98"/>
      <c r="S31" s="151" cm="1">
        <f t="array" ref="S31">IF(P31="",0,IF(OR(O31=";",P31="EQU",P31="ORG"),0,HlpGetInstructionSize(P31,Q31,R31)))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0306</v>
      </c>
      <c r="N32" s="69">
        <f t="shared" si="15"/>
        <v>774</v>
      </c>
      <c r="O32" s="95"/>
      <c r="P32" s="96"/>
      <c r="Q32" s="153"/>
      <c r="R32" s="98"/>
      <c r="S32" s="151" cm="1">
        <f t="array" ref="S32">IF(P32="",0,IF(OR(O32=";",P32="EQU",P32="ORG"),0,HlpGetInstructionSize(P32,Q32,R32)))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0306</v>
      </c>
      <c r="N33" s="69">
        <f t="shared" si="15"/>
        <v>774</v>
      </c>
      <c r="O33" s="95"/>
      <c r="P33" s="96"/>
      <c r="Q33" s="153"/>
      <c r="R33" s="98"/>
      <c r="S33" s="151" cm="1">
        <f t="array" ref="S33">IF(P33="",0,IF(OR(O33=";",P33="EQU",P33="ORG"),0,HlpGetInstructionSize(P33,Q33,R33)))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0306</v>
      </c>
      <c r="N34" s="69">
        <f t="shared" si="15"/>
        <v>774</v>
      </c>
      <c r="O34" s="95"/>
      <c r="P34" s="96"/>
      <c r="Q34" s="153"/>
      <c r="R34" s="98"/>
      <c r="S34" s="151" cm="1">
        <f t="array" ref="S34">IF(P34="",0,IF(OR(O34=";",P34="EQU",P34="ORG"),0,HlpGetInstructionSize(P34,Q34,R34)))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0306</v>
      </c>
      <c r="N35" s="69">
        <f t="shared" si="15"/>
        <v>774</v>
      </c>
      <c r="O35" s="95"/>
      <c r="P35" s="96"/>
      <c r="Q35" s="153"/>
      <c r="R35" s="98"/>
      <c r="S35" s="151" cm="1">
        <f t="array" ref="S35">IF(P35="",0,IF(OR(O35=";",P35="EQU",P35="ORG"),0,HlpGetInstructionSize(P35,Q35,R35)))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0306</v>
      </c>
      <c r="N36" s="69">
        <f t="shared" si="15"/>
        <v>774</v>
      </c>
      <c r="O36" s="95"/>
      <c r="P36" s="96"/>
      <c r="Q36" s="153"/>
      <c r="R36" s="98"/>
      <c r="S36" s="151" cm="1">
        <f t="array" ref="S36">IF(P36="",0,IF(OR(O36=";",P36="EQU",P36="ORG"),0,HlpGetInstructionSize(P36,Q36,R36)))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0306</v>
      </c>
      <c r="N37" s="69">
        <f t="shared" si="15"/>
        <v>774</v>
      </c>
      <c r="O37" s="95"/>
      <c r="P37" s="96"/>
      <c r="Q37" s="153"/>
      <c r="R37" s="98"/>
      <c r="S37" s="151" cm="1">
        <f t="array" ref="S37">IF(P37="",0,IF(OR(O37=";",P37="EQU",P37="ORG"),0,HlpGetInstructionSize(P37,Q37,R37)))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0306</v>
      </c>
      <c r="N38" s="69">
        <f t="shared" si="15"/>
        <v>774</v>
      </c>
      <c r="O38" s="95"/>
      <c r="P38" s="96"/>
      <c r="Q38" s="153"/>
      <c r="R38" s="98"/>
      <c r="S38" s="151" cm="1">
        <f t="array" ref="S38">IF(P38="",0,IF(OR(O38=";",P38="EQU",P38="ORG"),0,HlpGetInstructionSize(P38,Q38,R38)))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0306</v>
      </c>
      <c r="N39" s="69">
        <f t="shared" si="15"/>
        <v>774</v>
      </c>
      <c r="O39" s="95"/>
      <c r="P39" s="96"/>
      <c r="Q39" s="153"/>
      <c r="R39" s="98"/>
      <c r="S39" s="151" cm="1">
        <f t="array" ref="S39">IF(P39="",0,IF(OR(O39=";",P39="EQU",P39="ORG"),0,HlpGetInstructionSize(P39,Q39,R39)))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0306</v>
      </c>
      <c r="N40" s="69">
        <f t="shared" si="15"/>
        <v>774</v>
      </c>
      <c r="O40" s="95"/>
      <c r="P40" s="96"/>
      <c r="Q40" s="153"/>
      <c r="R40" s="98"/>
      <c r="S40" s="151" cm="1">
        <f t="array" ref="S40">IF(P40="",0,IF(OR(O40=";",P40="EQU",P40="ORG"),0,HlpGetInstructionSize(P40,Q40,R40)))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0306</v>
      </c>
      <c r="N41" s="69">
        <f t="shared" si="15"/>
        <v>774</v>
      </c>
      <c r="O41" s="95"/>
      <c r="P41" s="96"/>
      <c r="Q41" s="153"/>
      <c r="R41" s="98"/>
      <c r="S41" s="151" cm="1">
        <f t="array" ref="S41">IF(P41="",0,IF(OR(O41=";",P41="EQU",P41="ORG"),0,HlpGetInstructionSize(P41,Q41,R41)))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0306</v>
      </c>
      <c r="N42" s="69">
        <f t="shared" si="15"/>
        <v>774</v>
      </c>
      <c r="O42" s="95"/>
      <c r="P42" s="96"/>
      <c r="Q42" s="153"/>
      <c r="R42" s="98"/>
      <c r="S42" s="151" cm="1">
        <f t="array" ref="S42">IF(P42="",0,IF(OR(O42=";",P42="EQU",P42="ORG"),0,HlpGetInstructionSize(P42,Q42,R42)))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0306</v>
      </c>
      <c r="N43" s="69">
        <f t="shared" si="15"/>
        <v>774</v>
      </c>
      <c r="O43" s="95"/>
      <c r="P43" s="96"/>
      <c r="Q43" s="153"/>
      <c r="R43" s="98"/>
      <c r="S43" s="151" cm="1">
        <f t="array" ref="S43">IF(P43="",0,IF(OR(O43=";",P43="EQU",P43="ORG"),0,HlpGetInstructionSize(P43,Q43,R43)))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0306</v>
      </c>
      <c r="N44" s="69">
        <f t="shared" si="15"/>
        <v>774</v>
      </c>
      <c r="O44" s="95"/>
      <c r="P44" s="96"/>
      <c r="Q44" s="153"/>
      <c r="R44" s="98"/>
      <c r="S44" s="151" cm="1">
        <f t="array" ref="S44">IF(P44="",0,IF(OR(O44=";",P44="EQU",P44="ORG"),0,HlpGetInstructionSize(P44,Q44,R44)))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0306</v>
      </c>
      <c r="N45" s="69">
        <f t="shared" si="15"/>
        <v>774</v>
      </c>
      <c r="O45" s="95"/>
      <c r="P45" s="96"/>
      <c r="Q45" s="153"/>
      <c r="R45" s="98"/>
      <c r="S45" s="151" cm="1">
        <f t="array" ref="S45">IF(P45="",0,IF(OR(O45=";",P45="EQU",P45="ORG"),0,HlpGetInstructionSize(P45,Q45,R45)))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0306</v>
      </c>
      <c r="N46" s="69">
        <f t="shared" si="15"/>
        <v>774</v>
      </c>
      <c r="O46" s="95"/>
      <c r="P46" s="96"/>
      <c r="Q46" s="153"/>
      <c r="R46" s="98"/>
      <c r="S46" s="151" cm="1">
        <f t="array" ref="S46">IF(P46="",0,IF(OR(O46=";",P46="EQU",P46="ORG"),0,HlpGetInstructionSize(P46,Q46,R46)))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0306</v>
      </c>
      <c r="N47" s="69">
        <f t="shared" si="15"/>
        <v>774</v>
      </c>
      <c r="O47" s="95"/>
      <c r="P47" s="96"/>
      <c r="Q47" s="153"/>
      <c r="R47" s="98"/>
      <c r="S47" s="151" cm="1">
        <f t="array" ref="S47">IF(P47="",0,IF(OR(O47=";",P47="EQU",P47="ORG"),0,HlpGetInstructionSize(P47,Q47,R47)))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0306</v>
      </c>
      <c r="N48" s="69">
        <f t="shared" si="15"/>
        <v>774</v>
      </c>
      <c r="O48" s="95"/>
      <c r="P48" s="96"/>
      <c r="Q48" s="153"/>
      <c r="R48" s="98"/>
      <c r="S48" s="151" cm="1">
        <f t="array" ref="S48">IF(P48="",0,IF(OR(O48=";",P48="EQU",P48="ORG"),0,HlpGetInstructionSize(P48,Q48,R48)))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0306</v>
      </c>
      <c r="N49" s="69">
        <f t="shared" si="15"/>
        <v>774</v>
      </c>
      <c r="O49" s="95"/>
      <c r="P49" s="96"/>
      <c r="Q49" s="153"/>
      <c r="R49" s="98"/>
      <c r="S49" s="151" cm="1">
        <f t="array" ref="S49">IF(P49="",0,IF(OR(O49=";",P49="EQU",P49="ORG"),0,HlpGetInstructionSize(P49,Q49,R49)))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0306</v>
      </c>
      <c r="N50" s="69">
        <f t="shared" si="15"/>
        <v>774</v>
      </c>
      <c r="O50" s="95"/>
      <c r="P50" s="96"/>
      <c r="Q50" s="153"/>
      <c r="R50" s="98"/>
      <c r="S50" s="151" cm="1">
        <f t="array" ref="S50">IF(P50="",0,IF(OR(O50=";",P50="EQU",P50="ORG"),0,HlpGetInstructionSize(P50,Q50,R50)))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0306</v>
      </c>
      <c r="N51" s="69">
        <f t="shared" si="15"/>
        <v>774</v>
      </c>
      <c r="O51" s="95"/>
      <c r="P51" s="96"/>
      <c r="Q51" s="153"/>
      <c r="R51" s="98"/>
      <c r="S51" s="151" cm="1">
        <f t="array" ref="S51">IF(P51="",0,IF(OR(O51=";",P51="EQU",P51="ORG"),0,HlpGetInstructionSize(P51,Q51,R51)))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0306</v>
      </c>
      <c r="N52" s="69">
        <f t="shared" si="15"/>
        <v>774</v>
      </c>
      <c r="O52" s="95"/>
      <c r="P52" s="96"/>
      <c r="Q52" s="153"/>
      <c r="R52" s="98"/>
      <c r="S52" s="151" cm="1">
        <f t="array" ref="S52">IF(P52="",0,IF(OR(O52=";",P52="EQU",P52="ORG"),0,HlpGetInstructionSize(P52,Q52,R52)))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0306</v>
      </c>
      <c r="N53" s="69">
        <f t="shared" si="15"/>
        <v>774</v>
      </c>
      <c r="O53" s="95"/>
      <c r="P53" s="96"/>
      <c r="Q53" s="153"/>
      <c r="R53" s="98"/>
      <c r="S53" s="151" cm="1">
        <f t="array" ref="S53">IF(P53="",0,IF(OR(O53=";",P53="EQU",P53="ORG"),0,HlpGetInstructionSize(P53,Q53,R53)))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0306</v>
      </c>
      <c r="N54" s="69">
        <f t="shared" si="15"/>
        <v>774</v>
      </c>
      <c r="O54" s="95"/>
      <c r="P54" s="96"/>
      <c r="Q54" s="153"/>
      <c r="R54" s="147"/>
      <c r="S54" s="151" cm="1">
        <f t="array" ref="S54">IF(P54="",0,IF(OR(O54=";",P54="EQU",P54="ORG"),0,HlpGetInstructionSize(P54,Q54,R54)))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0306</v>
      </c>
      <c r="N55" s="69">
        <f t="shared" si="15"/>
        <v>774</v>
      </c>
      <c r="O55" s="95"/>
      <c r="P55" s="96"/>
      <c r="Q55" s="97"/>
      <c r="R55" s="147"/>
      <c r="S55" s="151" cm="1">
        <f t="array" ref="S55">IF(P55="",0,IF(OR(O55=";",P55="EQU",P55="ORG"),0,HlpGetInstructionSize(P55,Q55,R55)))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0306</v>
      </c>
      <c r="N56" s="69">
        <f t="shared" si="15"/>
        <v>774</v>
      </c>
      <c r="O56" s="95"/>
      <c r="P56" s="96"/>
      <c r="Q56" s="97"/>
      <c r="R56" s="147"/>
      <c r="S56" s="151" cm="1">
        <f t="array" ref="S56">IF(P56="",0,IF(OR(O56=";",P56="EQU",P56="ORG"),0,HlpGetInstructionSize(P56,Q56,R56)))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0306</v>
      </c>
      <c r="N57" s="69">
        <f t="shared" si="15"/>
        <v>774</v>
      </c>
      <c r="O57" s="95"/>
      <c r="P57" s="96"/>
      <c r="Q57" s="97"/>
      <c r="R57" s="147"/>
      <c r="S57" s="151" cm="1">
        <f t="array" ref="S57">IF(P57="",0,IF(OR(O57=";",P57="EQU",P57="ORG"),0,HlpGetInstructionSize(P57,Q57,R57)))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0306</v>
      </c>
      <c r="N58" s="69">
        <f t="shared" si="15"/>
        <v>774</v>
      </c>
      <c r="O58" s="95"/>
      <c r="P58" s="96"/>
      <c r="Q58" s="97"/>
      <c r="R58" s="147"/>
      <c r="S58" s="151" cm="1">
        <f t="array" ref="S58">IF(P58="",0,IF(OR(O58=";",P58="EQU",P58="ORG"),0,HlpGetInstructionSize(P58,Q58,R58)))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0306</v>
      </c>
      <c r="N59" s="69">
        <f t="shared" si="15"/>
        <v>774</v>
      </c>
      <c r="O59" s="95"/>
      <c r="P59" s="96"/>
      <c r="Q59" s="97"/>
      <c r="R59" s="147"/>
      <c r="S59" s="151" cm="1">
        <f t="array" ref="S59">IF(P59="",0,IF(OR(O59=";",P59="EQU",P59="ORG"),0,HlpGetInstructionSize(P59,Q59,R59)))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0306</v>
      </c>
      <c r="N60" s="69">
        <f t="shared" si="15"/>
        <v>774</v>
      </c>
      <c r="O60" s="95"/>
      <c r="P60" s="96"/>
      <c r="Q60" s="97"/>
      <c r="R60" s="147"/>
      <c r="S60" s="151" cm="1">
        <f t="array" ref="S60">IF(P60="",0,IF(OR(O60=";",P60="EQU",P60="ORG"),0,HlpGetInstructionSize(P60,Q60,R60)))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0306</v>
      </c>
      <c r="N61" s="69">
        <f t="shared" si="15"/>
        <v>774</v>
      </c>
      <c r="O61" s="95"/>
      <c r="P61" s="96"/>
      <c r="Q61" s="97"/>
      <c r="R61" s="147"/>
      <c r="S61" s="151" cm="1">
        <f t="array" ref="S61">IF(P61="",0,IF(OR(O61=";",P61="EQU",P61="ORG"),0,HlpGetInstructionSize(P61,Q61,R61)))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0306</v>
      </c>
      <c r="N62" s="69">
        <f t="shared" si="15"/>
        <v>774</v>
      </c>
      <c r="O62" s="95"/>
      <c r="P62" s="96"/>
      <c r="Q62" s="97"/>
      <c r="R62" s="147"/>
      <c r="S62" s="151" cm="1">
        <f t="array" ref="S62">IF(P62="",0,IF(OR(O62=";",P62="EQU",P62="ORG"),0,HlpGetInstructionSize(P62,Q62,R62)))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0306</v>
      </c>
      <c r="N63" s="69">
        <f t="shared" si="15"/>
        <v>774</v>
      </c>
      <c r="O63" s="95"/>
      <c r="P63" s="96"/>
      <c r="Q63" s="97"/>
      <c r="R63" s="147"/>
      <c r="S63" s="151" cm="1">
        <f t="array" ref="S63">IF(P63="",0,IF(OR(O63=";",P63="EQU",P63="ORG"),0,HlpGetInstructionSize(P63,Q63,R63)))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0306</v>
      </c>
      <c r="N64" s="69">
        <f t="shared" si="15"/>
        <v>774</v>
      </c>
      <c r="O64" s="95"/>
      <c r="P64" s="96"/>
      <c r="Q64" s="97"/>
      <c r="R64" s="147"/>
      <c r="S64" s="151" cm="1">
        <f t="array" ref="S64">IF(P64="",0,IF(OR(O64=";",P64="EQU",P64="ORG"),0,HlpGetInstructionSize(P64,Q64,R64)))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0306</v>
      </c>
      <c r="N65" s="69">
        <f t="shared" si="15"/>
        <v>774</v>
      </c>
      <c r="O65" s="95"/>
      <c r="P65" s="96"/>
      <c r="Q65" s="97"/>
      <c r="R65" s="147"/>
      <c r="S65" s="151" cm="1">
        <f t="array" ref="S65">IF(P65="",0,IF(OR(O65=";",P65="EQU",P65="ORG"),0,HlpGetInstructionSize(P65,Q65,R65)))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0306</v>
      </c>
      <c r="N66" s="69">
        <f t="shared" si="15"/>
        <v>774</v>
      </c>
      <c r="O66" s="95"/>
      <c r="P66" s="96"/>
      <c r="Q66" s="97"/>
      <c r="R66" s="147"/>
      <c r="S66" s="151" cm="1">
        <f t="array" ref="S66">IF(P66="",0,IF(OR(O66=";",P66="EQU",P66="ORG"),0,HlpGetInstructionSize(P66,Q66,R66)))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0306</v>
      </c>
      <c r="N67" s="69">
        <f t="shared" si="15"/>
        <v>774</v>
      </c>
      <c r="O67" s="95"/>
      <c r="P67" s="96"/>
      <c r="Q67" s="97"/>
      <c r="R67" s="147"/>
      <c r="S67" s="151" cm="1">
        <f t="array" ref="S67">IF(P67="",0,IF(OR(O67=";",P67="EQU",P67="ORG"),0,HlpGetInstructionSize(P67,Q67,R67)))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0306</v>
      </c>
      <c r="N68" s="69">
        <f t="shared" si="15"/>
        <v>774</v>
      </c>
      <c r="O68" s="95"/>
      <c r="P68" s="96"/>
      <c r="Q68" s="97"/>
      <c r="R68" s="147"/>
      <c r="S68" s="151" cm="1">
        <f t="array" ref="S68">IF(P68="",0,IF(OR(O68=";",P68="EQU",P68="ORG"),0,HlpGetInstructionSize(P68,Q68,R68)))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0306</v>
      </c>
      <c r="N69" s="69">
        <f t="shared" si="15"/>
        <v>774</v>
      </c>
      <c r="O69" s="95"/>
      <c r="P69" s="96"/>
      <c r="Q69" s="97"/>
      <c r="R69" s="147"/>
      <c r="S69" s="151" cm="1">
        <f t="array" ref="S69">IF(P69="",0,IF(OR(O69=";",P69="EQU",P69="ORG"),0,HlpGetInstructionSize(P69,Q69,R69)))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0306</v>
      </c>
      <c r="N70" s="69">
        <f t="shared" si="15"/>
        <v>774</v>
      </c>
      <c r="O70" s="95"/>
      <c r="P70" s="96"/>
      <c r="Q70" s="97"/>
      <c r="R70" s="147"/>
      <c r="S70" s="151" cm="1">
        <f t="array" ref="S70">IF(P70="",0,IF(OR(O70=";",P70="EQU",P70="ORG"),0,HlpGetInstructionSize(P70,Q70,R70)))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0306</v>
      </c>
      <c r="N71" s="69">
        <f t="shared" si="15"/>
        <v>774</v>
      </c>
      <c r="O71" s="95"/>
      <c r="P71" s="96"/>
      <c r="Q71" s="97"/>
      <c r="R71" s="147"/>
      <c r="S71" s="151" cm="1">
        <f t="array" ref="S71">IF(P71="",0,IF(OR(O71=";",P71="EQU",P71="ORG"),0,HlpGetInstructionSize(P71,Q71,R71)))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0306</v>
      </c>
      <c r="N72" s="69">
        <f t="shared" si="15"/>
        <v>774</v>
      </c>
      <c r="O72" s="95"/>
      <c r="P72" s="96"/>
      <c r="Q72" s="97"/>
      <c r="R72" s="147"/>
      <c r="S72" s="151" cm="1">
        <f t="array" ref="S72">IF(P72="",0,IF(OR(O72=";",P72="EQU",P72="ORG"),0,HlpGetInstructionSize(P72,Q72,R72)))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0306</v>
      </c>
      <c r="N73" s="69">
        <f t="shared" si="15"/>
        <v>774</v>
      </c>
      <c r="O73" s="95"/>
      <c r="P73" s="96"/>
      <c r="Q73" s="97"/>
      <c r="R73" s="147"/>
      <c r="S73" s="151" cm="1">
        <f t="array" ref="S73">IF(P73="",0,IF(OR(O73=";",P73="EQU",P73="ORG"),0,HlpGetInstructionSize(P73,Q73,R73)))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0306</v>
      </c>
      <c r="N74" s="69">
        <f t="shared" ref="N74:N137" si="36">N73+S73</f>
        <v>774</v>
      </c>
      <c r="O74" s="95"/>
      <c r="P74" s="96"/>
      <c r="Q74" s="97"/>
      <c r="R74" s="147"/>
      <c r="S74" s="151" cm="1">
        <f t="array" ref="S74">IF(P74="",0,IF(OR(O74=";",P74="EQU",P74="ORG"),0,HlpGetInstructionSize(P74,Q74,R74)))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0306</v>
      </c>
      <c r="N75" s="69">
        <f t="shared" si="36"/>
        <v>774</v>
      </c>
      <c r="O75" s="95"/>
      <c r="P75" s="96"/>
      <c r="Q75" s="97"/>
      <c r="R75" s="147"/>
      <c r="S75" s="151" cm="1">
        <f t="array" ref="S75">IF(P75="",0,IF(OR(O75=";",P75="EQU",P75="ORG"),0,HlpGetInstructionSize(P75,Q75,R75)))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0306</v>
      </c>
      <c r="N76" s="69">
        <f t="shared" si="36"/>
        <v>774</v>
      </c>
      <c r="O76" s="95"/>
      <c r="P76" s="96"/>
      <c r="Q76" s="97"/>
      <c r="R76" s="147"/>
      <c r="S76" s="151" cm="1">
        <f t="array" ref="S76">IF(P76="",0,IF(OR(O76=";",P76="EQU",P76="ORG"),0,HlpGetInstructionSize(P76,Q76,R76)))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0306</v>
      </c>
      <c r="N77" s="69">
        <f t="shared" si="36"/>
        <v>774</v>
      </c>
      <c r="O77" s="95"/>
      <c r="P77" s="96"/>
      <c r="Q77" s="97"/>
      <c r="R77" s="147"/>
      <c r="S77" s="151" cm="1">
        <f t="array" ref="S77">IF(P77="",0,IF(OR(O77=";",P77="EQU",P77="ORG"),0,HlpGetInstructionSize(P77,Q77,R77)))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0306</v>
      </c>
      <c r="N78" s="69">
        <f t="shared" si="36"/>
        <v>774</v>
      </c>
      <c r="O78" s="95"/>
      <c r="P78" s="96"/>
      <c r="Q78" s="97"/>
      <c r="R78" s="147"/>
      <c r="S78" s="151" cm="1">
        <f t="array" ref="S78">IF(P78="",0,IF(OR(O78=";",P78="EQU",P78="ORG"),0,HlpGetInstructionSize(P78,Q78,R78)))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0306</v>
      </c>
      <c r="N79" s="69">
        <f t="shared" si="36"/>
        <v>774</v>
      </c>
      <c r="O79" s="95"/>
      <c r="P79" s="96"/>
      <c r="Q79" s="97"/>
      <c r="R79" s="147"/>
      <c r="S79" s="151" cm="1">
        <f t="array" ref="S79">IF(P79="",0,IF(OR(O79=";",P79="EQU",P79="ORG"),0,HlpGetInstructionSize(P79,Q79,R79)))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0306</v>
      </c>
      <c r="N80" s="69">
        <f t="shared" si="36"/>
        <v>774</v>
      </c>
      <c r="O80" s="95"/>
      <c r="P80" s="96"/>
      <c r="Q80" s="97"/>
      <c r="R80" s="147"/>
      <c r="S80" s="151" cm="1">
        <f t="array" ref="S80">IF(P80="",0,IF(OR(O80=";",P80="EQU",P80="ORG"),0,HlpGetInstructionSize(P80,Q80,R80)))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0306</v>
      </c>
      <c r="N81" s="69">
        <f t="shared" si="36"/>
        <v>774</v>
      </c>
      <c r="O81" s="95"/>
      <c r="P81" s="96"/>
      <c r="Q81" s="97"/>
      <c r="R81" s="147"/>
      <c r="S81" s="151" cm="1">
        <f t="array" ref="S81">IF(P81="",0,IF(OR(O81=";",P81="EQU",P81="ORG"),0,HlpGetInstructionSize(P81,Q81,R81)))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0306</v>
      </c>
      <c r="N82" s="69">
        <f t="shared" si="36"/>
        <v>774</v>
      </c>
      <c r="O82" s="95"/>
      <c r="P82" s="96"/>
      <c r="Q82" s="97"/>
      <c r="R82" s="147"/>
      <c r="S82" s="151" cm="1">
        <f t="array" ref="S82">IF(P82="",0,IF(OR(O82=";",P82="EQU",P82="ORG"),0,HlpGetInstructionSize(P82,Q82,R82)))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0306</v>
      </c>
      <c r="N83" s="69">
        <f t="shared" si="36"/>
        <v>774</v>
      </c>
      <c r="O83" s="95"/>
      <c r="P83" s="96"/>
      <c r="Q83" s="97"/>
      <c r="R83" s="147"/>
      <c r="S83" s="151" cm="1">
        <f t="array" ref="S83">IF(P83="",0,IF(OR(O83=";",P83="EQU",P83="ORG"),0,HlpGetInstructionSize(P83,Q83,R83)))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0306</v>
      </c>
      <c r="N84" s="69">
        <f t="shared" si="36"/>
        <v>774</v>
      </c>
      <c r="O84" s="95"/>
      <c r="P84" s="96"/>
      <c r="Q84" s="97"/>
      <c r="R84" s="147"/>
      <c r="S84" s="151" cm="1">
        <f t="array" ref="S84">IF(P84="",0,IF(OR(O84=";",P84="EQU",P84="ORG"),0,HlpGetInstructionSize(P84,Q84,R84)))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0306</v>
      </c>
      <c r="N85" s="69">
        <f t="shared" si="36"/>
        <v>774</v>
      </c>
      <c r="O85" s="95"/>
      <c r="P85" s="96"/>
      <c r="Q85" s="97"/>
      <c r="R85" s="147"/>
      <c r="S85" s="151" cm="1">
        <f t="array" ref="S85">IF(P85="",0,IF(OR(O85=";",P85="EQU",P85="ORG"),0,HlpGetInstructionSize(P85,Q85,R85)))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0306</v>
      </c>
      <c r="N86" s="69">
        <f t="shared" si="36"/>
        <v>774</v>
      </c>
      <c r="O86" s="95"/>
      <c r="P86" s="96"/>
      <c r="Q86" s="97"/>
      <c r="R86" s="147"/>
      <c r="S86" s="151" cm="1">
        <f t="array" ref="S86">IF(P86="",0,IF(OR(O86=";",P86="EQU",P86="ORG"),0,HlpGetInstructionSize(P86,Q86,R86)))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0306</v>
      </c>
      <c r="N87" s="69">
        <f t="shared" si="36"/>
        <v>774</v>
      </c>
      <c r="O87" s="95"/>
      <c r="P87" s="96"/>
      <c r="Q87" s="97"/>
      <c r="R87" s="147"/>
      <c r="S87" s="151" cm="1">
        <f t="array" ref="S87">IF(P87="",0,IF(OR(O87=";",P87="EQU",P87="ORG"),0,HlpGetInstructionSize(P87,Q87,R87)))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0306</v>
      </c>
      <c r="N88" s="69">
        <f t="shared" si="36"/>
        <v>774</v>
      </c>
      <c r="O88" s="95"/>
      <c r="P88" s="96"/>
      <c r="Q88" s="97"/>
      <c r="R88" s="147"/>
      <c r="S88" s="151" cm="1">
        <f t="array" ref="S88">IF(P88="",0,IF(OR(O88=";",P88="EQU",P88="ORG"),0,HlpGetInstructionSize(P88,Q88,R88)))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0306</v>
      </c>
      <c r="N89" s="69">
        <f t="shared" si="36"/>
        <v>774</v>
      </c>
      <c r="O89" s="95"/>
      <c r="P89" s="96"/>
      <c r="Q89" s="97"/>
      <c r="R89" s="147"/>
      <c r="S89" s="151" cm="1">
        <f t="array" ref="S89">IF(P89="",0,IF(OR(O89=";",P89="EQU",P89="ORG"),0,HlpGetInstructionSize(P89,Q89,R89)))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0306</v>
      </c>
      <c r="N90" s="69">
        <f t="shared" si="36"/>
        <v>774</v>
      </c>
      <c r="O90" s="95"/>
      <c r="P90" s="96"/>
      <c r="Q90" s="97"/>
      <c r="R90" s="147"/>
      <c r="S90" s="151" cm="1">
        <f t="array" ref="S90">IF(P90="",0,IF(OR(O90=";",P90="EQU",P90="ORG"),0,HlpGetInstructionSize(P90,Q90,R90)))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0306</v>
      </c>
      <c r="N91" s="69">
        <f t="shared" si="36"/>
        <v>774</v>
      </c>
      <c r="O91" s="95"/>
      <c r="P91" s="96"/>
      <c r="Q91" s="97"/>
      <c r="R91" s="147"/>
      <c r="S91" s="151" cm="1">
        <f t="array" ref="S91">IF(P91="",0,IF(OR(O91=";",P91="EQU",P91="ORG"),0,HlpGetInstructionSize(P91,Q91,R91)))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0306</v>
      </c>
      <c r="N92" s="69">
        <f t="shared" si="36"/>
        <v>774</v>
      </c>
      <c r="O92" s="95"/>
      <c r="P92" s="96"/>
      <c r="Q92" s="97"/>
      <c r="R92" s="147"/>
      <c r="S92" s="151" cm="1">
        <f t="array" ref="S92">IF(P92="",0,IF(OR(O92=";",P92="EQU",P92="ORG"),0,HlpGetInstructionSize(P92,Q92,R92)))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0306</v>
      </c>
      <c r="N93" s="69">
        <f t="shared" si="36"/>
        <v>774</v>
      </c>
      <c r="O93" s="95"/>
      <c r="P93" s="96"/>
      <c r="Q93" s="97"/>
      <c r="R93" s="147"/>
      <c r="S93" s="151" cm="1">
        <f t="array" ref="S93">IF(P93="",0,IF(OR(O93=";",P93="EQU",P93="ORG"),0,HlpGetInstructionSize(P93,Q93,R93)))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0306</v>
      </c>
      <c r="N94" s="69">
        <f t="shared" si="36"/>
        <v>774</v>
      </c>
      <c r="O94" s="95"/>
      <c r="P94" s="96"/>
      <c r="Q94" s="97"/>
      <c r="R94" s="147"/>
      <c r="S94" s="151" cm="1">
        <f t="array" ref="S94">IF(P94="",0,IF(OR(O94=";",P94="EQU",P94="ORG"),0,HlpGetInstructionSize(P94,Q94,R94)))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0306</v>
      </c>
      <c r="N95" s="69">
        <f t="shared" si="36"/>
        <v>774</v>
      </c>
      <c r="O95" s="95"/>
      <c r="P95" s="96"/>
      <c r="Q95" s="97"/>
      <c r="R95" s="147"/>
      <c r="S95" s="151" cm="1">
        <f t="array" ref="S95">IF(P95="",0,IF(OR(O95=";",P95="EQU",P95="ORG"),0,HlpGetInstructionSize(P95,Q95,R95)))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0306</v>
      </c>
      <c r="N96" s="69">
        <f t="shared" si="36"/>
        <v>774</v>
      </c>
      <c r="O96" s="95"/>
      <c r="P96" s="96"/>
      <c r="Q96" s="97"/>
      <c r="R96" s="147"/>
      <c r="S96" s="151" cm="1">
        <f t="array" ref="S96">IF(P96="",0,IF(OR(O96=";",P96="EQU",P96="ORG"),0,HlpGetInstructionSize(P96,Q96,R96)))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0306</v>
      </c>
      <c r="N97" s="69">
        <f t="shared" si="36"/>
        <v>774</v>
      </c>
      <c r="O97" s="95"/>
      <c r="P97" s="96"/>
      <c r="Q97" s="97"/>
      <c r="R97" s="147"/>
      <c r="S97" s="151" cm="1">
        <f t="array" ref="S97">IF(P97="",0,IF(OR(O97=";",P97="EQU",P97="ORG"),0,HlpGetInstructionSize(P97,Q97,R97)))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0306</v>
      </c>
      <c r="N98" s="69">
        <f t="shared" si="36"/>
        <v>774</v>
      </c>
      <c r="O98" s="95"/>
      <c r="P98" s="96"/>
      <c r="Q98" s="97"/>
      <c r="R98" s="147"/>
      <c r="S98" s="151" cm="1">
        <f t="array" ref="S98">IF(P98="",0,IF(OR(O98=";",P98="EQU",P98="ORG"),0,HlpGetInstructionSize(P98,Q98,R98)))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0306</v>
      </c>
      <c r="N99" s="69">
        <f t="shared" si="36"/>
        <v>774</v>
      </c>
      <c r="O99" s="95"/>
      <c r="P99" s="96"/>
      <c r="Q99" s="97"/>
      <c r="R99" s="147"/>
      <c r="S99" s="151" cm="1">
        <f t="array" ref="S99">IF(P99="",0,IF(OR(O99=";",P99="EQU",P99="ORG"),0,HlpGetInstructionSize(P99,Q99,R99)))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0306</v>
      </c>
      <c r="N100" s="69">
        <f t="shared" si="36"/>
        <v>774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0306</v>
      </c>
      <c r="N101" s="69">
        <f t="shared" si="36"/>
        <v>774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0306</v>
      </c>
      <c r="N102" s="69">
        <f t="shared" si="36"/>
        <v>774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0306</v>
      </c>
      <c r="N103" s="69">
        <f t="shared" si="36"/>
        <v>774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0306</v>
      </c>
      <c r="N104" s="69">
        <f t="shared" si="36"/>
        <v>774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0306</v>
      </c>
      <c r="N105" s="69">
        <f t="shared" si="36"/>
        <v>774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0306</v>
      </c>
      <c r="N106" s="69">
        <f t="shared" si="36"/>
        <v>774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0306</v>
      </c>
      <c r="N107" s="69">
        <f t="shared" si="36"/>
        <v>774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0306</v>
      </c>
      <c r="N108" s="69">
        <f t="shared" si="36"/>
        <v>774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0306</v>
      </c>
      <c r="N109" s="69">
        <f t="shared" si="36"/>
        <v>774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0306</v>
      </c>
      <c r="N110" s="69">
        <f t="shared" si="36"/>
        <v>774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0306</v>
      </c>
      <c r="N111" s="69">
        <f t="shared" si="36"/>
        <v>774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0306</v>
      </c>
      <c r="N112" s="69">
        <f t="shared" si="36"/>
        <v>774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0306</v>
      </c>
      <c r="N113" s="69">
        <f t="shared" si="36"/>
        <v>774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0306</v>
      </c>
      <c r="N114" s="69">
        <f t="shared" si="36"/>
        <v>774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0306</v>
      </c>
      <c r="N115" s="69">
        <f t="shared" si="36"/>
        <v>774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0306</v>
      </c>
      <c r="N116" s="69">
        <f t="shared" si="36"/>
        <v>774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0306</v>
      </c>
      <c r="N117" s="69">
        <f t="shared" si="36"/>
        <v>774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0306</v>
      </c>
      <c r="N118" s="69">
        <f t="shared" si="36"/>
        <v>774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0306</v>
      </c>
      <c r="N119" s="69">
        <f t="shared" si="36"/>
        <v>774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0306</v>
      </c>
      <c r="N120" s="69">
        <f t="shared" si="36"/>
        <v>774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0306</v>
      </c>
      <c r="N121" s="69">
        <f t="shared" si="36"/>
        <v>774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0306</v>
      </c>
      <c r="N122" s="69">
        <f t="shared" si="36"/>
        <v>774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0306</v>
      </c>
      <c r="N123" s="69">
        <f t="shared" si="36"/>
        <v>774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0306</v>
      </c>
      <c r="N124" s="69">
        <f t="shared" si="36"/>
        <v>774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0306</v>
      </c>
      <c r="N125" s="69">
        <f t="shared" si="36"/>
        <v>774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0306</v>
      </c>
      <c r="N126" s="69">
        <f t="shared" si="36"/>
        <v>774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0306</v>
      </c>
      <c r="N127" s="69">
        <f t="shared" si="36"/>
        <v>774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0306</v>
      </c>
      <c r="N128" s="69">
        <f t="shared" si="36"/>
        <v>774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0306</v>
      </c>
      <c r="N129" s="69">
        <f t="shared" si="36"/>
        <v>774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0306</v>
      </c>
      <c r="N130" s="69">
        <f t="shared" si="36"/>
        <v>774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0306</v>
      </c>
      <c r="N131" s="69">
        <f t="shared" si="36"/>
        <v>774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0306</v>
      </c>
      <c r="N132" s="69">
        <f t="shared" si="36"/>
        <v>774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0306</v>
      </c>
      <c r="N133" s="69">
        <f t="shared" si="36"/>
        <v>774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0306</v>
      </c>
      <c r="N134" s="69">
        <f t="shared" si="36"/>
        <v>774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0306</v>
      </c>
      <c r="N135" s="69">
        <f t="shared" si="36"/>
        <v>774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0306</v>
      </c>
      <c r="N136" s="69">
        <f t="shared" si="36"/>
        <v>774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0306</v>
      </c>
      <c r="N137" s="69">
        <f t="shared" si="36"/>
        <v>774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0306</v>
      </c>
      <c r="N138" s="69">
        <f t="shared" ref="N138:N201" si="40">N137+S137</f>
        <v>774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0306</v>
      </c>
      <c r="N139" s="69">
        <f t="shared" si="40"/>
        <v>774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0306</v>
      </c>
      <c r="N140" s="69">
        <f t="shared" si="40"/>
        <v>774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0306</v>
      </c>
      <c r="N141" s="69">
        <f t="shared" si="40"/>
        <v>774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0306</v>
      </c>
      <c r="N142" s="69">
        <f t="shared" si="40"/>
        <v>774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0306</v>
      </c>
      <c r="N143" s="69">
        <f t="shared" si="40"/>
        <v>774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0306</v>
      </c>
      <c r="N144" s="69">
        <f t="shared" si="40"/>
        <v>774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0306</v>
      </c>
      <c r="N145" s="69">
        <f t="shared" si="40"/>
        <v>774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0306</v>
      </c>
      <c r="N146" s="69">
        <f t="shared" si="40"/>
        <v>774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0306</v>
      </c>
      <c r="N147" s="69">
        <f t="shared" si="40"/>
        <v>774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0306</v>
      </c>
      <c r="N148" s="69">
        <f t="shared" si="40"/>
        <v>774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0306</v>
      </c>
      <c r="N149" s="69">
        <f t="shared" si="40"/>
        <v>774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0306</v>
      </c>
      <c r="N150" s="69">
        <f t="shared" si="40"/>
        <v>774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0306</v>
      </c>
      <c r="N151" s="69">
        <f t="shared" si="40"/>
        <v>774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0306</v>
      </c>
      <c r="N152" s="69">
        <f t="shared" si="40"/>
        <v>774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0306</v>
      </c>
      <c r="N153" s="69">
        <f t="shared" si="40"/>
        <v>774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0306</v>
      </c>
      <c r="N154" s="69">
        <f t="shared" si="40"/>
        <v>774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0306</v>
      </c>
      <c r="N155" s="69">
        <f t="shared" si="40"/>
        <v>774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0306</v>
      </c>
      <c r="N156" s="69">
        <f t="shared" si="40"/>
        <v>774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0306</v>
      </c>
      <c r="N157" s="69">
        <f t="shared" si="40"/>
        <v>774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0306</v>
      </c>
      <c r="N158" s="69">
        <f t="shared" si="40"/>
        <v>774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0306</v>
      </c>
      <c r="N159" s="69">
        <f t="shared" si="40"/>
        <v>774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0306</v>
      </c>
      <c r="N160" s="69">
        <f t="shared" si="40"/>
        <v>774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0306</v>
      </c>
      <c r="N161" s="69">
        <f t="shared" si="40"/>
        <v>774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0306</v>
      </c>
      <c r="N162" s="69">
        <f t="shared" si="40"/>
        <v>774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0306</v>
      </c>
      <c r="N163" s="69">
        <f t="shared" si="40"/>
        <v>774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0306</v>
      </c>
      <c r="N164" s="69">
        <f t="shared" si="40"/>
        <v>774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0306</v>
      </c>
      <c r="N165" s="69">
        <f t="shared" si="40"/>
        <v>774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0306</v>
      </c>
      <c r="N166" s="69">
        <f t="shared" si="40"/>
        <v>774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0306</v>
      </c>
      <c r="N167" s="69">
        <f t="shared" si="40"/>
        <v>774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0306</v>
      </c>
      <c r="N168" s="69">
        <f t="shared" si="40"/>
        <v>774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0306</v>
      </c>
      <c r="N169" s="69">
        <f t="shared" si="40"/>
        <v>774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0306</v>
      </c>
      <c r="N170" s="69">
        <f t="shared" si="40"/>
        <v>774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0306</v>
      </c>
      <c r="N171" s="69">
        <f t="shared" si="40"/>
        <v>774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0306</v>
      </c>
      <c r="N172" s="69">
        <f t="shared" si="40"/>
        <v>774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0306</v>
      </c>
      <c r="N173" s="69">
        <f t="shared" si="40"/>
        <v>774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0306</v>
      </c>
      <c r="N174" s="69">
        <f t="shared" si="40"/>
        <v>774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0306</v>
      </c>
      <c r="N175" s="69">
        <f t="shared" si="40"/>
        <v>774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0306</v>
      </c>
      <c r="N176" s="69">
        <f t="shared" si="40"/>
        <v>774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0306</v>
      </c>
      <c r="N177" s="69">
        <f t="shared" si="40"/>
        <v>774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0306</v>
      </c>
      <c r="N178" s="69">
        <f t="shared" si="40"/>
        <v>774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0306</v>
      </c>
      <c r="N179" s="69">
        <f t="shared" si="40"/>
        <v>774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0306</v>
      </c>
      <c r="N180" s="69">
        <f t="shared" si="40"/>
        <v>774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0306</v>
      </c>
      <c r="N181" s="69">
        <f t="shared" si="40"/>
        <v>774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0306</v>
      </c>
      <c r="N182" s="69">
        <f t="shared" si="40"/>
        <v>774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0306</v>
      </c>
      <c r="N183" s="69">
        <f t="shared" si="40"/>
        <v>774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0306</v>
      </c>
      <c r="N184" s="69">
        <f t="shared" si="40"/>
        <v>774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0306</v>
      </c>
      <c r="N185" s="69">
        <f t="shared" si="40"/>
        <v>774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0306</v>
      </c>
      <c r="N186" s="69">
        <f t="shared" si="40"/>
        <v>774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0306</v>
      </c>
      <c r="N187" s="69">
        <f t="shared" si="40"/>
        <v>774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0306</v>
      </c>
      <c r="N188" s="69">
        <f t="shared" si="40"/>
        <v>774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0306</v>
      </c>
      <c r="N189" s="69">
        <f t="shared" si="40"/>
        <v>774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0306</v>
      </c>
      <c r="N190" s="69">
        <f t="shared" si="40"/>
        <v>774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0306</v>
      </c>
      <c r="N191" s="69">
        <f t="shared" si="40"/>
        <v>774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0306</v>
      </c>
      <c r="N192" s="69">
        <f t="shared" si="40"/>
        <v>774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0306</v>
      </c>
      <c r="N193" s="69">
        <f t="shared" si="40"/>
        <v>774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0306</v>
      </c>
      <c r="N194" s="69">
        <f t="shared" si="40"/>
        <v>774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0306</v>
      </c>
      <c r="N195" s="69">
        <f t="shared" si="40"/>
        <v>774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0306</v>
      </c>
      <c r="N196" s="69">
        <f t="shared" si="40"/>
        <v>774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0306</v>
      </c>
      <c r="N197" s="69">
        <f t="shared" si="40"/>
        <v>774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0306</v>
      </c>
      <c r="N198" s="69">
        <f t="shared" si="40"/>
        <v>774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0306</v>
      </c>
      <c r="N199" s="69">
        <f t="shared" si="40"/>
        <v>774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0306</v>
      </c>
      <c r="N200" s="69">
        <f t="shared" si="40"/>
        <v>774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0306</v>
      </c>
      <c r="N201" s="69">
        <f t="shared" si="40"/>
        <v>774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0306</v>
      </c>
      <c r="N202" s="69">
        <f t="shared" ref="N202:N265" si="44">N201+S201</f>
        <v>774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0306</v>
      </c>
      <c r="N203" s="69">
        <f t="shared" si="44"/>
        <v>774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0306</v>
      </c>
      <c r="N204" s="69">
        <f t="shared" si="44"/>
        <v>774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0306</v>
      </c>
      <c r="N205" s="69">
        <f t="shared" si="44"/>
        <v>774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0306</v>
      </c>
      <c r="N206" s="69">
        <f t="shared" si="44"/>
        <v>774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0306</v>
      </c>
      <c r="N207" s="69">
        <f t="shared" si="44"/>
        <v>774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0306</v>
      </c>
      <c r="N208" s="69">
        <f t="shared" si="44"/>
        <v>774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0306</v>
      </c>
      <c r="N209" s="69">
        <f t="shared" si="44"/>
        <v>774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0306</v>
      </c>
      <c r="N210" s="69">
        <f t="shared" si="44"/>
        <v>774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0306</v>
      </c>
      <c r="N211" s="69">
        <f t="shared" si="44"/>
        <v>774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0306</v>
      </c>
      <c r="N212" s="69">
        <f t="shared" si="44"/>
        <v>774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0306</v>
      </c>
      <c r="N213" s="69">
        <f t="shared" si="44"/>
        <v>774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0306</v>
      </c>
      <c r="N214" s="69">
        <f t="shared" si="44"/>
        <v>774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0306</v>
      </c>
      <c r="N215" s="69">
        <f t="shared" si="44"/>
        <v>774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0306</v>
      </c>
      <c r="N216" s="69">
        <f t="shared" si="44"/>
        <v>774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0306</v>
      </c>
      <c r="N217" s="69">
        <f t="shared" si="44"/>
        <v>774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0306</v>
      </c>
      <c r="N218" s="69">
        <f t="shared" si="44"/>
        <v>774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0306</v>
      </c>
      <c r="N219" s="69">
        <f t="shared" si="44"/>
        <v>774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0306</v>
      </c>
      <c r="N220" s="69">
        <f t="shared" si="44"/>
        <v>774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0306</v>
      </c>
      <c r="N221" s="69">
        <f t="shared" si="44"/>
        <v>774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0306</v>
      </c>
      <c r="N222" s="69">
        <f t="shared" si="44"/>
        <v>774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0306</v>
      </c>
      <c r="N223" s="69">
        <f t="shared" si="44"/>
        <v>774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0306</v>
      </c>
      <c r="N224" s="69">
        <f t="shared" si="44"/>
        <v>774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0306</v>
      </c>
      <c r="N225" s="69">
        <f t="shared" si="44"/>
        <v>774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0306</v>
      </c>
      <c r="N226" s="69">
        <f t="shared" si="44"/>
        <v>774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0306</v>
      </c>
      <c r="N227" s="69">
        <f t="shared" si="44"/>
        <v>774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0306</v>
      </c>
      <c r="N228" s="69">
        <f t="shared" si="44"/>
        <v>774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0306</v>
      </c>
      <c r="N229" s="69">
        <f t="shared" si="44"/>
        <v>774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0306</v>
      </c>
      <c r="N230" s="69">
        <f t="shared" si="44"/>
        <v>774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0306</v>
      </c>
      <c r="N231" s="69">
        <f t="shared" si="44"/>
        <v>774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0306</v>
      </c>
      <c r="N232" s="69">
        <f t="shared" si="44"/>
        <v>774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0306</v>
      </c>
      <c r="N233" s="69">
        <f t="shared" si="44"/>
        <v>774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0306</v>
      </c>
      <c r="N234" s="69">
        <f t="shared" si="44"/>
        <v>774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0306</v>
      </c>
      <c r="N235" s="69">
        <f t="shared" si="44"/>
        <v>774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0306</v>
      </c>
      <c r="N236" s="69">
        <f t="shared" si="44"/>
        <v>774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0306</v>
      </c>
      <c r="N237" s="69">
        <f t="shared" si="44"/>
        <v>774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0306</v>
      </c>
      <c r="N238" s="69">
        <f t="shared" si="44"/>
        <v>774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0306</v>
      </c>
      <c r="N239" s="69">
        <f t="shared" si="44"/>
        <v>774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0306</v>
      </c>
      <c r="N240" s="69">
        <f t="shared" si="44"/>
        <v>774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0306</v>
      </c>
      <c r="N241" s="69">
        <f t="shared" si="44"/>
        <v>774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0306</v>
      </c>
      <c r="N242" s="69">
        <f t="shared" si="44"/>
        <v>774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0306</v>
      </c>
      <c r="N243" s="69">
        <f t="shared" si="44"/>
        <v>774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0306</v>
      </c>
      <c r="N244" s="69">
        <f t="shared" si="44"/>
        <v>774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0306</v>
      </c>
      <c r="N245" s="69">
        <f t="shared" si="44"/>
        <v>774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0306</v>
      </c>
      <c r="N246" s="69">
        <f t="shared" si="44"/>
        <v>774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0306</v>
      </c>
      <c r="N247" s="69">
        <f t="shared" si="44"/>
        <v>774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0306</v>
      </c>
      <c r="N248" s="69">
        <f t="shared" si="44"/>
        <v>774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0306</v>
      </c>
      <c r="N249" s="69">
        <f t="shared" si="44"/>
        <v>774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0306</v>
      </c>
      <c r="N250" s="69">
        <f t="shared" si="44"/>
        <v>774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0306</v>
      </c>
      <c r="N251" s="69">
        <f t="shared" si="44"/>
        <v>774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0306</v>
      </c>
      <c r="N252" s="69">
        <f t="shared" si="44"/>
        <v>774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0306</v>
      </c>
      <c r="N253" s="69">
        <f t="shared" si="44"/>
        <v>774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0306</v>
      </c>
      <c r="N254" s="69">
        <f t="shared" si="44"/>
        <v>774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0306</v>
      </c>
      <c r="N255" s="69">
        <f t="shared" si="44"/>
        <v>774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0306</v>
      </c>
      <c r="N256" s="69">
        <f t="shared" si="44"/>
        <v>774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0306</v>
      </c>
      <c r="N257" s="69">
        <f t="shared" si="44"/>
        <v>774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0306</v>
      </c>
      <c r="N258" s="69">
        <f t="shared" si="44"/>
        <v>774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0306</v>
      </c>
      <c r="N259" s="69">
        <f t="shared" si="44"/>
        <v>774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0306</v>
      </c>
      <c r="N260" s="69">
        <f t="shared" si="44"/>
        <v>774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0306</v>
      </c>
      <c r="N261" s="69">
        <f t="shared" si="44"/>
        <v>774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0306</v>
      </c>
      <c r="N262" s="69">
        <f t="shared" si="44"/>
        <v>774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0306</v>
      </c>
      <c r="N263" s="69">
        <f t="shared" si="44"/>
        <v>774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0306</v>
      </c>
      <c r="N264" s="69">
        <f t="shared" si="44"/>
        <v>774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0306</v>
      </c>
      <c r="N265" s="69">
        <f t="shared" si="44"/>
        <v>774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0306</v>
      </c>
      <c r="N266" s="69">
        <f t="shared" ref="N266:N329" si="48">N265+S265</f>
        <v>774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0306</v>
      </c>
      <c r="N267" s="69">
        <f t="shared" si="48"/>
        <v>774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0306</v>
      </c>
      <c r="N268" s="69">
        <f t="shared" si="48"/>
        <v>774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0306</v>
      </c>
      <c r="N269" s="69">
        <f t="shared" si="48"/>
        <v>774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0306</v>
      </c>
      <c r="N270" s="69">
        <f t="shared" si="48"/>
        <v>774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0306</v>
      </c>
      <c r="N271" s="69">
        <f t="shared" si="48"/>
        <v>774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0306</v>
      </c>
      <c r="N272" s="69">
        <f t="shared" si="48"/>
        <v>774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0306</v>
      </c>
      <c r="N273" s="69">
        <f t="shared" si="48"/>
        <v>774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0306</v>
      </c>
      <c r="N274" s="69">
        <f t="shared" si="48"/>
        <v>774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0306</v>
      </c>
      <c r="N275" s="69">
        <f t="shared" si="48"/>
        <v>774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0306</v>
      </c>
      <c r="N276" s="69">
        <f t="shared" si="48"/>
        <v>774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0306</v>
      </c>
      <c r="N277" s="69">
        <f t="shared" si="48"/>
        <v>774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0306</v>
      </c>
      <c r="N278" s="69">
        <f t="shared" si="48"/>
        <v>774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0306</v>
      </c>
      <c r="N279" s="69">
        <f t="shared" si="48"/>
        <v>774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0306</v>
      </c>
      <c r="N280" s="69">
        <f t="shared" si="48"/>
        <v>774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0306</v>
      </c>
      <c r="N281" s="69">
        <f t="shared" si="48"/>
        <v>774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0306</v>
      </c>
      <c r="N282" s="69">
        <f t="shared" si="48"/>
        <v>774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0306</v>
      </c>
      <c r="N283" s="69">
        <f t="shared" si="48"/>
        <v>774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0306</v>
      </c>
      <c r="N284" s="69">
        <f t="shared" si="48"/>
        <v>774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0306</v>
      </c>
      <c r="N285" s="69">
        <f t="shared" si="48"/>
        <v>774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0306</v>
      </c>
      <c r="N286" s="69">
        <f t="shared" si="48"/>
        <v>774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0306</v>
      </c>
      <c r="N287" s="69">
        <f t="shared" si="48"/>
        <v>774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0306</v>
      </c>
      <c r="N288" s="69">
        <f t="shared" si="48"/>
        <v>774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0306</v>
      </c>
      <c r="N289" s="69">
        <f t="shared" si="48"/>
        <v>774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0306</v>
      </c>
      <c r="N290" s="69">
        <f t="shared" si="48"/>
        <v>774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0306</v>
      </c>
      <c r="N291" s="69">
        <f t="shared" si="48"/>
        <v>774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0306</v>
      </c>
      <c r="N292" s="69">
        <f t="shared" si="48"/>
        <v>774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0306</v>
      </c>
      <c r="N293" s="69">
        <f t="shared" si="48"/>
        <v>774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0306</v>
      </c>
      <c r="N294" s="69">
        <f t="shared" si="48"/>
        <v>774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0306</v>
      </c>
      <c r="N295" s="69">
        <f t="shared" si="48"/>
        <v>774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0306</v>
      </c>
      <c r="N296" s="69">
        <f t="shared" si="48"/>
        <v>774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0306</v>
      </c>
      <c r="N297" s="69">
        <f t="shared" si="48"/>
        <v>774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0306</v>
      </c>
      <c r="N298" s="69">
        <f t="shared" si="48"/>
        <v>774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0306</v>
      </c>
      <c r="N299" s="69">
        <f t="shared" si="48"/>
        <v>774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0306</v>
      </c>
      <c r="N300" s="69">
        <f t="shared" si="48"/>
        <v>774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0306</v>
      </c>
      <c r="N301" s="69">
        <f t="shared" si="48"/>
        <v>774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0306</v>
      </c>
      <c r="N302" s="69">
        <f t="shared" si="48"/>
        <v>774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0306</v>
      </c>
      <c r="N303" s="69">
        <f t="shared" si="48"/>
        <v>774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0306</v>
      </c>
      <c r="N304" s="69">
        <f t="shared" si="48"/>
        <v>774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0306</v>
      </c>
      <c r="N305" s="69">
        <f t="shared" si="48"/>
        <v>774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0306</v>
      </c>
      <c r="N306" s="69">
        <f t="shared" si="48"/>
        <v>774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0306</v>
      </c>
      <c r="N307" s="69">
        <f t="shared" si="48"/>
        <v>774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0306</v>
      </c>
      <c r="N308" s="69">
        <f t="shared" si="48"/>
        <v>774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0306</v>
      </c>
      <c r="N309" s="69">
        <f t="shared" si="48"/>
        <v>774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0306</v>
      </c>
      <c r="N310" s="69">
        <f t="shared" si="48"/>
        <v>774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0306</v>
      </c>
      <c r="N311" s="69">
        <f t="shared" si="48"/>
        <v>774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0306</v>
      </c>
      <c r="N312" s="69">
        <f t="shared" si="48"/>
        <v>774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0306</v>
      </c>
      <c r="N313" s="69">
        <f t="shared" si="48"/>
        <v>774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0306</v>
      </c>
      <c r="N314" s="69">
        <f t="shared" si="48"/>
        <v>774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0306</v>
      </c>
      <c r="N315" s="69">
        <f t="shared" si="48"/>
        <v>774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0306</v>
      </c>
      <c r="N316" s="69">
        <f t="shared" si="48"/>
        <v>774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0306</v>
      </c>
      <c r="N317" s="69">
        <f t="shared" si="48"/>
        <v>774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0306</v>
      </c>
      <c r="N318" s="69">
        <f t="shared" si="48"/>
        <v>774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0306</v>
      </c>
      <c r="N319" s="69">
        <f t="shared" si="48"/>
        <v>774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0306</v>
      </c>
      <c r="N320" s="69">
        <f t="shared" si="48"/>
        <v>774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0306</v>
      </c>
      <c r="N321" s="69">
        <f t="shared" si="48"/>
        <v>774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0306</v>
      </c>
      <c r="N322" s="69">
        <f t="shared" si="48"/>
        <v>774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0306</v>
      </c>
      <c r="N323" s="69">
        <f t="shared" si="48"/>
        <v>774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0306</v>
      </c>
      <c r="N324" s="69">
        <f t="shared" si="48"/>
        <v>774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0306</v>
      </c>
      <c r="N325" s="69">
        <f t="shared" si="48"/>
        <v>774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0306</v>
      </c>
      <c r="N326" s="69">
        <f t="shared" si="48"/>
        <v>774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0306</v>
      </c>
      <c r="N327" s="69">
        <f t="shared" si="48"/>
        <v>774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0306</v>
      </c>
      <c r="N328" s="69">
        <f t="shared" si="48"/>
        <v>774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0306</v>
      </c>
      <c r="N329" s="69">
        <f t="shared" si="48"/>
        <v>774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0306</v>
      </c>
      <c r="N330" s="69">
        <f t="shared" ref="N330:N393" si="52">N329+S329</f>
        <v>774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0306</v>
      </c>
      <c r="N331" s="69">
        <f t="shared" si="52"/>
        <v>774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0306</v>
      </c>
      <c r="N332" s="69">
        <f t="shared" si="52"/>
        <v>774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0306</v>
      </c>
      <c r="N333" s="69">
        <f t="shared" si="52"/>
        <v>774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0306</v>
      </c>
      <c r="N334" s="69">
        <f t="shared" si="52"/>
        <v>774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0306</v>
      </c>
      <c r="N335" s="69">
        <f t="shared" si="52"/>
        <v>774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0306</v>
      </c>
      <c r="N336" s="69">
        <f t="shared" si="52"/>
        <v>774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0306</v>
      </c>
      <c r="N337" s="69">
        <f t="shared" si="52"/>
        <v>774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0306</v>
      </c>
      <c r="N338" s="69">
        <f t="shared" si="52"/>
        <v>774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0306</v>
      </c>
      <c r="N339" s="69">
        <f t="shared" si="52"/>
        <v>774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0306</v>
      </c>
      <c r="N340" s="69">
        <f t="shared" si="52"/>
        <v>774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0306</v>
      </c>
      <c r="N341" s="69">
        <f t="shared" si="52"/>
        <v>774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0306</v>
      </c>
      <c r="N342" s="69">
        <f t="shared" si="52"/>
        <v>774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0306</v>
      </c>
      <c r="N343" s="69">
        <f t="shared" si="52"/>
        <v>774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0306</v>
      </c>
      <c r="N344" s="69">
        <f t="shared" si="52"/>
        <v>774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0306</v>
      </c>
      <c r="N345" s="69">
        <f t="shared" si="52"/>
        <v>774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0306</v>
      </c>
      <c r="N346" s="69">
        <f t="shared" si="52"/>
        <v>774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0306</v>
      </c>
      <c r="N347" s="69">
        <f t="shared" si="52"/>
        <v>774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0306</v>
      </c>
      <c r="N348" s="69">
        <f t="shared" si="52"/>
        <v>774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0306</v>
      </c>
      <c r="N349" s="69">
        <f t="shared" si="52"/>
        <v>774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0306</v>
      </c>
      <c r="N350" s="69">
        <f t="shared" si="52"/>
        <v>774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0306</v>
      </c>
      <c r="N351" s="69">
        <f t="shared" si="52"/>
        <v>774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0306</v>
      </c>
      <c r="N352" s="69">
        <f t="shared" si="52"/>
        <v>774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0306</v>
      </c>
      <c r="N353" s="69">
        <f t="shared" si="52"/>
        <v>774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0306</v>
      </c>
      <c r="N354" s="69">
        <f t="shared" si="52"/>
        <v>774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0306</v>
      </c>
      <c r="N355" s="69">
        <f t="shared" si="52"/>
        <v>774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0306</v>
      </c>
      <c r="N356" s="69">
        <f t="shared" si="52"/>
        <v>774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0306</v>
      </c>
      <c r="N357" s="69">
        <f t="shared" si="52"/>
        <v>774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0306</v>
      </c>
      <c r="N358" s="69">
        <f t="shared" si="52"/>
        <v>774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0306</v>
      </c>
      <c r="N359" s="69">
        <f t="shared" si="52"/>
        <v>774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0306</v>
      </c>
      <c r="N360" s="69">
        <f t="shared" si="52"/>
        <v>774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0306</v>
      </c>
      <c r="N361" s="69">
        <f t="shared" si="52"/>
        <v>774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0306</v>
      </c>
      <c r="N362" s="69">
        <f t="shared" si="52"/>
        <v>774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0306</v>
      </c>
      <c r="N363" s="69">
        <f t="shared" si="52"/>
        <v>774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0306</v>
      </c>
      <c r="N364" s="69">
        <f t="shared" si="52"/>
        <v>774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0306</v>
      </c>
      <c r="N365" s="69">
        <f t="shared" si="52"/>
        <v>774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0306</v>
      </c>
      <c r="N366" s="69">
        <f t="shared" si="52"/>
        <v>774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0306</v>
      </c>
      <c r="N367" s="69">
        <f t="shared" si="52"/>
        <v>774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0306</v>
      </c>
      <c r="N368" s="69">
        <f t="shared" si="52"/>
        <v>774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0306</v>
      </c>
      <c r="N369" s="69">
        <f t="shared" si="52"/>
        <v>774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0306</v>
      </c>
      <c r="N370" s="69">
        <f t="shared" si="52"/>
        <v>774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0306</v>
      </c>
      <c r="N371" s="69">
        <f t="shared" si="52"/>
        <v>774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0306</v>
      </c>
      <c r="N372" s="69">
        <f t="shared" si="52"/>
        <v>774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0306</v>
      </c>
      <c r="N373" s="69">
        <f t="shared" si="52"/>
        <v>774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0306</v>
      </c>
      <c r="N374" s="69">
        <f t="shared" si="52"/>
        <v>774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0306</v>
      </c>
      <c r="N375" s="69">
        <f t="shared" si="52"/>
        <v>774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0306</v>
      </c>
      <c r="N376" s="69">
        <f t="shared" si="52"/>
        <v>774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0306</v>
      </c>
      <c r="N377" s="69">
        <f t="shared" si="52"/>
        <v>774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0306</v>
      </c>
      <c r="N378" s="69">
        <f t="shared" si="52"/>
        <v>774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0306</v>
      </c>
      <c r="N379" s="69">
        <f t="shared" si="52"/>
        <v>774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0306</v>
      </c>
      <c r="N380" s="69">
        <f t="shared" si="52"/>
        <v>774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0306</v>
      </c>
      <c r="N381" s="69">
        <f t="shared" si="52"/>
        <v>774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0306</v>
      </c>
      <c r="N382" s="69">
        <f t="shared" si="52"/>
        <v>774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0306</v>
      </c>
      <c r="N383" s="69">
        <f t="shared" si="52"/>
        <v>774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0306</v>
      </c>
      <c r="N384" s="69">
        <f t="shared" si="52"/>
        <v>774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0306</v>
      </c>
      <c r="N385" s="69">
        <f t="shared" si="52"/>
        <v>774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0306</v>
      </c>
      <c r="N386" s="69">
        <f t="shared" si="52"/>
        <v>774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0306</v>
      </c>
      <c r="N387" s="69">
        <f t="shared" si="52"/>
        <v>774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0306</v>
      </c>
      <c r="N388" s="69">
        <f t="shared" si="52"/>
        <v>774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0306</v>
      </c>
      <c r="N389" s="69">
        <f t="shared" si="52"/>
        <v>774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0306</v>
      </c>
      <c r="N390" s="69">
        <f t="shared" si="52"/>
        <v>774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0306</v>
      </c>
      <c r="N391" s="69">
        <f t="shared" si="52"/>
        <v>774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0306</v>
      </c>
      <c r="N392" s="69">
        <f t="shared" si="52"/>
        <v>774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0306</v>
      </c>
      <c r="N393" s="69">
        <f t="shared" si="52"/>
        <v>774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0306</v>
      </c>
      <c r="N394" s="69">
        <f t="shared" ref="N394:N457" si="56">N393+S393</f>
        <v>774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0306</v>
      </c>
      <c r="N395" s="69">
        <f t="shared" si="56"/>
        <v>774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0306</v>
      </c>
      <c r="N396" s="69">
        <f t="shared" si="56"/>
        <v>774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0306</v>
      </c>
      <c r="N397" s="69">
        <f t="shared" si="56"/>
        <v>774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0306</v>
      </c>
      <c r="N398" s="69">
        <f t="shared" si="56"/>
        <v>774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0306</v>
      </c>
      <c r="N399" s="69">
        <f t="shared" si="56"/>
        <v>774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0306</v>
      </c>
      <c r="N400" s="69">
        <f t="shared" si="56"/>
        <v>774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0306</v>
      </c>
      <c r="N401" s="69">
        <f t="shared" si="56"/>
        <v>774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0306</v>
      </c>
      <c r="N402" s="69">
        <f t="shared" si="56"/>
        <v>774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0306</v>
      </c>
      <c r="N403" s="69">
        <f t="shared" si="56"/>
        <v>774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0306</v>
      </c>
      <c r="N404" s="69">
        <f t="shared" si="56"/>
        <v>774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0306</v>
      </c>
      <c r="N405" s="69">
        <f t="shared" si="56"/>
        <v>774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0306</v>
      </c>
      <c r="N406" s="69">
        <f t="shared" si="56"/>
        <v>774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0306</v>
      </c>
      <c r="N407" s="69">
        <f t="shared" si="56"/>
        <v>774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0306</v>
      </c>
      <c r="N408" s="69">
        <f t="shared" si="56"/>
        <v>774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0306</v>
      </c>
      <c r="N409" s="69">
        <f t="shared" si="56"/>
        <v>774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0306</v>
      </c>
      <c r="N410" s="69">
        <f t="shared" si="56"/>
        <v>774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0306</v>
      </c>
      <c r="N411" s="69">
        <f t="shared" si="56"/>
        <v>774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0306</v>
      </c>
      <c r="N412" s="69">
        <f t="shared" si="56"/>
        <v>774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0306</v>
      </c>
      <c r="N413" s="69">
        <f t="shared" si="56"/>
        <v>774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0306</v>
      </c>
      <c r="N414" s="69">
        <f t="shared" si="56"/>
        <v>774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0306</v>
      </c>
      <c r="N415" s="69">
        <f t="shared" si="56"/>
        <v>774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0306</v>
      </c>
      <c r="N416" s="69">
        <f t="shared" si="56"/>
        <v>774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0306</v>
      </c>
      <c r="N417" s="69">
        <f t="shared" si="56"/>
        <v>774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0306</v>
      </c>
      <c r="N418" s="69">
        <f t="shared" si="56"/>
        <v>774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0306</v>
      </c>
      <c r="N419" s="69">
        <f t="shared" si="56"/>
        <v>774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0306</v>
      </c>
      <c r="N420" s="69">
        <f t="shared" si="56"/>
        <v>774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0306</v>
      </c>
      <c r="N421" s="69">
        <f t="shared" si="56"/>
        <v>774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0306</v>
      </c>
      <c r="N422" s="69">
        <f t="shared" si="56"/>
        <v>774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0306</v>
      </c>
      <c r="N423" s="69">
        <f t="shared" si="56"/>
        <v>774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0306</v>
      </c>
      <c r="N424" s="69">
        <f t="shared" si="56"/>
        <v>774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0306</v>
      </c>
      <c r="N425" s="69">
        <f t="shared" si="56"/>
        <v>774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0306</v>
      </c>
      <c r="N426" s="69">
        <f t="shared" si="56"/>
        <v>774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0306</v>
      </c>
      <c r="N427" s="69">
        <f t="shared" si="56"/>
        <v>774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0306</v>
      </c>
      <c r="N428" s="69">
        <f t="shared" si="56"/>
        <v>774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0306</v>
      </c>
      <c r="N429" s="69">
        <f t="shared" si="56"/>
        <v>774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0306</v>
      </c>
      <c r="N430" s="69">
        <f t="shared" si="56"/>
        <v>774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0306</v>
      </c>
      <c r="N431" s="69">
        <f t="shared" si="56"/>
        <v>774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0306</v>
      </c>
      <c r="N432" s="69">
        <f t="shared" si="56"/>
        <v>774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0306</v>
      </c>
      <c r="N433" s="69">
        <f t="shared" si="56"/>
        <v>774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0306</v>
      </c>
      <c r="N434" s="69">
        <f t="shared" si="56"/>
        <v>774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0306</v>
      </c>
      <c r="N435" s="69">
        <f t="shared" si="56"/>
        <v>774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0306</v>
      </c>
      <c r="N436" s="69">
        <f t="shared" si="56"/>
        <v>774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0306</v>
      </c>
      <c r="N437" s="69">
        <f t="shared" si="56"/>
        <v>774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0306</v>
      </c>
      <c r="N438" s="69">
        <f t="shared" si="56"/>
        <v>774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0306</v>
      </c>
      <c r="N439" s="69">
        <f t="shared" si="56"/>
        <v>774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0306</v>
      </c>
      <c r="N440" s="69">
        <f t="shared" si="56"/>
        <v>774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0306</v>
      </c>
      <c r="N441" s="69">
        <f t="shared" si="56"/>
        <v>774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0306</v>
      </c>
      <c r="N442" s="69">
        <f t="shared" si="56"/>
        <v>774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0306</v>
      </c>
      <c r="N443" s="69">
        <f t="shared" si="56"/>
        <v>774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0306</v>
      </c>
      <c r="N444" s="69">
        <f t="shared" si="56"/>
        <v>774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0306</v>
      </c>
      <c r="N445" s="69">
        <f t="shared" si="56"/>
        <v>774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0306</v>
      </c>
      <c r="N446" s="69">
        <f t="shared" si="56"/>
        <v>774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0306</v>
      </c>
      <c r="N447" s="69">
        <f t="shared" si="56"/>
        <v>774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0306</v>
      </c>
      <c r="N448" s="69">
        <f t="shared" si="56"/>
        <v>774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0306</v>
      </c>
      <c r="N449" s="69">
        <f t="shared" si="56"/>
        <v>774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0306</v>
      </c>
      <c r="N450" s="69">
        <f t="shared" si="56"/>
        <v>774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0306</v>
      </c>
      <c r="N451" s="69">
        <f t="shared" si="56"/>
        <v>774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0306</v>
      </c>
      <c r="N452" s="69">
        <f t="shared" si="56"/>
        <v>774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0306</v>
      </c>
      <c r="N453" s="69">
        <f t="shared" si="56"/>
        <v>774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0306</v>
      </c>
      <c r="N454" s="69">
        <f t="shared" si="56"/>
        <v>774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0306</v>
      </c>
      <c r="N455" s="69">
        <f t="shared" si="56"/>
        <v>774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0306</v>
      </c>
      <c r="N456" s="69">
        <f t="shared" si="56"/>
        <v>774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0306</v>
      </c>
      <c r="N457" s="69">
        <f t="shared" si="56"/>
        <v>774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0306</v>
      </c>
      <c r="N458" s="69">
        <f t="shared" ref="N458:N521" si="60">N457+S457</f>
        <v>774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0306</v>
      </c>
      <c r="N459" s="69">
        <f t="shared" si="60"/>
        <v>774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0306</v>
      </c>
      <c r="N460" s="69">
        <f t="shared" si="60"/>
        <v>774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0306</v>
      </c>
      <c r="N461" s="69">
        <f t="shared" si="60"/>
        <v>774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0306</v>
      </c>
      <c r="N462" s="69">
        <f t="shared" si="60"/>
        <v>774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0306</v>
      </c>
      <c r="N463" s="69">
        <f t="shared" si="60"/>
        <v>774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0306</v>
      </c>
      <c r="N464" s="69">
        <f t="shared" si="60"/>
        <v>774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0306</v>
      </c>
      <c r="N465" s="69">
        <f t="shared" si="60"/>
        <v>774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0306</v>
      </c>
      <c r="N466" s="69">
        <f t="shared" si="60"/>
        <v>774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0306</v>
      </c>
      <c r="N467" s="69">
        <f t="shared" si="60"/>
        <v>774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0306</v>
      </c>
      <c r="N468" s="69">
        <f t="shared" si="60"/>
        <v>774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0306</v>
      </c>
      <c r="N469" s="69">
        <f t="shared" si="60"/>
        <v>774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0306</v>
      </c>
      <c r="N470" s="69">
        <f t="shared" si="60"/>
        <v>774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0306</v>
      </c>
      <c r="N471" s="69">
        <f t="shared" si="60"/>
        <v>774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0306</v>
      </c>
      <c r="N472" s="69">
        <f t="shared" si="60"/>
        <v>774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0306</v>
      </c>
      <c r="N473" s="69">
        <f t="shared" si="60"/>
        <v>774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0306</v>
      </c>
      <c r="N474" s="69">
        <f t="shared" si="60"/>
        <v>774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0306</v>
      </c>
      <c r="N475" s="69">
        <f t="shared" si="60"/>
        <v>774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0306</v>
      </c>
      <c r="N476" s="69">
        <f t="shared" si="60"/>
        <v>774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0306</v>
      </c>
      <c r="N477" s="69">
        <f t="shared" si="60"/>
        <v>774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0306</v>
      </c>
      <c r="N478" s="69">
        <f t="shared" si="60"/>
        <v>774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0306</v>
      </c>
      <c r="N479" s="69">
        <f t="shared" si="60"/>
        <v>774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0306</v>
      </c>
      <c r="N480" s="69">
        <f t="shared" si="60"/>
        <v>774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0306</v>
      </c>
      <c r="N481" s="69">
        <f t="shared" si="60"/>
        <v>774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0306</v>
      </c>
      <c r="N482" s="69">
        <f t="shared" si="60"/>
        <v>774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0306</v>
      </c>
      <c r="N483" s="69">
        <f t="shared" si="60"/>
        <v>774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0306</v>
      </c>
      <c r="N484" s="69">
        <f t="shared" si="60"/>
        <v>774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0306</v>
      </c>
      <c r="N485" s="69">
        <f t="shared" si="60"/>
        <v>774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0306</v>
      </c>
      <c r="N486" s="69">
        <f t="shared" si="60"/>
        <v>774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0306</v>
      </c>
      <c r="N487" s="69">
        <f t="shared" si="60"/>
        <v>774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0306</v>
      </c>
      <c r="N488" s="69">
        <f t="shared" si="60"/>
        <v>774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0306</v>
      </c>
      <c r="N489" s="69">
        <f t="shared" si="60"/>
        <v>774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0306</v>
      </c>
      <c r="N490" s="69">
        <f t="shared" si="60"/>
        <v>774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0306</v>
      </c>
      <c r="N491" s="69">
        <f t="shared" si="60"/>
        <v>774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0306</v>
      </c>
      <c r="N492" s="69">
        <f t="shared" si="60"/>
        <v>774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0306</v>
      </c>
      <c r="N493" s="69">
        <f t="shared" si="60"/>
        <v>774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0306</v>
      </c>
      <c r="N494" s="69">
        <f t="shared" si="60"/>
        <v>774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0306</v>
      </c>
      <c r="N495" s="69">
        <f t="shared" si="60"/>
        <v>774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0306</v>
      </c>
      <c r="N496" s="69">
        <f t="shared" si="60"/>
        <v>774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0306</v>
      </c>
      <c r="N497" s="69">
        <f t="shared" si="60"/>
        <v>774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0306</v>
      </c>
      <c r="N498" s="69">
        <f t="shared" si="60"/>
        <v>774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0306</v>
      </c>
      <c r="N499" s="69">
        <f t="shared" si="60"/>
        <v>774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0306</v>
      </c>
      <c r="N500" s="69">
        <f t="shared" si="60"/>
        <v>774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0306</v>
      </c>
      <c r="N501" s="69">
        <f t="shared" si="60"/>
        <v>774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0306</v>
      </c>
      <c r="N502" s="69">
        <f t="shared" si="60"/>
        <v>774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0306</v>
      </c>
      <c r="N503" s="69">
        <f t="shared" si="60"/>
        <v>774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0306</v>
      </c>
      <c r="N504" s="69">
        <f t="shared" si="60"/>
        <v>774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0306</v>
      </c>
      <c r="N505" s="69">
        <f t="shared" si="60"/>
        <v>774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0306</v>
      </c>
      <c r="N506" s="69">
        <f t="shared" si="60"/>
        <v>774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0306</v>
      </c>
      <c r="N507" s="69">
        <f t="shared" si="60"/>
        <v>774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0306</v>
      </c>
      <c r="N508" s="69">
        <f t="shared" si="60"/>
        <v>774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0306</v>
      </c>
      <c r="N509" s="69">
        <f t="shared" si="60"/>
        <v>774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0306</v>
      </c>
      <c r="N510" s="69">
        <f t="shared" si="60"/>
        <v>774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0306</v>
      </c>
      <c r="N511" s="69">
        <f t="shared" si="60"/>
        <v>774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0306</v>
      </c>
      <c r="N512" s="69">
        <f t="shared" si="60"/>
        <v>774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0306</v>
      </c>
      <c r="N513" s="69">
        <f t="shared" si="60"/>
        <v>774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0306</v>
      </c>
      <c r="N514" s="69">
        <f t="shared" si="60"/>
        <v>774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0306</v>
      </c>
      <c r="N515" s="69">
        <f t="shared" si="60"/>
        <v>774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0306</v>
      </c>
      <c r="N516" s="69">
        <f t="shared" si="60"/>
        <v>774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0306</v>
      </c>
      <c r="N517" s="69">
        <f t="shared" si="60"/>
        <v>774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0306</v>
      </c>
      <c r="N518" s="69">
        <f t="shared" si="60"/>
        <v>774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0306</v>
      </c>
      <c r="N519" s="69">
        <f t="shared" si="60"/>
        <v>774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0306</v>
      </c>
      <c r="N520" s="69">
        <f t="shared" si="60"/>
        <v>774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0306</v>
      </c>
      <c r="N521" s="69">
        <f t="shared" si="60"/>
        <v>774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0306</v>
      </c>
      <c r="N522" s="69">
        <f t="shared" ref="N522:N585" si="64">N521+S521</f>
        <v>774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0306</v>
      </c>
      <c r="N523" s="69">
        <f t="shared" si="64"/>
        <v>774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0306</v>
      </c>
      <c r="N524" s="69">
        <f t="shared" si="64"/>
        <v>774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0306</v>
      </c>
      <c r="N525" s="69">
        <f t="shared" si="64"/>
        <v>774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0306</v>
      </c>
      <c r="N526" s="69">
        <f t="shared" si="64"/>
        <v>774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0306</v>
      </c>
      <c r="N527" s="69">
        <f t="shared" si="64"/>
        <v>774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0306</v>
      </c>
      <c r="N528" s="69">
        <f t="shared" si="64"/>
        <v>774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0306</v>
      </c>
      <c r="N529" s="69">
        <f t="shared" si="64"/>
        <v>774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0306</v>
      </c>
      <c r="N530" s="69">
        <f t="shared" si="64"/>
        <v>774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0306</v>
      </c>
      <c r="N531" s="69">
        <f t="shared" si="64"/>
        <v>774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0306</v>
      </c>
      <c r="N532" s="69">
        <f t="shared" si="64"/>
        <v>774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0306</v>
      </c>
      <c r="N533" s="69">
        <f t="shared" si="64"/>
        <v>774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0306</v>
      </c>
      <c r="N534" s="69">
        <f t="shared" si="64"/>
        <v>774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0306</v>
      </c>
      <c r="N535" s="69">
        <f t="shared" si="64"/>
        <v>774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0306</v>
      </c>
      <c r="N536" s="69">
        <f t="shared" si="64"/>
        <v>774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0306</v>
      </c>
      <c r="N537" s="69">
        <f t="shared" si="64"/>
        <v>774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0306</v>
      </c>
      <c r="N538" s="69">
        <f t="shared" si="64"/>
        <v>774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0306</v>
      </c>
      <c r="N539" s="69">
        <f t="shared" si="64"/>
        <v>774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0306</v>
      </c>
      <c r="N540" s="69">
        <f t="shared" si="64"/>
        <v>774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0306</v>
      </c>
      <c r="N541" s="69">
        <f t="shared" si="64"/>
        <v>774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0306</v>
      </c>
      <c r="N542" s="69">
        <f t="shared" si="64"/>
        <v>774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0306</v>
      </c>
      <c r="N543" s="69">
        <f t="shared" si="64"/>
        <v>774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0306</v>
      </c>
      <c r="N544" s="69">
        <f t="shared" si="64"/>
        <v>774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0306</v>
      </c>
      <c r="N545" s="69">
        <f t="shared" si="64"/>
        <v>774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0306</v>
      </c>
      <c r="N546" s="69">
        <f t="shared" si="64"/>
        <v>774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0306</v>
      </c>
      <c r="N547" s="69">
        <f t="shared" si="64"/>
        <v>774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0306</v>
      </c>
      <c r="N548" s="69">
        <f t="shared" si="64"/>
        <v>774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0306</v>
      </c>
      <c r="N549" s="69">
        <f t="shared" si="64"/>
        <v>774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0306</v>
      </c>
      <c r="N550" s="69">
        <f t="shared" si="64"/>
        <v>774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0306</v>
      </c>
      <c r="N551" s="69">
        <f t="shared" si="64"/>
        <v>774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0306</v>
      </c>
      <c r="N552" s="69">
        <f t="shared" si="64"/>
        <v>774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0306</v>
      </c>
      <c r="N553" s="69">
        <f t="shared" si="64"/>
        <v>774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0306</v>
      </c>
      <c r="N554" s="69">
        <f t="shared" si="64"/>
        <v>774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0306</v>
      </c>
      <c r="N555" s="69">
        <f t="shared" si="64"/>
        <v>774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0306</v>
      </c>
      <c r="N556" s="69">
        <f t="shared" si="64"/>
        <v>774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0306</v>
      </c>
      <c r="N557" s="69">
        <f t="shared" si="64"/>
        <v>774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0306</v>
      </c>
      <c r="N558" s="69">
        <f t="shared" si="64"/>
        <v>774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0306</v>
      </c>
      <c r="N559" s="69">
        <f t="shared" si="64"/>
        <v>774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0306</v>
      </c>
      <c r="N560" s="69">
        <f t="shared" si="64"/>
        <v>774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0306</v>
      </c>
      <c r="N561" s="69">
        <f t="shared" si="64"/>
        <v>774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0306</v>
      </c>
      <c r="N562" s="69">
        <f t="shared" si="64"/>
        <v>774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0306</v>
      </c>
      <c r="N563" s="69">
        <f t="shared" si="64"/>
        <v>774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0306</v>
      </c>
      <c r="N564" s="69">
        <f t="shared" si="64"/>
        <v>774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0306</v>
      </c>
      <c r="N565" s="69">
        <f t="shared" si="64"/>
        <v>774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0306</v>
      </c>
      <c r="N566" s="69">
        <f t="shared" si="64"/>
        <v>774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0306</v>
      </c>
      <c r="N567" s="69">
        <f t="shared" si="64"/>
        <v>774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0306</v>
      </c>
      <c r="N568" s="69">
        <f t="shared" si="64"/>
        <v>774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0306</v>
      </c>
      <c r="N569" s="69">
        <f t="shared" si="64"/>
        <v>774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0306</v>
      </c>
      <c r="N570" s="69">
        <f t="shared" si="64"/>
        <v>774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0306</v>
      </c>
      <c r="N571" s="69">
        <f t="shared" si="64"/>
        <v>774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0306</v>
      </c>
      <c r="N572" s="69">
        <f t="shared" si="64"/>
        <v>774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0306</v>
      </c>
      <c r="N573" s="69">
        <f t="shared" si="64"/>
        <v>774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0306</v>
      </c>
      <c r="N574" s="69">
        <f t="shared" si="64"/>
        <v>774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0306</v>
      </c>
      <c r="N575" s="69">
        <f t="shared" si="64"/>
        <v>774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0306</v>
      </c>
      <c r="N576" s="69">
        <f t="shared" si="64"/>
        <v>774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0306</v>
      </c>
      <c r="N577" s="69">
        <f t="shared" si="64"/>
        <v>774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0306</v>
      </c>
      <c r="N578" s="69">
        <f t="shared" si="64"/>
        <v>774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0306</v>
      </c>
      <c r="N579" s="69">
        <f t="shared" si="64"/>
        <v>774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0306</v>
      </c>
      <c r="N580" s="69">
        <f t="shared" si="64"/>
        <v>774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0306</v>
      </c>
      <c r="N581" s="69">
        <f t="shared" si="64"/>
        <v>774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0306</v>
      </c>
      <c r="N582" s="69">
        <f t="shared" si="64"/>
        <v>774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0306</v>
      </c>
      <c r="N583" s="69">
        <f t="shared" si="64"/>
        <v>774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0306</v>
      </c>
      <c r="N584" s="69">
        <f t="shared" si="64"/>
        <v>774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0306</v>
      </c>
      <c r="N585" s="69">
        <f t="shared" si="64"/>
        <v>774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0306</v>
      </c>
      <c r="N586" s="69">
        <f t="shared" ref="N586:N649" si="68">N585+S585</f>
        <v>774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0306</v>
      </c>
      <c r="N587" s="69">
        <f t="shared" si="68"/>
        <v>774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0306</v>
      </c>
      <c r="N588" s="69">
        <f t="shared" si="68"/>
        <v>774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0306</v>
      </c>
      <c r="N589" s="69">
        <f t="shared" si="68"/>
        <v>774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0306</v>
      </c>
      <c r="N590" s="69">
        <f t="shared" si="68"/>
        <v>774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0306</v>
      </c>
      <c r="N591" s="69">
        <f t="shared" si="68"/>
        <v>774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0306</v>
      </c>
      <c r="N592" s="69">
        <f t="shared" si="68"/>
        <v>774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0306</v>
      </c>
      <c r="N593" s="69">
        <f t="shared" si="68"/>
        <v>774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0306</v>
      </c>
      <c r="N594" s="69">
        <f t="shared" si="68"/>
        <v>774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0306</v>
      </c>
      <c r="N595" s="69">
        <f t="shared" si="68"/>
        <v>774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0306</v>
      </c>
      <c r="N596" s="69">
        <f t="shared" si="68"/>
        <v>774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0306</v>
      </c>
      <c r="N597" s="69">
        <f t="shared" si="68"/>
        <v>774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0306</v>
      </c>
      <c r="N598" s="69">
        <f t="shared" si="68"/>
        <v>774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0306</v>
      </c>
      <c r="N599" s="69">
        <f t="shared" si="68"/>
        <v>774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0306</v>
      </c>
      <c r="N600" s="69">
        <f t="shared" si="68"/>
        <v>774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0306</v>
      </c>
      <c r="N601" s="69">
        <f t="shared" si="68"/>
        <v>774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0306</v>
      </c>
      <c r="N602" s="69">
        <f t="shared" si="68"/>
        <v>774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0306</v>
      </c>
      <c r="N603" s="69">
        <f t="shared" si="68"/>
        <v>774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0306</v>
      </c>
      <c r="N604" s="69">
        <f t="shared" si="68"/>
        <v>774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0306</v>
      </c>
      <c r="N605" s="69">
        <f t="shared" si="68"/>
        <v>774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0306</v>
      </c>
      <c r="N606" s="69">
        <f t="shared" si="68"/>
        <v>774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0306</v>
      </c>
      <c r="N607" s="69">
        <f t="shared" si="68"/>
        <v>774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0306</v>
      </c>
      <c r="N608" s="69">
        <f t="shared" si="68"/>
        <v>774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0306</v>
      </c>
      <c r="N609" s="69">
        <f t="shared" si="68"/>
        <v>774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0306</v>
      </c>
      <c r="N610" s="69">
        <f t="shared" si="68"/>
        <v>774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0306</v>
      </c>
      <c r="N611" s="69">
        <f t="shared" si="68"/>
        <v>774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0306</v>
      </c>
      <c r="N612" s="69">
        <f t="shared" si="68"/>
        <v>774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0306</v>
      </c>
      <c r="N613" s="69">
        <f t="shared" si="68"/>
        <v>774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0306</v>
      </c>
      <c r="N614" s="69">
        <f t="shared" si="68"/>
        <v>774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0306</v>
      </c>
      <c r="N615" s="69">
        <f t="shared" si="68"/>
        <v>774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0306</v>
      </c>
      <c r="N616" s="69">
        <f t="shared" si="68"/>
        <v>774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0306</v>
      </c>
      <c r="N617" s="69">
        <f t="shared" si="68"/>
        <v>774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0306</v>
      </c>
      <c r="N618" s="69">
        <f t="shared" si="68"/>
        <v>774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0306</v>
      </c>
      <c r="N619" s="69">
        <f t="shared" si="68"/>
        <v>774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0306</v>
      </c>
      <c r="N620" s="69">
        <f t="shared" si="68"/>
        <v>774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0306</v>
      </c>
      <c r="N621" s="69">
        <f t="shared" si="68"/>
        <v>774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0306</v>
      </c>
      <c r="N622" s="69">
        <f t="shared" si="68"/>
        <v>774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0306</v>
      </c>
      <c r="N623" s="69">
        <f t="shared" si="68"/>
        <v>774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0306</v>
      </c>
      <c r="N624" s="69">
        <f t="shared" si="68"/>
        <v>774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0306</v>
      </c>
      <c r="N625" s="69">
        <f t="shared" si="68"/>
        <v>774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0306</v>
      </c>
      <c r="N626" s="69">
        <f t="shared" si="68"/>
        <v>774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0306</v>
      </c>
      <c r="N627" s="69">
        <f t="shared" si="68"/>
        <v>774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0306</v>
      </c>
      <c r="N628" s="69">
        <f t="shared" si="68"/>
        <v>774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0306</v>
      </c>
      <c r="N629" s="69">
        <f t="shared" si="68"/>
        <v>774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0306</v>
      </c>
      <c r="N630" s="69">
        <f t="shared" si="68"/>
        <v>774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0306</v>
      </c>
      <c r="N631" s="69">
        <f t="shared" si="68"/>
        <v>774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0306</v>
      </c>
      <c r="N632" s="69">
        <f t="shared" si="68"/>
        <v>774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0306</v>
      </c>
      <c r="N633" s="69">
        <f t="shared" si="68"/>
        <v>774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0306</v>
      </c>
      <c r="N634" s="69">
        <f t="shared" si="68"/>
        <v>774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0306</v>
      </c>
      <c r="N635" s="69">
        <f t="shared" si="68"/>
        <v>774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0306</v>
      </c>
      <c r="N636" s="69">
        <f t="shared" si="68"/>
        <v>774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0306</v>
      </c>
      <c r="N637" s="69">
        <f t="shared" si="68"/>
        <v>774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0306</v>
      </c>
      <c r="N638" s="69">
        <f t="shared" si="68"/>
        <v>774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0306</v>
      </c>
      <c r="N639" s="69">
        <f t="shared" si="68"/>
        <v>774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0306</v>
      </c>
      <c r="N640" s="69">
        <f t="shared" si="68"/>
        <v>774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0306</v>
      </c>
      <c r="N641" s="69">
        <f t="shared" si="68"/>
        <v>774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0306</v>
      </c>
      <c r="N642" s="69">
        <f t="shared" si="68"/>
        <v>774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0306</v>
      </c>
      <c r="N643" s="69">
        <f t="shared" si="68"/>
        <v>774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0306</v>
      </c>
      <c r="N644" s="69">
        <f t="shared" si="68"/>
        <v>774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0306</v>
      </c>
      <c r="N645" s="69">
        <f t="shared" si="68"/>
        <v>774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0306</v>
      </c>
      <c r="N646" s="69">
        <f t="shared" si="68"/>
        <v>774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0306</v>
      </c>
      <c r="N647" s="69">
        <f t="shared" si="68"/>
        <v>774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0306</v>
      </c>
      <c r="N648" s="69">
        <f t="shared" si="68"/>
        <v>774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0306</v>
      </c>
      <c r="N649" s="69">
        <f t="shared" si="68"/>
        <v>774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0306</v>
      </c>
      <c r="N650" s="69">
        <f t="shared" ref="N650:N713" si="72">N649+S649</f>
        <v>774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0306</v>
      </c>
      <c r="N651" s="69">
        <f t="shared" si="72"/>
        <v>774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0306</v>
      </c>
      <c r="N652" s="69">
        <f t="shared" si="72"/>
        <v>774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0306</v>
      </c>
      <c r="N653" s="69">
        <f t="shared" si="72"/>
        <v>774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0306</v>
      </c>
      <c r="N654" s="69">
        <f t="shared" si="72"/>
        <v>774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0306</v>
      </c>
      <c r="N655" s="69">
        <f t="shared" si="72"/>
        <v>774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0306</v>
      </c>
      <c r="N656" s="69">
        <f t="shared" si="72"/>
        <v>774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0306</v>
      </c>
      <c r="N657" s="69">
        <f t="shared" si="72"/>
        <v>774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0306</v>
      </c>
      <c r="N658" s="69">
        <f t="shared" si="72"/>
        <v>774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0306</v>
      </c>
      <c r="N659" s="69">
        <f t="shared" si="72"/>
        <v>774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0306</v>
      </c>
      <c r="N660" s="69">
        <f t="shared" si="72"/>
        <v>774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0306</v>
      </c>
      <c r="N661" s="69">
        <f t="shared" si="72"/>
        <v>774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0306</v>
      </c>
      <c r="N662" s="69">
        <f t="shared" si="72"/>
        <v>774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0306</v>
      </c>
      <c r="N663" s="69">
        <f t="shared" si="72"/>
        <v>774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0306</v>
      </c>
      <c r="N664" s="69">
        <f t="shared" si="72"/>
        <v>774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0306</v>
      </c>
      <c r="N665" s="69">
        <f t="shared" si="72"/>
        <v>774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0306</v>
      </c>
      <c r="N666" s="69">
        <f t="shared" si="72"/>
        <v>774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0306</v>
      </c>
      <c r="N667" s="69">
        <f t="shared" si="72"/>
        <v>774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0306</v>
      </c>
      <c r="N668" s="69">
        <f t="shared" si="72"/>
        <v>774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0306</v>
      </c>
      <c r="N669" s="69">
        <f t="shared" si="72"/>
        <v>774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0306</v>
      </c>
      <c r="N670" s="69">
        <f t="shared" si="72"/>
        <v>774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0306</v>
      </c>
      <c r="N671" s="69">
        <f t="shared" si="72"/>
        <v>774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0306</v>
      </c>
      <c r="N672" s="69">
        <f t="shared" si="72"/>
        <v>774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0306</v>
      </c>
      <c r="N673" s="69">
        <f t="shared" si="72"/>
        <v>774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0306</v>
      </c>
      <c r="N674" s="69">
        <f t="shared" si="72"/>
        <v>774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0306</v>
      </c>
      <c r="N675" s="69">
        <f t="shared" si="72"/>
        <v>774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0306</v>
      </c>
      <c r="N676" s="69">
        <f t="shared" si="72"/>
        <v>774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0306</v>
      </c>
      <c r="N677" s="69">
        <f t="shared" si="72"/>
        <v>774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0306</v>
      </c>
      <c r="N678" s="69">
        <f t="shared" si="72"/>
        <v>774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0306</v>
      </c>
      <c r="N679" s="69">
        <f t="shared" si="72"/>
        <v>774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0306</v>
      </c>
      <c r="N680" s="69">
        <f t="shared" si="72"/>
        <v>774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0306</v>
      </c>
      <c r="N681" s="69">
        <f t="shared" si="72"/>
        <v>774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0306</v>
      </c>
      <c r="N682" s="69">
        <f t="shared" si="72"/>
        <v>774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0306</v>
      </c>
      <c r="N683" s="69">
        <f t="shared" si="72"/>
        <v>774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0306</v>
      </c>
      <c r="N684" s="69">
        <f t="shared" si="72"/>
        <v>774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0306</v>
      </c>
      <c r="N685" s="69">
        <f t="shared" si="72"/>
        <v>774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0306</v>
      </c>
      <c r="N686" s="69">
        <f t="shared" si="72"/>
        <v>774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0306</v>
      </c>
      <c r="N687" s="69">
        <f t="shared" si="72"/>
        <v>774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0306</v>
      </c>
      <c r="N688" s="69">
        <f t="shared" si="72"/>
        <v>774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0306</v>
      </c>
      <c r="N689" s="69">
        <f t="shared" si="72"/>
        <v>774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0306</v>
      </c>
      <c r="N690" s="69">
        <f t="shared" si="72"/>
        <v>774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0306</v>
      </c>
      <c r="N691" s="69">
        <f t="shared" si="72"/>
        <v>774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0306</v>
      </c>
      <c r="N692" s="69">
        <f t="shared" si="72"/>
        <v>774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0306</v>
      </c>
      <c r="N693" s="69">
        <f t="shared" si="72"/>
        <v>774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0306</v>
      </c>
      <c r="N694" s="69">
        <f t="shared" si="72"/>
        <v>774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0306</v>
      </c>
      <c r="N695" s="69">
        <f t="shared" si="72"/>
        <v>774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0306</v>
      </c>
      <c r="N696" s="69">
        <f t="shared" si="72"/>
        <v>774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0306</v>
      </c>
      <c r="N697" s="69">
        <f t="shared" si="72"/>
        <v>774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0306</v>
      </c>
      <c r="N698" s="69">
        <f t="shared" si="72"/>
        <v>774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0306</v>
      </c>
      <c r="N699" s="69">
        <f t="shared" si="72"/>
        <v>774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0306</v>
      </c>
      <c r="N700" s="69">
        <f t="shared" si="72"/>
        <v>774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0306</v>
      </c>
      <c r="N701" s="69">
        <f t="shared" si="72"/>
        <v>774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0306</v>
      </c>
      <c r="N702" s="69">
        <f t="shared" si="72"/>
        <v>774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0306</v>
      </c>
      <c r="N703" s="69">
        <f t="shared" si="72"/>
        <v>774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0306</v>
      </c>
      <c r="N704" s="69">
        <f t="shared" si="72"/>
        <v>774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0306</v>
      </c>
      <c r="N705" s="69">
        <f t="shared" si="72"/>
        <v>774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0306</v>
      </c>
      <c r="N706" s="69">
        <f t="shared" si="72"/>
        <v>774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0306</v>
      </c>
      <c r="N707" s="69">
        <f t="shared" si="72"/>
        <v>774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0306</v>
      </c>
      <c r="N708" s="69">
        <f t="shared" si="72"/>
        <v>774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0306</v>
      </c>
      <c r="N709" s="69">
        <f t="shared" si="72"/>
        <v>774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0306</v>
      </c>
      <c r="N710" s="69">
        <f t="shared" si="72"/>
        <v>774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0306</v>
      </c>
      <c r="N711" s="69">
        <f t="shared" si="72"/>
        <v>774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0306</v>
      </c>
      <c r="N712" s="69">
        <f t="shared" si="72"/>
        <v>774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0306</v>
      </c>
      <c r="N713" s="69">
        <f t="shared" si="72"/>
        <v>774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0306</v>
      </c>
      <c r="N714" s="69">
        <f t="shared" ref="N714:N777" si="76">N713+S713</f>
        <v>774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0306</v>
      </c>
      <c r="N715" s="69">
        <f t="shared" si="76"/>
        <v>774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0306</v>
      </c>
      <c r="N716" s="69">
        <f t="shared" si="76"/>
        <v>774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0306</v>
      </c>
      <c r="N717" s="69">
        <f t="shared" si="76"/>
        <v>774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0306</v>
      </c>
      <c r="N718" s="69">
        <f t="shared" si="76"/>
        <v>774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0306</v>
      </c>
      <c r="N719" s="69">
        <f t="shared" si="76"/>
        <v>774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0306</v>
      </c>
      <c r="N720" s="69">
        <f t="shared" si="76"/>
        <v>774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0306</v>
      </c>
      <c r="N721" s="69">
        <f t="shared" si="76"/>
        <v>774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0306</v>
      </c>
      <c r="N722" s="69">
        <f t="shared" si="76"/>
        <v>774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0306</v>
      </c>
      <c r="N723" s="69">
        <f t="shared" si="76"/>
        <v>774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0306</v>
      </c>
      <c r="N724" s="69">
        <f t="shared" si="76"/>
        <v>774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0306</v>
      </c>
      <c r="N725" s="69">
        <f t="shared" si="76"/>
        <v>774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0306</v>
      </c>
      <c r="N726" s="69">
        <f t="shared" si="76"/>
        <v>774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0306</v>
      </c>
      <c r="N727" s="69">
        <f t="shared" si="76"/>
        <v>774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0306</v>
      </c>
      <c r="N728" s="69">
        <f t="shared" si="76"/>
        <v>774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0306</v>
      </c>
      <c r="N729" s="69">
        <f t="shared" si="76"/>
        <v>774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0306</v>
      </c>
      <c r="N730" s="69">
        <f t="shared" si="76"/>
        <v>774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0306</v>
      </c>
      <c r="N731" s="69">
        <f t="shared" si="76"/>
        <v>774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0306</v>
      </c>
      <c r="N732" s="69">
        <f t="shared" si="76"/>
        <v>774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0306</v>
      </c>
      <c r="N733" s="69">
        <f t="shared" si="76"/>
        <v>774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0306</v>
      </c>
      <c r="N734" s="69">
        <f t="shared" si="76"/>
        <v>774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0306</v>
      </c>
      <c r="N735" s="69">
        <f t="shared" si="76"/>
        <v>774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0306</v>
      </c>
      <c r="N736" s="69">
        <f t="shared" si="76"/>
        <v>774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0306</v>
      </c>
      <c r="N737" s="69">
        <f t="shared" si="76"/>
        <v>774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0306</v>
      </c>
      <c r="N738" s="69">
        <f t="shared" si="76"/>
        <v>774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0306</v>
      </c>
      <c r="N739" s="69">
        <f t="shared" si="76"/>
        <v>774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0306</v>
      </c>
      <c r="N740" s="69">
        <f t="shared" si="76"/>
        <v>774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0306</v>
      </c>
      <c r="N741" s="69">
        <f t="shared" si="76"/>
        <v>774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0306</v>
      </c>
      <c r="N742" s="69">
        <f t="shared" si="76"/>
        <v>774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0306</v>
      </c>
      <c r="N743" s="69">
        <f t="shared" si="76"/>
        <v>774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0306</v>
      </c>
      <c r="N744" s="69">
        <f t="shared" si="76"/>
        <v>774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0306</v>
      </c>
      <c r="N745" s="69">
        <f t="shared" si="76"/>
        <v>774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0306</v>
      </c>
      <c r="N746" s="69">
        <f t="shared" si="76"/>
        <v>774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0306</v>
      </c>
      <c r="N747" s="69">
        <f t="shared" si="76"/>
        <v>774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0306</v>
      </c>
      <c r="N748" s="69">
        <f t="shared" si="76"/>
        <v>774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0306</v>
      </c>
      <c r="N749" s="69">
        <f t="shared" si="76"/>
        <v>774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0306</v>
      </c>
      <c r="N750" s="69">
        <f t="shared" si="76"/>
        <v>774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0306</v>
      </c>
      <c r="N751" s="69">
        <f t="shared" si="76"/>
        <v>774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0306</v>
      </c>
      <c r="N752" s="69">
        <f t="shared" si="76"/>
        <v>774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0306</v>
      </c>
      <c r="N753" s="69">
        <f t="shared" si="76"/>
        <v>774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0306</v>
      </c>
      <c r="N754" s="69">
        <f t="shared" si="76"/>
        <v>774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0306</v>
      </c>
      <c r="N755" s="69">
        <f t="shared" si="76"/>
        <v>774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0306</v>
      </c>
      <c r="N756" s="69">
        <f t="shared" si="76"/>
        <v>774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0306</v>
      </c>
      <c r="N757" s="69">
        <f t="shared" si="76"/>
        <v>774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0306</v>
      </c>
      <c r="N758" s="69">
        <f t="shared" si="76"/>
        <v>774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0306</v>
      </c>
      <c r="N759" s="69">
        <f t="shared" si="76"/>
        <v>774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0306</v>
      </c>
      <c r="N760" s="69">
        <f t="shared" si="76"/>
        <v>774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0306</v>
      </c>
      <c r="N761" s="69">
        <f t="shared" si="76"/>
        <v>774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0306</v>
      </c>
      <c r="N762" s="69">
        <f t="shared" si="76"/>
        <v>774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0306</v>
      </c>
      <c r="N763" s="69">
        <f t="shared" si="76"/>
        <v>774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0306</v>
      </c>
      <c r="N764" s="69">
        <f t="shared" si="76"/>
        <v>774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0306</v>
      </c>
      <c r="N765" s="69">
        <f t="shared" si="76"/>
        <v>774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0306</v>
      </c>
      <c r="N766" s="69">
        <f t="shared" si="76"/>
        <v>774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0306</v>
      </c>
      <c r="N767" s="69">
        <f t="shared" si="76"/>
        <v>774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0306</v>
      </c>
      <c r="N768" s="69">
        <f t="shared" si="76"/>
        <v>774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0306</v>
      </c>
      <c r="N769" s="69">
        <f t="shared" si="76"/>
        <v>774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0306</v>
      </c>
      <c r="N770" s="69">
        <f t="shared" si="76"/>
        <v>774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0306</v>
      </c>
      <c r="N771" s="69">
        <f t="shared" si="76"/>
        <v>774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0306</v>
      </c>
      <c r="N772" s="69">
        <f t="shared" si="76"/>
        <v>774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0306</v>
      </c>
      <c r="N773" s="69">
        <f t="shared" si="76"/>
        <v>774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0306</v>
      </c>
      <c r="N774" s="69">
        <f t="shared" si="76"/>
        <v>774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0306</v>
      </c>
      <c r="N775" s="69">
        <f t="shared" si="76"/>
        <v>774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0306</v>
      </c>
      <c r="N776" s="69">
        <f t="shared" si="76"/>
        <v>774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0306</v>
      </c>
      <c r="N777" s="69">
        <f t="shared" si="76"/>
        <v>774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0306</v>
      </c>
      <c r="N778" s="69">
        <f t="shared" ref="N778:N841" si="80">N777+S777</f>
        <v>774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0306</v>
      </c>
      <c r="N779" s="69">
        <f t="shared" si="80"/>
        <v>774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0306</v>
      </c>
      <c r="N780" s="69">
        <f t="shared" si="80"/>
        <v>774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0306</v>
      </c>
      <c r="N781" s="69">
        <f t="shared" si="80"/>
        <v>774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0306</v>
      </c>
      <c r="N782" s="69">
        <f t="shared" si="80"/>
        <v>774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0306</v>
      </c>
      <c r="N783" s="69">
        <f t="shared" si="80"/>
        <v>774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0306</v>
      </c>
      <c r="N784" s="69">
        <f t="shared" si="80"/>
        <v>774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0306</v>
      </c>
      <c r="N785" s="69">
        <f t="shared" si="80"/>
        <v>774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0306</v>
      </c>
      <c r="N786" s="69">
        <f t="shared" si="80"/>
        <v>774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0306</v>
      </c>
      <c r="N787" s="69">
        <f t="shared" si="80"/>
        <v>774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0306</v>
      </c>
      <c r="N788" s="69">
        <f t="shared" si="80"/>
        <v>774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0306</v>
      </c>
      <c r="N789" s="69">
        <f t="shared" si="80"/>
        <v>774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0306</v>
      </c>
      <c r="N790" s="69">
        <f t="shared" si="80"/>
        <v>774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0306</v>
      </c>
      <c r="N791" s="69">
        <f t="shared" si="80"/>
        <v>774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0306</v>
      </c>
      <c r="N792" s="69">
        <f t="shared" si="80"/>
        <v>774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0306</v>
      </c>
      <c r="N793" s="69">
        <f t="shared" si="80"/>
        <v>774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0306</v>
      </c>
      <c r="N794" s="69">
        <f t="shared" si="80"/>
        <v>774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0306</v>
      </c>
      <c r="N795" s="69">
        <f t="shared" si="80"/>
        <v>774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0306</v>
      </c>
      <c r="N796" s="69">
        <f t="shared" si="80"/>
        <v>774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0306</v>
      </c>
      <c r="N797" s="69">
        <f t="shared" si="80"/>
        <v>774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0306</v>
      </c>
      <c r="N798" s="69">
        <f t="shared" si="80"/>
        <v>774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0306</v>
      </c>
      <c r="N799" s="69">
        <f t="shared" si="80"/>
        <v>774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0306</v>
      </c>
      <c r="N800" s="69">
        <f t="shared" si="80"/>
        <v>774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0306</v>
      </c>
      <c r="N801" s="69">
        <f t="shared" si="80"/>
        <v>774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0306</v>
      </c>
      <c r="N802" s="69">
        <f t="shared" si="80"/>
        <v>774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0306</v>
      </c>
      <c r="N803" s="69">
        <f t="shared" si="80"/>
        <v>774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0306</v>
      </c>
      <c r="N804" s="69">
        <f t="shared" si="80"/>
        <v>774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0306</v>
      </c>
      <c r="N805" s="69">
        <f t="shared" si="80"/>
        <v>774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0306</v>
      </c>
      <c r="N806" s="69">
        <f t="shared" si="80"/>
        <v>774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0306</v>
      </c>
      <c r="N807" s="69">
        <f t="shared" si="80"/>
        <v>774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0306</v>
      </c>
      <c r="N808" s="69">
        <f t="shared" si="80"/>
        <v>774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0306</v>
      </c>
      <c r="N809" s="69">
        <f t="shared" si="80"/>
        <v>774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0306</v>
      </c>
      <c r="N810" s="69">
        <f t="shared" si="80"/>
        <v>774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0306</v>
      </c>
      <c r="N811" s="69">
        <f t="shared" si="80"/>
        <v>774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0306</v>
      </c>
      <c r="N812" s="69">
        <f t="shared" si="80"/>
        <v>774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0306</v>
      </c>
      <c r="N813" s="69">
        <f t="shared" si="80"/>
        <v>774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0306</v>
      </c>
      <c r="N814" s="69">
        <f t="shared" si="80"/>
        <v>774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0306</v>
      </c>
      <c r="N815" s="69">
        <f t="shared" si="80"/>
        <v>774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0306</v>
      </c>
      <c r="N816" s="69">
        <f t="shared" si="80"/>
        <v>774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0306</v>
      </c>
      <c r="N817" s="69">
        <f t="shared" si="80"/>
        <v>774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0306</v>
      </c>
      <c r="N818" s="69">
        <f t="shared" si="80"/>
        <v>774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0306</v>
      </c>
      <c r="N819" s="69">
        <f t="shared" si="80"/>
        <v>774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0306</v>
      </c>
      <c r="N820" s="69">
        <f t="shared" si="80"/>
        <v>774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0306</v>
      </c>
      <c r="N821" s="69">
        <f t="shared" si="80"/>
        <v>774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0306</v>
      </c>
      <c r="N822" s="69">
        <f t="shared" si="80"/>
        <v>774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0306</v>
      </c>
      <c r="N823" s="69">
        <f t="shared" si="80"/>
        <v>774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0306</v>
      </c>
      <c r="N824" s="69">
        <f t="shared" si="80"/>
        <v>774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0306</v>
      </c>
      <c r="N825" s="69">
        <f t="shared" si="80"/>
        <v>774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0306</v>
      </c>
      <c r="N826" s="69">
        <f t="shared" si="80"/>
        <v>774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0306</v>
      </c>
      <c r="N827" s="69">
        <f t="shared" si="80"/>
        <v>774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0306</v>
      </c>
      <c r="N828" s="69">
        <f t="shared" si="80"/>
        <v>774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0306</v>
      </c>
      <c r="N829" s="69">
        <f t="shared" si="80"/>
        <v>774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0306</v>
      </c>
      <c r="N830" s="69">
        <f t="shared" si="80"/>
        <v>774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0306</v>
      </c>
      <c r="N831" s="69">
        <f t="shared" si="80"/>
        <v>774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0306</v>
      </c>
      <c r="N832" s="69">
        <f t="shared" si="80"/>
        <v>774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0306</v>
      </c>
      <c r="N833" s="69">
        <f t="shared" si="80"/>
        <v>774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0306</v>
      </c>
      <c r="N834" s="69">
        <f t="shared" si="80"/>
        <v>774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0306</v>
      </c>
      <c r="N835" s="69">
        <f t="shared" si="80"/>
        <v>774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0306</v>
      </c>
      <c r="N836" s="69">
        <f t="shared" si="80"/>
        <v>774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0306</v>
      </c>
      <c r="N837" s="69">
        <f t="shared" si="80"/>
        <v>774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0306</v>
      </c>
      <c r="N838" s="69">
        <f t="shared" si="80"/>
        <v>774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0306</v>
      </c>
      <c r="N839" s="69">
        <f t="shared" si="80"/>
        <v>774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0306</v>
      </c>
      <c r="N840" s="69">
        <f t="shared" si="80"/>
        <v>774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0306</v>
      </c>
      <c r="N841" s="69">
        <f t="shared" si="80"/>
        <v>774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0306</v>
      </c>
      <c r="N842" s="69">
        <f t="shared" ref="N842:N905" si="84">N841+S841</f>
        <v>774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0306</v>
      </c>
      <c r="N843" s="69">
        <f t="shared" si="84"/>
        <v>774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0306</v>
      </c>
      <c r="N844" s="69">
        <f t="shared" si="84"/>
        <v>774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0306</v>
      </c>
      <c r="N845" s="69">
        <f t="shared" si="84"/>
        <v>774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0306</v>
      </c>
      <c r="N846" s="69">
        <f t="shared" si="84"/>
        <v>774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0306</v>
      </c>
      <c r="N847" s="69">
        <f t="shared" si="84"/>
        <v>774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0306</v>
      </c>
      <c r="N848" s="69">
        <f t="shared" si="84"/>
        <v>774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0306</v>
      </c>
      <c r="N849" s="69">
        <f t="shared" si="84"/>
        <v>774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0306</v>
      </c>
      <c r="N850" s="69">
        <f t="shared" si="84"/>
        <v>774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0306</v>
      </c>
      <c r="N851" s="69">
        <f t="shared" si="84"/>
        <v>774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0306</v>
      </c>
      <c r="N852" s="69">
        <f t="shared" si="84"/>
        <v>774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0306</v>
      </c>
      <c r="N853" s="69">
        <f t="shared" si="84"/>
        <v>774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0306</v>
      </c>
      <c r="N854" s="69">
        <f t="shared" si="84"/>
        <v>774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0306</v>
      </c>
      <c r="N855" s="69">
        <f t="shared" si="84"/>
        <v>774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0306</v>
      </c>
      <c r="N856" s="69">
        <f t="shared" si="84"/>
        <v>774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0306</v>
      </c>
      <c r="N857" s="69">
        <f t="shared" si="84"/>
        <v>774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0306</v>
      </c>
      <c r="N858" s="69">
        <f t="shared" si="84"/>
        <v>774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0306</v>
      </c>
      <c r="N859" s="69">
        <f t="shared" si="84"/>
        <v>774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0306</v>
      </c>
      <c r="N860" s="69">
        <f t="shared" si="84"/>
        <v>774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0306</v>
      </c>
      <c r="N861" s="69">
        <f t="shared" si="84"/>
        <v>774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0306</v>
      </c>
      <c r="N862" s="69">
        <f t="shared" si="84"/>
        <v>774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0306</v>
      </c>
      <c r="N863" s="69">
        <f t="shared" si="84"/>
        <v>774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0306</v>
      </c>
      <c r="N864" s="69">
        <f t="shared" si="84"/>
        <v>774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0306</v>
      </c>
      <c r="N865" s="69">
        <f t="shared" si="84"/>
        <v>774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0306</v>
      </c>
      <c r="N866" s="69">
        <f t="shared" si="84"/>
        <v>774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0306</v>
      </c>
      <c r="N867" s="69">
        <f t="shared" si="84"/>
        <v>774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0306</v>
      </c>
      <c r="N868" s="69">
        <f t="shared" si="84"/>
        <v>774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0306</v>
      </c>
      <c r="N869" s="69">
        <f t="shared" si="84"/>
        <v>774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0306</v>
      </c>
      <c r="N870" s="69">
        <f t="shared" si="84"/>
        <v>774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0306</v>
      </c>
      <c r="N871" s="69">
        <f t="shared" si="84"/>
        <v>774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0306</v>
      </c>
      <c r="N872" s="69">
        <f t="shared" si="84"/>
        <v>774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0306</v>
      </c>
      <c r="N873" s="69">
        <f t="shared" si="84"/>
        <v>774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0306</v>
      </c>
      <c r="N874" s="69">
        <f t="shared" si="84"/>
        <v>774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0306</v>
      </c>
      <c r="N875" s="69">
        <f t="shared" si="84"/>
        <v>774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0306</v>
      </c>
      <c r="N876" s="69">
        <f t="shared" si="84"/>
        <v>774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0306</v>
      </c>
      <c r="N877" s="69">
        <f t="shared" si="84"/>
        <v>774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0306</v>
      </c>
      <c r="N878" s="69">
        <f t="shared" si="84"/>
        <v>774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0306</v>
      </c>
      <c r="N879" s="69">
        <f t="shared" si="84"/>
        <v>774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0306</v>
      </c>
      <c r="N880" s="69">
        <f t="shared" si="84"/>
        <v>774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0306</v>
      </c>
      <c r="N881" s="69">
        <f t="shared" si="84"/>
        <v>774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0306</v>
      </c>
      <c r="N882" s="69">
        <f t="shared" si="84"/>
        <v>774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0306</v>
      </c>
      <c r="N883" s="69">
        <f t="shared" si="84"/>
        <v>774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0306</v>
      </c>
      <c r="N884" s="69">
        <f t="shared" si="84"/>
        <v>774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0306</v>
      </c>
      <c r="N885" s="69">
        <f t="shared" si="84"/>
        <v>774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0306</v>
      </c>
      <c r="N886" s="69">
        <f t="shared" si="84"/>
        <v>774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0306</v>
      </c>
      <c r="N887" s="69">
        <f t="shared" si="84"/>
        <v>774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0306</v>
      </c>
      <c r="N888" s="69">
        <f t="shared" si="84"/>
        <v>774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0306</v>
      </c>
      <c r="N889" s="69">
        <f t="shared" si="84"/>
        <v>774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0306</v>
      </c>
      <c r="N890" s="69">
        <f t="shared" si="84"/>
        <v>774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0306</v>
      </c>
      <c r="N891" s="69">
        <f t="shared" si="84"/>
        <v>774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0306</v>
      </c>
      <c r="N892" s="69">
        <f t="shared" si="84"/>
        <v>774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0306</v>
      </c>
      <c r="N893" s="69">
        <f t="shared" si="84"/>
        <v>774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0306</v>
      </c>
      <c r="N894" s="69">
        <f t="shared" si="84"/>
        <v>774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0306</v>
      </c>
      <c r="N895" s="69">
        <f t="shared" si="84"/>
        <v>774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0306</v>
      </c>
      <c r="N896" s="69">
        <f t="shared" si="84"/>
        <v>774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0306</v>
      </c>
      <c r="N897" s="69">
        <f t="shared" si="84"/>
        <v>774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0306</v>
      </c>
      <c r="N898" s="69">
        <f t="shared" si="84"/>
        <v>774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0306</v>
      </c>
      <c r="N899" s="69">
        <f t="shared" si="84"/>
        <v>774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0306</v>
      </c>
      <c r="N900" s="69">
        <f t="shared" si="84"/>
        <v>774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0306</v>
      </c>
      <c r="N901" s="69">
        <f t="shared" si="84"/>
        <v>774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0306</v>
      </c>
      <c r="N902" s="69">
        <f t="shared" si="84"/>
        <v>774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0306</v>
      </c>
      <c r="N903" s="69">
        <f t="shared" si="84"/>
        <v>774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0306</v>
      </c>
      <c r="N904" s="69">
        <f t="shared" si="84"/>
        <v>774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0306</v>
      </c>
      <c r="N905" s="69">
        <f t="shared" si="84"/>
        <v>774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0306</v>
      </c>
      <c r="N906" s="69">
        <f t="shared" ref="N906:N969" si="88">N905+S905</f>
        <v>774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0306</v>
      </c>
      <c r="N907" s="69">
        <f t="shared" si="88"/>
        <v>774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0306</v>
      </c>
      <c r="N908" s="69">
        <f t="shared" si="88"/>
        <v>774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0306</v>
      </c>
      <c r="N909" s="69">
        <f t="shared" si="88"/>
        <v>774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0306</v>
      </c>
      <c r="N910" s="69">
        <f t="shared" si="88"/>
        <v>774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0306</v>
      </c>
      <c r="N911" s="69">
        <f t="shared" si="88"/>
        <v>774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0306</v>
      </c>
      <c r="N912" s="69">
        <f t="shared" si="88"/>
        <v>774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0306</v>
      </c>
      <c r="N913" s="69">
        <f t="shared" si="88"/>
        <v>774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0306</v>
      </c>
      <c r="N914" s="69">
        <f t="shared" si="88"/>
        <v>774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0306</v>
      </c>
      <c r="N915" s="69">
        <f t="shared" si="88"/>
        <v>774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0306</v>
      </c>
      <c r="N916" s="69">
        <f t="shared" si="88"/>
        <v>774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0306</v>
      </c>
      <c r="N917" s="69">
        <f t="shared" si="88"/>
        <v>774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0306</v>
      </c>
      <c r="N918" s="69">
        <f t="shared" si="88"/>
        <v>774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0306</v>
      </c>
      <c r="N919" s="69">
        <f t="shared" si="88"/>
        <v>774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0306</v>
      </c>
      <c r="N920" s="69">
        <f t="shared" si="88"/>
        <v>774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0306</v>
      </c>
      <c r="N921" s="69">
        <f t="shared" si="88"/>
        <v>774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0306</v>
      </c>
      <c r="N922" s="69">
        <f t="shared" si="88"/>
        <v>774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0306</v>
      </c>
      <c r="N923" s="69">
        <f t="shared" si="88"/>
        <v>774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0306</v>
      </c>
      <c r="N924" s="69">
        <f t="shared" si="88"/>
        <v>774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0306</v>
      </c>
      <c r="N925" s="69">
        <f t="shared" si="88"/>
        <v>774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0306</v>
      </c>
      <c r="N926" s="69">
        <f t="shared" si="88"/>
        <v>774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0306</v>
      </c>
      <c r="N927" s="69">
        <f t="shared" si="88"/>
        <v>774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0306</v>
      </c>
      <c r="N928" s="69">
        <f t="shared" si="88"/>
        <v>774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0306</v>
      </c>
      <c r="N929" s="69">
        <f t="shared" si="88"/>
        <v>774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0306</v>
      </c>
      <c r="N930" s="69">
        <f t="shared" si="88"/>
        <v>774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0306</v>
      </c>
      <c r="N931" s="69">
        <f t="shared" si="88"/>
        <v>774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0306</v>
      </c>
      <c r="N932" s="69">
        <f t="shared" si="88"/>
        <v>774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0306</v>
      </c>
      <c r="N933" s="69">
        <f t="shared" si="88"/>
        <v>774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0306</v>
      </c>
      <c r="N934" s="69">
        <f t="shared" si="88"/>
        <v>774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0306</v>
      </c>
      <c r="N935" s="69">
        <f t="shared" si="88"/>
        <v>774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0306</v>
      </c>
      <c r="N936" s="69">
        <f t="shared" si="88"/>
        <v>774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0306</v>
      </c>
      <c r="N937" s="69">
        <f t="shared" si="88"/>
        <v>774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0306</v>
      </c>
      <c r="N938" s="69">
        <f t="shared" si="88"/>
        <v>774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0306</v>
      </c>
      <c r="N939" s="69">
        <f t="shared" si="88"/>
        <v>774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0306</v>
      </c>
      <c r="N940" s="69">
        <f t="shared" si="88"/>
        <v>774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0306</v>
      </c>
      <c r="N941" s="69">
        <f t="shared" si="88"/>
        <v>774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0306</v>
      </c>
      <c r="N942" s="69">
        <f t="shared" si="88"/>
        <v>774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0306</v>
      </c>
      <c r="N943" s="69">
        <f t="shared" si="88"/>
        <v>774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0306</v>
      </c>
      <c r="N944" s="69">
        <f t="shared" si="88"/>
        <v>774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0306</v>
      </c>
      <c r="N945" s="69">
        <f t="shared" si="88"/>
        <v>774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0306</v>
      </c>
      <c r="N946" s="69">
        <f t="shared" si="88"/>
        <v>774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0306</v>
      </c>
      <c r="N947" s="69">
        <f t="shared" si="88"/>
        <v>774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0306</v>
      </c>
      <c r="N948" s="69">
        <f t="shared" si="88"/>
        <v>774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0306</v>
      </c>
      <c r="N949" s="69">
        <f t="shared" si="88"/>
        <v>774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0306</v>
      </c>
      <c r="N950" s="69">
        <f t="shared" si="88"/>
        <v>774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0306</v>
      </c>
      <c r="N951" s="69">
        <f t="shared" si="88"/>
        <v>774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0306</v>
      </c>
      <c r="N952" s="69">
        <f t="shared" si="88"/>
        <v>774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0306</v>
      </c>
      <c r="N953" s="69">
        <f t="shared" si="88"/>
        <v>774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0306</v>
      </c>
      <c r="N954" s="69">
        <f t="shared" si="88"/>
        <v>774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0306</v>
      </c>
      <c r="N955" s="69">
        <f t="shared" si="88"/>
        <v>774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0306</v>
      </c>
      <c r="N956" s="69">
        <f t="shared" si="88"/>
        <v>774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0306</v>
      </c>
      <c r="N957" s="69">
        <f t="shared" si="88"/>
        <v>774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0306</v>
      </c>
      <c r="N958" s="69">
        <f t="shared" si="88"/>
        <v>774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0306</v>
      </c>
      <c r="N959" s="69">
        <f t="shared" si="88"/>
        <v>774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0306</v>
      </c>
      <c r="N960" s="69">
        <f t="shared" si="88"/>
        <v>774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0306</v>
      </c>
      <c r="N961" s="69">
        <f t="shared" si="88"/>
        <v>774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0306</v>
      </c>
      <c r="N962" s="69">
        <f t="shared" si="88"/>
        <v>774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0306</v>
      </c>
      <c r="N963" s="69">
        <f t="shared" si="88"/>
        <v>774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0306</v>
      </c>
      <c r="N964" s="69">
        <f t="shared" si="88"/>
        <v>774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0306</v>
      </c>
      <c r="N965" s="69">
        <f t="shared" si="88"/>
        <v>774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0306</v>
      </c>
      <c r="N966" s="69">
        <f t="shared" si="88"/>
        <v>774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0306</v>
      </c>
      <c r="N967" s="69">
        <f t="shared" si="88"/>
        <v>774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0306</v>
      </c>
      <c r="N968" s="69">
        <f t="shared" si="88"/>
        <v>774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0306</v>
      </c>
      <c r="N969" s="69">
        <f t="shared" si="88"/>
        <v>774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0306</v>
      </c>
      <c r="N970" s="69">
        <f t="shared" ref="N970:N1033" si="92">N969+S969</f>
        <v>774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0306</v>
      </c>
      <c r="N971" s="69">
        <f t="shared" si="92"/>
        <v>774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0306</v>
      </c>
      <c r="N972" s="69">
        <f t="shared" si="92"/>
        <v>774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0306</v>
      </c>
      <c r="N973" s="69">
        <f t="shared" si="92"/>
        <v>774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0306</v>
      </c>
      <c r="N974" s="69">
        <f t="shared" si="92"/>
        <v>774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0306</v>
      </c>
      <c r="N975" s="69">
        <f t="shared" si="92"/>
        <v>774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0306</v>
      </c>
      <c r="N976" s="69">
        <f t="shared" si="92"/>
        <v>774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0306</v>
      </c>
      <c r="N977" s="69">
        <f t="shared" si="92"/>
        <v>774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0306</v>
      </c>
      <c r="N978" s="69">
        <f t="shared" si="92"/>
        <v>774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0306</v>
      </c>
      <c r="N979" s="69">
        <f t="shared" si="92"/>
        <v>774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0306</v>
      </c>
      <c r="N980" s="69">
        <f t="shared" si="92"/>
        <v>774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0306</v>
      </c>
      <c r="N981" s="69">
        <f t="shared" si="92"/>
        <v>774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0306</v>
      </c>
      <c r="N982" s="69">
        <f t="shared" si="92"/>
        <v>774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0306</v>
      </c>
      <c r="N983" s="69">
        <f t="shared" si="92"/>
        <v>774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0306</v>
      </c>
      <c r="N984" s="69">
        <f t="shared" si="92"/>
        <v>774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0306</v>
      </c>
      <c r="N985" s="69">
        <f t="shared" si="92"/>
        <v>774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0306</v>
      </c>
      <c r="N986" s="69">
        <f t="shared" si="92"/>
        <v>774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0306</v>
      </c>
      <c r="N987" s="69">
        <f t="shared" si="92"/>
        <v>774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0306</v>
      </c>
      <c r="N988" s="69">
        <f t="shared" si="92"/>
        <v>774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0306</v>
      </c>
      <c r="N989" s="69">
        <f t="shared" si="92"/>
        <v>774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0306</v>
      </c>
      <c r="N990" s="69">
        <f t="shared" si="92"/>
        <v>774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0306</v>
      </c>
      <c r="N991" s="69">
        <f t="shared" si="92"/>
        <v>774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0306</v>
      </c>
      <c r="N992" s="69">
        <f t="shared" si="92"/>
        <v>774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0306</v>
      </c>
      <c r="N993" s="69">
        <f t="shared" si="92"/>
        <v>774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0306</v>
      </c>
      <c r="N994" s="69">
        <f t="shared" si="92"/>
        <v>774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0306</v>
      </c>
      <c r="N995" s="69">
        <f t="shared" si="92"/>
        <v>774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0306</v>
      </c>
      <c r="N996" s="69">
        <f t="shared" si="92"/>
        <v>774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0306</v>
      </c>
      <c r="N997" s="69">
        <f t="shared" si="92"/>
        <v>774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0306</v>
      </c>
      <c r="N998" s="69">
        <f t="shared" si="92"/>
        <v>774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0306</v>
      </c>
      <c r="N999" s="69">
        <f t="shared" si="92"/>
        <v>774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0306</v>
      </c>
      <c r="N1000" s="69">
        <f t="shared" si="92"/>
        <v>774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0306</v>
      </c>
      <c r="N1001" s="69">
        <f t="shared" si="92"/>
        <v>774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0306</v>
      </c>
      <c r="N1002" s="69">
        <f t="shared" si="92"/>
        <v>774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0306</v>
      </c>
      <c r="N1003" s="69">
        <f t="shared" si="92"/>
        <v>774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0306</v>
      </c>
      <c r="N1004" s="69">
        <f t="shared" si="92"/>
        <v>774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0306</v>
      </c>
      <c r="N1005" s="69">
        <f t="shared" si="92"/>
        <v>774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0306</v>
      </c>
      <c r="N1006" s="69">
        <f t="shared" si="92"/>
        <v>774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0306</v>
      </c>
      <c r="N1007" s="69">
        <f t="shared" si="92"/>
        <v>774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0306</v>
      </c>
      <c r="N1008" s="69">
        <f t="shared" si="92"/>
        <v>774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0306</v>
      </c>
      <c r="N1009" s="69">
        <f t="shared" si="92"/>
        <v>774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0306</v>
      </c>
      <c r="N1010" s="69">
        <f t="shared" si="92"/>
        <v>774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0306</v>
      </c>
      <c r="N1011" s="69">
        <f t="shared" si="92"/>
        <v>774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0306</v>
      </c>
      <c r="N1012" s="69">
        <f t="shared" si="92"/>
        <v>774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0306</v>
      </c>
      <c r="N1013" s="69">
        <f t="shared" si="92"/>
        <v>774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0306</v>
      </c>
      <c r="N1014" s="69">
        <f t="shared" si="92"/>
        <v>774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0306</v>
      </c>
      <c r="N1015" s="69">
        <f t="shared" si="92"/>
        <v>774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0306</v>
      </c>
      <c r="N1016" s="69">
        <f t="shared" si="92"/>
        <v>774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0306</v>
      </c>
      <c r="N1017" s="69">
        <f t="shared" si="92"/>
        <v>774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0306</v>
      </c>
      <c r="N1018" s="69">
        <f t="shared" si="92"/>
        <v>774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0306</v>
      </c>
      <c r="N1019" s="69">
        <f t="shared" si="92"/>
        <v>774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0306</v>
      </c>
      <c r="N1020" s="69">
        <f t="shared" si="92"/>
        <v>774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0306</v>
      </c>
      <c r="N1021" s="69">
        <f t="shared" si="92"/>
        <v>774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0306</v>
      </c>
      <c r="N1022" s="69">
        <f t="shared" si="92"/>
        <v>774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0306</v>
      </c>
      <c r="N1023" s="69">
        <f t="shared" si="92"/>
        <v>774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0306</v>
      </c>
      <c r="N1024" s="69">
        <f t="shared" si="92"/>
        <v>774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0306</v>
      </c>
      <c r="N1025" s="69">
        <f t="shared" si="92"/>
        <v>774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0306</v>
      </c>
      <c r="N1026" s="69">
        <f t="shared" si="92"/>
        <v>774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0306</v>
      </c>
      <c r="N1027" s="69">
        <f t="shared" si="92"/>
        <v>774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0306</v>
      </c>
      <c r="N1028" s="69">
        <f t="shared" si="92"/>
        <v>774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0306</v>
      </c>
      <c r="N1029" s="69">
        <f t="shared" si="92"/>
        <v>774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0306</v>
      </c>
      <c r="N1030" s="69">
        <f t="shared" si="92"/>
        <v>774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0306</v>
      </c>
      <c r="N1031" s="69">
        <f t="shared" si="92"/>
        <v>774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0306</v>
      </c>
      <c r="N1032" s="69">
        <f t="shared" si="92"/>
        <v>774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0306</v>
      </c>
      <c r="N1033" s="69">
        <f t="shared" si="92"/>
        <v>774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0306</v>
      </c>
      <c r="N1034" s="69">
        <f t="shared" ref="N1034:N1070" si="95">N1033+S1033</f>
        <v>774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0306</v>
      </c>
      <c r="N1035" s="69">
        <f t="shared" si="95"/>
        <v>774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0306</v>
      </c>
      <c r="N1036" s="69">
        <f t="shared" si="95"/>
        <v>774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0306</v>
      </c>
      <c r="N1037" s="69">
        <f t="shared" si="95"/>
        <v>774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0306</v>
      </c>
      <c r="N1038" s="69">
        <f t="shared" si="95"/>
        <v>774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0306</v>
      </c>
      <c r="N1039" s="69">
        <f t="shared" si="95"/>
        <v>774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0306</v>
      </c>
      <c r="N1040" s="69">
        <f t="shared" si="95"/>
        <v>774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0306</v>
      </c>
      <c r="N1041" s="69">
        <f t="shared" si="95"/>
        <v>774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0306</v>
      </c>
      <c r="N1042" s="69">
        <f t="shared" si="95"/>
        <v>774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0306</v>
      </c>
      <c r="N1043" s="69">
        <f t="shared" si="95"/>
        <v>774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0306</v>
      </c>
      <c r="N1044" s="69">
        <f t="shared" si="95"/>
        <v>774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0306</v>
      </c>
      <c r="N1045" s="69">
        <f t="shared" si="95"/>
        <v>774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0306</v>
      </c>
      <c r="N1046" s="69">
        <f t="shared" si="95"/>
        <v>774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0306</v>
      </c>
      <c r="N1047" s="69">
        <f t="shared" si="95"/>
        <v>774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0306</v>
      </c>
      <c r="N1048" s="69">
        <f t="shared" si="95"/>
        <v>774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0306</v>
      </c>
      <c r="N1049" s="69">
        <f t="shared" si="95"/>
        <v>774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0306</v>
      </c>
      <c r="N1050" s="69">
        <f t="shared" si="95"/>
        <v>774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0306</v>
      </c>
      <c r="N1051" s="69">
        <f t="shared" si="95"/>
        <v>774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0306</v>
      </c>
      <c r="N1052" s="69">
        <f t="shared" si="95"/>
        <v>774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0306</v>
      </c>
      <c r="N1053" s="69">
        <f t="shared" si="95"/>
        <v>774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0306</v>
      </c>
      <c r="N1054" s="69">
        <f t="shared" si="95"/>
        <v>774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0306</v>
      </c>
      <c r="N1055" s="69">
        <f t="shared" si="95"/>
        <v>774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0306</v>
      </c>
      <c r="N1056" s="69">
        <f t="shared" si="95"/>
        <v>774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0306</v>
      </c>
      <c r="N1057" s="69">
        <f t="shared" si="95"/>
        <v>774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0306</v>
      </c>
      <c r="N1058" s="69">
        <f t="shared" si="95"/>
        <v>774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0306</v>
      </c>
      <c r="N1059" s="69">
        <f t="shared" si="95"/>
        <v>774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0306</v>
      </c>
      <c r="N1060" s="69">
        <f t="shared" si="95"/>
        <v>774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0306</v>
      </c>
      <c r="N1061" s="69">
        <f t="shared" si="95"/>
        <v>774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0306</v>
      </c>
      <c r="N1062" s="69">
        <f t="shared" si="95"/>
        <v>774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0306</v>
      </c>
      <c r="N1063" s="69">
        <f t="shared" si="95"/>
        <v>774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0306</v>
      </c>
      <c r="N1064" s="69">
        <f t="shared" si="95"/>
        <v>774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0306</v>
      </c>
      <c r="N1065" s="69">
        <f t="shared" si="95"/>
        <v>774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0306</v>
      </c>
      <c r="N1066" s="69">
        <f t="shared" si="95"/>
        <v>774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0306</v>
      </c>
      <c r="N1067" s="69">
        <f t="shared" si="95"/>
        <v>774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0306</v>
      </c>
      <c r="N1068" s="69">
        <f t="shared" si="95"/>
        <v>774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0306</v>
      </c>
      <c r="N1069" s="69">
        <f t="shared" si="95"/>
        <v>774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0306</v>
      </c>
      <c r="N1070" s="133">
        <f t="shared" si="95"/>
        <v>774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7" priority="50" operator="equal">
      <formula>0</formula>
    </cfRule>
    <cfRule type="cellIs" dxfId="626" priority="51" operator="greaterThan">
      <formula>0</formula>
    </cfRule>
  </conditionalFormatting>
  <conditionalFormatting sqref="F1:W1">
    <cfRule type="containsText" dxfId="625" priority="41" operator="containsText" text="Halted">
      <formula>NOT(ISERROR(SEARCH("Halted",F1)))</formula>
    </cfRule>
    <cfRule type="containsText" dxfId="624" priority="48" operator="containsText" text="Error">
      <formula>NOT(ISERROR(SEARCH("Error",F1)))</formula>
    </cfRule>
    <cfRule type="expression" dxfId="623" priority="49">
      <formula>$F$1&lt;&gt;""</formula>
    </cfRule>
  </conditionalFormatting>
  <conditionalFormatting sqref="P41:R1070">
    <cfRule type="expression" dxfId="622" priority="73">
      <formula>$N41=$E$13</formula>
    </cfRule>
  </conditionalFormatting>
  <conditionalFormatting sqref="M7:T7 M8:N1070 M41:R1070">
    <cfRule type="containsText" dxfId="621" priority="29" operator="containsText" text=" ">
      <formula>NOT(ISERROR(SEARCH(" ",M7)))</formula>
    </cfRule>
  </conditionalFormatting>
  <conditionalFormatting sqref="AL5:AM5">
    <cfRule type="cellIs" dxfId="620" priority="27" operator="equal">
      <formula>0</formula>
    </cfRule>
    <cfRule type="cellIs" dxfId="619" priority="28" operator="equal">
      <formula>1</formula>
    </cfRule>
  </conditionalFormatting>
  <conditionalFormatting sqref="H23:H27">
    <cfRule type="cellIs" dxfId="618" priority="25" operator="equal">
      <formula>0</formula>
    </cfRule>
    <cfRule type="cellIs" dxfId="617" priority="26" operator="equal">
      <formula>1</formula>
    </cfRule>
  </conditionalFormatting>
  <conditionalFormatting sqref="K7:T7 K8:N40 K41:R1070 O40 O14:O15">
    <cfRule type="expression" dxfId="616" priority="24">
      <formula>$E$13=$N7</formula>
    </cfRule>
  </conditionalFormatting>
  <conditionalFormatting sqref="AD5:AK5">
    <cfRule type="cellIs" dxfId="615" priority="22" operator="equal">
      <formula>0</formula>
    </cfRule>
    <cfRule type="cellIs" dxfId="614" priority="23" operator="equal">
      <formula>1</formula>
    </cfRule>
  </conditionalFormatting>
  <conditionalFormatting sqref="AA13:AJ13">
    <cfRule type="cellIs" dxfId="613" priority="17" operator="equal">
      <formula>1</formula>
    </cfRule>
  </conditionalFormatting>
  <conditionalFormatting sqref="H30">
    <cfRule type="cellIs" dxfId="612" priority="14" operator="equal">
      <formula>0</formula>
    </cfRule>
    <cfRule type="cellIs" dxfId="611" priority="15" operator="equal">
      <formula>1</formula>
    </cfRule>
  </conditionalFormatting>
  <conditionalFormatting sqref="AK15:AK1070">
    <cfRule type="cellIs" dxfId="610" priority="13" operator="equal">
      <formula>1</formula>
    </cfRule>
  </conditionalFormatting>
  <conditionalFormatting sqref="O40">
    <cfRule type="containsText" dxfId="609" priority="4" operator="containsText" text=" ">
      <formula>NOT(ISERROR(SEARCH(" ",O40)))</formula>
    </cfRule>
  </conditionalFormatting>
  <conditionalFormatting sqref="O14:O15">
    <cfRule type="containsText" dxfId="608" priority="2" operator="containsText" text=" ">
      <formula>NOT(ISERROR(SEARCH(" ",O14)))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7" sqref="L1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0300</v>
      </c>
      <c r="J2" s="55" t="str">
        <f>SP</f>
        <v>0500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63" t="s">
        <v>2403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6" t="s">
        <v>336</v>
      </c>
      <c r="W5" s="256"/>
      <c r="X5" s="256"/>
      <c r="Y5" s="256"/>
      <c r="Z5" s="256"/>
      <c r="AA5" s="256"/>
      <c r="AB5" s="256"/>
      <c r="AC5" s="257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58" t="s">
        <v>2405</v>
      </c>
      <c r="W6" s="258"/>
      <c r="X6" s="258"/>
      <c r="Y6" s="258"/>
      <c r="Z6" s="258"/>
      <c r="AA6" s="258"/>
      <c r="AB6" s="258"/>
      <c r="AC6" s="258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59"/>
      <c r="W7" s="259"/>
      <c r="X7" s="259"/>
      <c r="Y7" s="259"/>
      <c r="Z7" s="259"/>
      <c r="AA7" s="259"/>
      <c r="AB7" s="259"/>
      <c r="AC7" s="259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59"/>
      <c r="W8" s="259"/>
      <c r="X8" s="259"/>
      <c r="Y8" s="259"/>
      <c r="Z8" s="259"/>
      <c r="AA8" s="259"/>
      <c r="AB8" s="259"/>
      <c r="AC8" s="259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59"/>
      <c r="W9" s="259"/>
      <c r="X9" s="259"/>
      <c r="Y9" s="259"/>
      <c r="Z9" s="259"/>
      <c r="AA9" s="259"/>
      <c r="AB9" s="259"/>
      <c r="AC9" s="259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59"/>
      <c r="W10" s="259"/>
      <c r="X10" s="259"/>
      <c r="Y10" s="259"/>
      <c r="Z10" s="259"/>
      <c r="AA10" s="259"/>
      <c r="AB10" s="259"/>
      <c r="AC10" s="259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63" t="s">
        <v>2403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59"/>
      <c r="W11" s="259"/>
      <c r="X11" s="259"/>
      <c r="Y11" s="259"/>
      <c r="Z11" s="259"/>
      <c r="AA11" s="259"/>
      <c r="AB11" s="259"/>
      <c r="AC11" s="259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59"/>
      <c r="W12" s="259"/>
      <c r="X12" s="259"/>
      <c r="Y12" s="259"/>
      <c r="Z12" s="259"/>
      <c r="AA12" s="259"/>
      <c r="AB12" s="259"/>
      <c r="AC12" s="259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59"/>
      <c r="W13" s="259"/>
      <c r="X13" s="259"/>
      <c r="Y13" s="259"/>
      <c r="Z13" s="259"/>
      <c r="AA13" s="259"/>
      <c r="AB13" s="259"/>
      <c r="AC13" s="259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59"/>
      <c r="W14" s="259"/>
      <c r="X14" s="259"/>
      <c r="Y14" s="259"/>
      <c r="Z14" s="259"/>
      <c r="AA14" s="259"/>
      <c r="AB14" s="259"/>
      <c r="AC14" s="259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59"/>
      <c r="W15" s="259"/>
      <c r="X15" s="259"/>
      <c r="Y15" s="259"/>
      <c r="Z15" s="259"/>
      <c r="AA15" s="259"/>
      <c r="AB15" s="259"/>
      <c r="AC15" s="259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63" t="s">
        <v>2403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59"/>
      <c r="W16" s="259"/>
      <c r="X16" s="259"/>
      <c r="Y16" s="259"/>
      <c r="Z16" s="259"/>
      <c r="AA16" s="259"/>
      <c r="AB16" s="259"/>
      <c r="AC16" s="259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59"/>
      <c r="W17" s="259"/>
      <c r="X17" s="259"/>
      <c r="Y17" s="259"/>
      <c r="Z17" s="259"/>
      <c r="AA17" s="259"/>
      <c r="AB17" s="259"/>
      <c r="AC17" s="259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59"/>
      <c r="W18" s="259"/>
      <c r="X18" s="259"/>
      <c r="Y18" s="259"/>
      <c r="Z18" s="259"/>
      <c r="AA18" s="259"/>
      <c r="AB18" s="259"/>
      <c r="AC18" s="259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59"/>
      <c r="W19" s="259"/>
      <c r="X19" s="259"/>
      <c r="Y19" s="259"/>
      <c r="Z19" s="259"/>
      <c r="AA19" s="259"/>
      <c r="AB19" s="259"/>
      <c r="AC19" s="259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59"/>
      <c r="W20" s="259"/>
      <c r="X20" s="259"/>
      <c r="Y20" s="259"/>
      <c r="Z20" s="259"/>
      <c r="AA20" s="259"/>
      <c r="AB20" s="259"/>
      <c r="AC20" s="259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59"/>
      <c r="W21" s="259"/>
      <c r="X21" s="259"/>
      <c r="Y21" s="259"/>
      <c r="Z21" s="259"/>
      <c r="AA21" s="259"/>
      <c r="AB21" s="259"/>
      <c r="AC21" s="259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59"/>
      <c r="W22" s="259"/>
      <c r="X22" s="259"/>
      <c r="Y22" s="259"/>
      <c r="Z22" s="259"/>
      <c r="AA22" s="259"/>
      <c r="AB22" s="259"/>
      <c r="AC22" s="259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59"/>
      <c r="W23" s="259"/>
      <c r="X23" s="259"/>
      <c r="Y23" s="259"/>
      <c r="Z23" s="259"/>
      <c r="AA23" s="259"/>
      <c r="AB23" s="259"/>
      <c r="AC23" s="259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59"/>
      <c r="W24" s="259"/>
      <c r="X24" s="259"/>
      <c r="Y24" s="259"/>
      <c r="Z24" s="259"/>
      <c r="AA24" s="259"/>
      <c r="AB24" s="259"/>
      <c r="AC24" s="259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59"/>
      <c r="W25" s="259"/>
      <c r="X25" s="259"/>
      <c r="Y25" s="259"/>
      <c r="Z25" s="259"/>
      <c r="AA25" s="259"/>
      <c r="AB25" s="259"/>
      <c r="AC25" s="259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59"/>
      <c r="W26" s="259"/>
      <c r="X26" s="259"/>
      <c r="Y26" s="259"/>
      <c r="Z26" s="259"/>
      <c r="AA26" s="259"/>
      <c r="AB26" s="259"/>
      <c r="AC26" s="259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59"/>
      <c r="W27" s="259"/>
      <c r="X27" s="259"/>
      <c r="Y27" s="259"/>
      <c r="Z27" s="259"/>
      <c r="AA27" s="259"/>
      <c r="AB27" s="259"/>
      <c r="AC27" s="259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59"/>
      <c r="W28" s="259"/>
      <c r="X28" s="259"/>
      <c r="Y28" s="259"/>
      <c r="Z28" s="259"/>
      <c r="AA28" s="259"/>
      <c r="AB28" s="259"/>
      <c r="AC28" s="259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63" t="s">
        <v>2403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59"/>
      <c r="W29" s="259"/>
      <c r="X29" s="259"/>
      <c r="Y29" s="259"/>
      <c r="Z29" s="259"/>
      <c r="AA29" s="259"/>
      <c r="AB29" s="259"/>
      <c r="AC29" s="259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59"/>
      <c r="W30" s="259"/>
      <c r="X30" s="259"/>
      <c r="Y30" s="259"/>
      <c r="Z30" s="259"/>
      <c r="AA30" s="259"/>
      <c r="AB30" s="259"/>
      <c r="AC30" s="259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59"/>
      <c r="W31" s="259"/>
      <c r="X31" s="259"/>
      <c r="Y31" s="259"/>
      <c r="Z31" s="259"/>
      <c r="AA31" s="259"/>
      <c r="AB31" s="259"/>
      <c r="AC31" s="259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59"/>
      <c r="W32" s="259"/>
      <c r="X32" s="259"/>
      <c r="Y32" s="259"/>
      <c r="Z32" s="259"/>
      <c r="AA32" s="259"/>
      <c r="AB32" s="259"/>
      <c r="AC32" s="259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59"/>
      <c r="W33" s="259"/>
      <c r="X33" s="259"/>
      <c r="Y33" s="259"/>
      <c r="Z33" s="259"/>
      <c r="AA33" s="259"/>
      <c r="AB33" s="259"/>
      <c r="AC33" s="259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59"/>
      <c r="W34" s="259"/>
      <c r="X34" s="259"/>
      <c r="Y34" s="259"/>
      <c r="Z34" s="259"/>
      <c r="AA34" s="259"/>
      <c r="AB34" s="259"/>
      <c r="AC34" s="259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59"/>
      <c r="W35" s="259"/>
      <c r="X35" s="259"/>
      <c r="Y35" s="259"/>
      <c r="Z35" s="259"/>
      <c r="AA35" s="259"/>
      <c r="AB35" s="259"/>
      <c r="AC35" s="259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63" t="s">
        <v>2403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63" t="s">
        <v>2403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63" t="s">
        <v>2403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1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1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63" t="s">
        <v>2403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1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1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1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1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1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63" t="s">
        <v>2403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63" t="s">
        <v>2403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1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63" t="s">
        <v>2403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1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63" t="s">
        <v>2403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63" t="s">
        <v>2403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63" t="s">
        <v>2403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63" t="s">
        <v>2403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63" t="s">
        <v>2403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63" t="s">
        <v>2403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63" t="s">
        <v>2403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63" t="s">
        <v>2403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63" t="s">
        <v>2403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63" t="s">
        <v>2403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63" t="s">
        <v>2403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63" t="s">
        <v>2403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63" t="s">
        <v>2403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63" t="s">
        <v>2403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63" t="s">
        <v>2403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63" t="s">
        <v>2403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63" t="s">
        <v>2403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63" t="s">
        <v>2403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63" t="s">
        <v>2403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63" t="s">
        <v>2403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63" t="s">
        <v>2403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63" t="s">
        <v>2403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63" t="s">
        <v>2403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63" t="s">
        <v>2403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63" t="s">
        <v>2403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63" t="s">
        <v>2403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63" t="s">
        <v>2403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63" t="s">
        <v>2403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63" t="s">
        <v>2403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63" t="s">
        <v>2403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63" t="s">
        <v>2403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63" t="s">
        <v>2403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63" t="s">
        <v>2403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63" t="s">
        <v>2403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63" t="s">
        <v>2403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63" t="s">
        <v>2403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63" t="s">
        <v>2403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63" t="s">
        <v>2403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63" t="s">
        <v>2403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63" t="s">
        <v>2403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63" t="s">
        <v>2403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63" t="s">
        <v>2403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63" t="s">
        <v>2403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63" t="s">
        <v>2403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2" t="s">
        <v>2375</v>
      </c>
      <c r="L564" s="56" t="s">
        <v>1057</v>
      </c>
      <c r="M564" s="166">
        <f>IFERROR(VLOOKUP($A564,$P$6:$S$1048576,3,0),0)</f>
        <v>1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2" t="s">
        <v>2375</v>
      </c>
      <c r="L575" s="56" t="s">
        <v>1058</v>
      </c>
      <c r="M575" s="166">
        <f>IFERROR(VLOOKUP($A575,$P$6:$S$1048576,3,0),0)</f>
        <v>1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64" t="s">
        <v>2403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64" t="s">
        <v>2403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64" t="s">
        <v>2403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2" t="s">
        <v>2375</v>
      </c>
      <c r="L607" s="56" t="s">
        <v>1093</v>
      </c>
      <c r="M607" s="166">
        <f>IFERROR(VLOOKUP($A607,$P$6:$S$1048576,3,0),0)</f>
        <v>1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2" t="s">
        <v>2375</v>
      </c>
      <c r="L614" s="56" t="s">
        <v>1095</v>
      </c>
      <c r="M614" s="166">
        <f>IFERROR(VLOOKUP($A614,$P$6:$S$1048576,3,0),0)</f>
        <v>1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2" t="s">
        <v>2375</v>
      </c>
      <c r="L621" s="56" t="s">
        <v>1097</v>
      </c>
      <c r="M621" s="166">
        <f>IFERROR(VLOOKUP($A621,$P$6:$S$1048576,3,0),0)</f>
        <v>1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2" t="s">
        <v>2375</v>
      </c>
      <c r="L629" s="56" t="s">
        <v>1098</v>
      </c>
      <c r="M629" s="166">
        <f>IFERROR(VLOOKUP($A629,$P$6:$S$1048576,3,0),0)</f>
        <v>1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2" t="s">
        <v>2375</v>
      </c>
      <c r="L637" s="56" t="s">
        <v>1100</v>
      </c>
      <c r="M637" s="166">
        <f>IFERROR(VLOOKUP($A637,$P$6:$S$1048576,3,0),0)</f>
        <v>1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64" t="s">
        <v>2403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64" t="s">
        <v>2403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64" t="s">
        <v>2403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64" t="s">
        <v>2403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64" t="s">
        <v>2403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64" t="s">
        <v>2403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64" t="s">
        <v>2403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64" t="s">
        <v>2403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64" t="s">
        <v>2403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64" t="s">
        <v>2403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64" t="s">
        <v>2403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64" t="s">
        <v>2403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64" t="s">
        <v>2403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64" t="s">
        <v>2403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64" t="s">
        <v>2403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64" t="s">
        <v>2403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64" t="s">
        <v>2403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64" t="s">
        <v>2403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64" t="s">
        <v>2403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64" t="s">
        <v>2403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64" t="s">
        <v>2403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64" t="s">
        <v>2403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2" t="s">
        <v>2375</v>
      </c>
      <c r="L833" s="56" t="s">
        <v>1185</v>
      </c>
      <c r="M833" s="166">
        <f>IFERROR(VLOOKUP($A833,$P$6:$S$1048576,3,0),0)</f>
        <v>1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64" t="s">
        <v>2403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64" t="s">
        <v>2403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64" t="s">
        <v>2403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64" t="s">
        <v>2403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64" t="s">
        <v>2403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64" t="s">
        <v>2403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64" t="s">
        <v>2403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64" t="s">
        <v>2403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64" t="s">
        <v>2403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65" t="s">
        <v>2375</v>
      </c>
      <c r="L897" s="68" t="s">
        <v>1229</v>
      </c>
      <c r="M897" s="20">
        <f>IFERROR(VLOOKUP($A897,$P$6:$S$1048576,3,0),0)</f>
        <v>1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2" t="s">
        <v>2375</v>
      </c>
      <c r="L899" s="56" t="s">
        <v>2378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2380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2379</v>
      </c>
      <c r="G902" s="100"/>
      <c r="H902" s="6" t="s">
        <v>2381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7" priority="927" operator="equal">
      <formula>0</formula>
    </cfRule>
    <cfRule type="cellIs" dxfId="606" priority="928" operator="equal">
      <formula>1</formula>
    </cfRule>
  </conditionalFormatting>
  <conditionalFormatting sqref="J11:K11">
    <cfRule type="cellIs" dxfId="605" priority="925" operator="equal">
      <formula>0</formula>
    </cfRule>
    <cfRule type="cellIs" dxfId="604" priority="926" operator="equal">
      <formula>1</formula>
    </cfRule>
  </conditionalFormatting>
  <conditionalFormatting sqref="J16:K16">
    <cfRule type="cellIs" dxfId="603" priority="923" operator="equal">
      <formula>0</formula>
    </cfRule>
    <cfRule type="cellIs" dxfId="602" priority="924" operator="equal">
      <formula>1</formula>
    </cfRule>
  </conditionalFormatting>
  <conditionalFormatting sqref="J29:K29">
    <cfRule type="cellIs" dxfId="601" priority="919" operator="equal">
      <formula>0</formula>
    </cfRule>
    <cfRule type="cellIs" dxfId="600" priority="920" operator="equal">
      <formula>1</formula>
    </cfRule>
  </conditionalFormatting>
  <conditionalFormatting sqref="M4:N4">
    <cfRule type="cellIs" dxfId="599" priority="917" operator="equal">
      <formula>0</formula>
    </cfRule>
    <cfRule type="cellIs" dxfId="598" priority="918" operator="equal">
      <formula>1</formula>
    </cfRule>
  </conditionalFormatting>
  <conditionalFormatting sqref="J38:K38">
    <cfRule type="cellIs" dxfId="597" priority="907" operator="equal">
      <formula>0</formula>
    </cfRule>
    <cfRule type="cellIs" dxfId="596" priority="908" operator="equal">
      <formula>1</formula>
    </cfRule>
  </conditionalFormatting>
  <conditionalFormatting sqref="K49">
    <cfRule type="cellIs" dxfId="595" priority="903" operator="equal">
      <formula>0</formula>
    </cfRule>
    <cfRule type="cellIs" dxfId="594" priority="904" operator="equal">
      <formula>1</formula>
    </cfRule>
  </conditionalFormatting>
  <conditionalFormatting sqref="K66">
    <cfRule type="cellIs" dxfId="593" priority="895" operator="equal">
      <formula>0</formula>
    </cfRule>
    <cfRule type="cellIs" dxfId="592" priority="896" operator="equal">
      <formula>1</formula>
    </cfRule>
  </conditionalFormatting>
  <conditionalFormatting sqref="K57">
    <cfRule type="cellIs" dxfId="591" priority="891" operator="equal">
      <formula>0</formula>
    </cfRule>
    <cfRule type="cellIs" dxfId="590" priority="892" operator="equal">
      <formula>1</formula>
    </cfRule>
  </conditionalFormatting>
  <conditionalFormatting sqref="J49">
    <cfRule type="cellIs" dxfId="589" priority="887" operator="equal">
      <formula>0</formula>
    </cfRule>
    <cfRule type="cellIs" dxfId="588" priority="888" operator="equal">
      <formula>1</formula>
    </cfRule>
  </conditionalFormatting>
  <conditionalFormatting sqref="J57">
    <cfRule type="cellIs" dxfId="587" priority="885" operator="equal">
      <formula>0</formula>
    </cfRule>
    <cfRule type="cellIs" dxfId="586" priority="886" operator="equal">
      <formula>1</formula>
    </cfRule>
  </conditionalFormatting>
  <conditionalFormatting sqref="J66">
    <cfRule type="cellIs" dxfId="585" priority="883" operator="equal">
      <formula>0</formula>
    </cfRule>
    <cfRule type="cellIs" dxfId="584" priority="884" operator="equal">
      <formula>1</formula>
    </cfRule>
  </conditionalFormatting>
  <conditionalFormatting sqref="K74">
    <cfRule type="cellIs" dxfId="583" priority="881" operator="equal">
      <formula>0</formula>
    </cfRule>
    <cfRule type="cellIs" dxfId="582" priority="882" operator="equal">
      <formula>1</formula>
    </cfRule>
  </conditionalFormatting>
  <conditionalFormatting sqref="J74">
    <cfRule type="cellIs" dxfId="581" priority="877" operator="equal">
      <formula>0</formula>
    </cfRule>
    <cfRule type="cellIs" dxfId="580" priority="878" operator="equal">
      <formula>1</formula>
    </cfRule>
  </conditionalFormatting>
  <conditionalFormatting sqref="R6:R116">
    <cfRule type="cellIs" dxfId="579" priority="875" operator="equal">
      <formula>0</formula>
    </cfRule>
    <cfRule type="cellIs" dxfId="578" priority="876" operator="equal">
      <formula>1</formula>
    </cfRule>
  </conditionalFormatting>
  <conditionalFormatting sqref="K83">
    <cfRule type="cellIs" dxfId="577" priority="857" operator="equal">
      <formula>0</formula>
    </cfRule>
    <cfRule type="cellIs" dxfId="576" priority="858" operator="equal">
      <formula>1</formula>
    </cfRule>
  </conditionalFormatting>
  <conditionalFormatting sqref="J83">
    <cfRule type="cellIs" dxfId="575" priority="855" operator="equal">
      <formula>0</formula>
    </cfRule>
    <cfRule type="cellIs" dxfId="574" priority="856" operator="equal">
      <formula>1</formula>
    </cfRule>
  </conditionalFormatting>
  <conditionalFormatting sqref="K97">
    <cfRule type="cellIs" dxfId="573" priority="851" operator="equal">
      <formula>0</formula>
    </cfRule>
    <cfRule type="cellIs" dxfId="572" priority="852" operator="equal">
      <formula>1</formula>
    </cfRule>
  </conditionalFormatting>
  <conditionalFormatting sqref="J97">
    <cfRule type="cellIs" dxfId="571" priority="849" operator="equal">
      <formula>0</formula>
    </cfRule>
    <cfRule type="cellIs" dxfId="570" priority="850" operator="equal">
      <formula>1</formula>
    </cfRule>
  </conditionalFormatting>
  <conditionalFormatting sqref="K105">
    <cfRule type="cellIs" dxfId="569" priority="839" operator="equal">
      <formula>0</formula>
    </cfRule>
    <cfRule type="cellIs" dxfId="568" priority="840" operator="equal">
      <formula>1</formula>
    </cfRule>
  </conditionalFormatting>
  <conditionalFormatting sqref="J105">
    <cfRule type="cellIs" dxfId="567" priority="837" operator="equal">
      <formula>0</formula>
    </cfRule>
    <cfRule type="cellIs" dxfId="566" priority="838" operator="equal">
      <formula>1</formula>
    </cfRule>
  </conditionalFormatting>
  <conditionalFormatting sqref="K113">
    <cfRule type="cellIs" dxfId="565" priority="833" operator="equal">
      <formula>0</formula>
    </cfRule>
    <cfRule type="cellIs" dxfId="564" priority="834" operator="equal">
      <formula>1</formula>
    </cfRule>
  </conditionalFormatting>
  <conditionalFormatting sqref="K125">
    <cfRule type="cellIs" dxfId="563" priority="795" operator="equal">
      <formula>0</formula>
    </cfRule>
    <cfRule type="cellIs" dxfId="562" priority="796" operator="equal">
      <formula>1</formula>
    </cfRule>
  </conditionalFormatting>
  <conditionalFormatting sqref="K135">
    <cfRule type="cellIs" dxfId="561" priority="781" operator="equal">
      <formula>0</formula>
    </cfRule>
    <cfRule type="cellIs" dxfId="560" priority="782" operator="equal">
      <formula>1</formula>
    </cfRule>
  </conditionalFormatting>
  <conditionalFormatting sqref="J125">
    <cfRule type="cellIs" dxfId="559" priority="775" operator="equal">
      <formula>0</formula>
    </cfRule>
    <cfRule type="cellIs" dxfId="558" priority="776" operator="equal">
      <formula>1</formula>
    </cfRule>
  </conditionalFormatting>
  <conditionalFormatting sqref="J135">
    <cfRule type="cellIs" dxfId="557" priority="773" operator="equal">
      <formula>0</formula>
    </cfRule>
    <cfRule type="cellIs" dxfId="556" priority="774" operator="equal">
      <formula>1</formula>
    </cfRule>
  </conditionalFormatting>
  <conditionalFormatting sqref="J113">
    <cfRule type="cellIs" dxfId="555" priority="771" operator="equal">
      <formula>0</formula>
    </cfRule>
    <cfRule type="cellIs" dxfId="554" priority="772" operator="equal">
      <formula>1</formula>
    </cfRule>
  </conditionalFormatting>
  <conditionalFormatting sqref="K148">
    <cfRule type="cellIs" dxfId="553" priority="769" operator="equal">
      <formula>0</formula>
    </cfRule>
    <cfRule type="cellIs" dxfId="552" priority="770" operator="equal">
      <formula>1</formula>
    </cfRule>
  </conditionalFormatting>
  <conditionalFormatting sqref="J148">
    <cfRule type="cellIs" dxfId="551" priority="763" operator="equal">
      <formula>0</formula>
    </cfRule>
    <cfRule type="cellIs" dxfId="550" priority="764" operator="equal">
      <formula>1</formula>
    </cfRule>
  </conditionalFormatting>
  <conditionalFormatting sqref="K163">
    <cfRule type="cellIs" dxfId="549" priority="759" operator="equal">
      <formula>0</formula>
    </cfRule>
    <cfRule type="cellIs" dxfId="548" priority="760" operator="equal">
      <formula>1</formula>
    </cfRule>
  </conditionalFormatting>
  <conditionalFormatting sqref="J163">
    <cfRule type="cellIs" dxfId="547" priority="757" operator="equal">
      <formula>0</formula>
    </cfRule>
    <cfRule type="cellIs" dxfId="546" priority="758" operator="equal">
      <formula>1</formula>
    </cfRule>
  </conditionalFormatting>
  <conditionalFormatting sqref="K174">
    <cfRule type="cellIs" dxfId="545" priority="753" operator="equal">
      <formula>0</formula>
    </cfRule>
    <cfRule type="cellIs" dxfId="544" priority="754" operator="equal">
      <formula>1</formula>
    </cfRule>
  </conditionalFormatting>
  <conditionalFormatting sqref="J174">
    <cfRule type="cellIs" dxfId="543" priority="751" operator="equal">
      <formula>0</formula>
    </cfRule>
    <cfRule type="cellIs" dxfId="542" priority="752" operator="equal">
      <formula>1</formula>
    </cfRule>
  </conditionalFormatting>
  <conditionalFormatting sqref="K184">
    <cfRule type="cellIs" dxfId="541" priority="741" operator="equal">
      <formula>0</formula>
    </cfRule>
    <cfRule type="cellIs" dxfId="540" priority="742" operator="equal">
      <formula>1</formula>
    </cfRule>
  </conditionalFormatting>
  <conditionalFormatting sqref="J184">
    <cfRule type="cellIs" dxfId="539" priority="739" operator="equal">
      <formula>0</formula>
    </cfRule>
    <cfRule type="cellIs" dxfId="538" priority="740" operator="equal">
      <formula>1</formula>
    </cfRule>
  </conditionalFormatting>
  <conditionalFormatting sqref="K194">
    <cfRule type="cellIs" dxfId="537" priority="735" operator="equal">
      <formula>0</formula>
    </cfRule>
    <cfRule type="cellIs" dxfId="536" priority="736" operator="equal">
      <formula>1</formula>
    </cfRule>
  </conditionalFormatting>
  <conditionalFormatting sqref="J194">
    <cfRule type="cellIs" dxfId="535" priority="733" operator="equal">
      <formula>0</formula>
    </cfRule>
    <cfRule type="cellIs" dxfId="534" priority="734" operator="equal">
      <formula>1</formula>
    </cfRule>
  </conditionalFormatting>
  <conditionalFormatting sqref="K204">
    <cfRule type="cellIs" dxfId="533" priority="729" operator="equal">
      <formula>0</formula>
    </cfRule>
    <cfRule type="cellIs" dxfId="532" priority="730" operator="equal">
      <formula>1</formula>
    </cfRule>
  </conditionalFormatting>
  <conditionalFormatting sqref="J204">
    <cfRule type="cellIs" dxfId="531" priority="727" operator="equal">
      <formula>0</formula>
    </cfRule>
    <cfRule type="cellIs" dxfId="530" priority="728" operator="equal">
      <formula>1</formula>
    </cfRule>
  </conditionalFormatting>
  <conditionalFormatting sqref="K211">
    <cfRule type="cellIs" dxfId="529" priority="723" operator="equal">
      <formula>0</formula>
    </cfRule>
    <cfRule type="cellIs" dxfId="528" priority="724" operator="equal">
      <formula>1</formula>
    </cfRule>
  </conditionalFormatting>
  <conditionalFormatting sqref="J211">
    <cfRule type="cellIs" dxfId="527" priority="721" operator="equal">
      <formula>0</formula>
    </cfRule>
    <cfRule type="cellIs" dxfId="526" priority="722" operator="equal">
      <formula>1</formula>
    </cfRule>
  </conditionalFormatting>
  <conditionalFormatting sqref="K224">
    <cfRule type="cellIs" dxfId="525" priority="717" operator="equal">
      <formula>0</formula>
    </cfRule>
    <cfRule type="cellIs" dxfId="524" priority="718" operator="equal">
      <formula>1</formula>
    </cfRule>
  </conditionalFormatting>
  <conditionalFormatting sqref="J224">
    <cfRule type="cellIs" dxfId="523" priority="715" operator="equal">
      <formula>0</formula>
    </cfRule>
    <cfRule type="cellIs" dxfId="522" priority="716" operator="equal">
      <formula>1</formula>
    </cfRule>
  </conditionalFormatting>
  <conditionalFormatting sqref="K240">
    <cfRule type="cellIs" dxfId="521" priority="711" operator="equal">
      <formula>0</formula>
    </cfRule>
    <cfRule type="cellIs" dxfId="520" priority="712" operator="equal">
      <formula>1</formula>
    </cfRule>
  </conditionalFormatting>
  <conditionalFormatting sqref="J240">
    <cfRule type="cellIs" dxfId="519" priority="709" operator="equal">
      <formula>0</formula>
    </cfRule>
    <cfRule type="cellIs" dxfId="518" priority="710" operator="equal">
      <formula>1</formula>
    </cfRule>
  </conditionalFormatting>
  <conditionalFormatting sqref="K253">
    <cfRule type="cellIs" dxfId="517" priority="705" operator="equal">
      <formula>0</formula>
    </cfRule>
    <cfRule type="cellIs" dxfId="516" priority="706" operator="equal">
      <formula>1</formula>
    </cfRule>
  </conditionalFormatting>
  <conditionalFormatting sqref="J253">
    <cfRule type="cellIs" dxfId="515" priority="703" operator="equal">
      <formula>0</formula>
    </cfRule>
    <cfRule type="cellIs" dxfId="514" priority="704" operator="equal">
      <formula>1</formula>
    </cfRule>
  </conditionalFormatting>
  <conditionalFormatting sqref="K259">
    <cfRule type="cellIs" dxfId="513" priority="687" operator="equal">
      <formula>0</formula>
    </cfRule>
    <cfRule type="cellIs" dxfId="512" priority="688" operator="equal">
      <formula>1</formula>
    </cfRule>
  </conditionalFormatting>
  <conditionalFormatting sqref="J259">
    <cfRule type="cellIs" dxfId="511" priority="685" operator="equal">
      <formula>0</formula>
    </cfRule>
    <cfRule type="cellIs" dxfId="510" priority="686" operator="equal">
      <formula>1</formula>
    </cfRule>
  </conditionalFormatting>
  <conditionalFormatting sqref="K265">
    <cfRule type="cellIs" dxfId="509" priority="681" operator="equal">
      <formula>0</formula>
    </cfRule>
    <cfRule type="cellIs" dxfId="508" priority="682" operator="equal">
      <formula>1</formula>
    </cfRule>
  </conditionalFormatting>
  <conditionalFormatting sqref="J265">
    <cfRule type="cellIs" dxfId="507" priority="679" operator="equal">
      <formula>0</formula>
    </cfRule>
    <cfRule type="cellIs" dxfId="506" priority="680" operator="equal">
      <formula>1</formula>
    </cfRule>
  </conditionalFormatting>
  <conditionalFormatting sqref="K273">
    <cfRule type="cellIs" dxfId="505" priority="675" operator="equal">
      <formula>0</formula>
    </cfRule>
    <cfRule type="cellIs" dxfId="504" priority="676" operator="equal">
      <formula>1</formula>
    </cfRule>
  </conditionalFormatting>
  <conditionalFormatting sqref="J273">
    <cfRule type="cellIs" dxfId="503" priority="673" operator="equal">
      <formula>0</formula>
    </cfRule>
    <cfRule type="cellIs" dxfId="502" priority="674" operator="equal">
      <formula>1</formula>
    </cfRule>
  </conditionalFormatting>
  <conditionalFormatting sqref="K281">
    <cfRule type="cellIs" dxfId="501" priority="669" operator="equal">
      <formula>0</formula>
    </cfRule>
    <cfRule type="cellIs" dxfId="500" priority="670" operator="equal">
      <formula>1</formula>
    </cfRule>
  </conditionalFormatting>
  <conditionalFormatting sqref="J281">
    <cfRule type="cellIs" dxfId="499" priority="667" operator="equal">
      <formula>0</formula>
    </cfRule>
    <cfRule type="cellIs" dxfId="498" priority="668" operator="equal">
      <formula>1</formula>
    </cfRule>
  </conditionalFormatting>
  <conditionalFormatting sqref="K290">
    <cfRule type="cellIs" dxfId="497" priority="663" operator="equal">
      <formula>0</formula>
    </cfRule>
    <cfRule type="cellIs" dxfId="496" priority="664" operator="equal">
      <formula>1</formula>
    </cfRule>
  </conditionalFormatting>
  <conditionalFormatting sqref="J290">
    <cfRule type="cellIs" dxfId="495" priority="661" operator="equal">
      <formula>0</formula>
    </cfRule>
    <cfRule type="cellIs" dxfId="494" priority="662" operator="equal">
      <formula>1</formula>
    </cfRule>
  </conditionalFormatting>
  <conditionalFormatting sqref="K299">
    <cfRule type="cellIs" dxfId="493" priority="657" operator="equal">
      <formula>0</formula>
    </cfRule>
    <cfRule type="cellIs" dxfId="492" priority="658" operator="equal">
      <formula>1</formula>
    </cfRule>
  </conditionalFormatting>
  <conditionalFormatting sqref="J299">
    <cfRule type="cellIs" dxfId="491" priority="655" operator="equal">
      <formula>0</formula>
    </cfRule>
    <cfRule type="cellIs" dxfId="490" priority="656" operator="equal">
      <formula>1</formula>
    </cfRule>
  </conditionalFormatting>
  <conditionalFormatting sqref="K308">
    <cfRule type="cellIs" dxfId="489" priority="651" operator="equal">
      <formula>0</formula>
    </cfRule>
    <cfRule type="cellIs" dxfId="488" priority="652" operator="equal">
      <formula>1</formula>
    </cfRule>
  </conditionalFormatting>
  <conditionalFormatting sqref="J308">
    <cfRule type="cellIs" dxfId="487" priority="649" operator="equal">
      <formula>0</formula>
    </cfRule>
    <cfRule type="cellIs" dxfId="486" priority="650" operator="equal">
      <formula>1</formula>
    </cfRule>
  </conditionalFormatting>
  <conditionalFormatting sqref="K317">
    <cfRule type="cellIs" dxfId="485" priority="645" operator="equal">
      <formula>0</formula>
    </cfRule>
    <cfRule type="cellIs" dxfId="484" priority="646" operator="equal">
      <formula>1</formula>
    </cfRule>
  </conditionalFormatting>
  <conditionalFormatting sqref="K326">
    <cfRule type="cellIs" dxfId="483" priority="639" operator="equal">
      <formula>0</formula>
    </cfRule>
    <cfRule type="cellIs" dxfId="482" priority="640" operator="equal">
      <formula>1</formula>
    </cfRule>
  </conditionalFormatting>
  <conditionalFormatting sqref="K335">
    <cfRule type="cellIs" dxfId="481" priority="633" operator="equal">
      <formula>0</formula>
    </cfRule>
    <cfRule type="cellIs" dxfId="480" priority="634" operator="equal">
      <formula>1</formula>
    </cfRule>
  </conditionalFormatting>
  <conditionalFormatting sqref="K344">
    <cfRule type="cellIs" dxfId="479" priority="627" operator="equal">
      <formula>0</formula>
    </cfRule>
    <cfRule type="cellIs" dxfId="478" priority="628" operator="equal">
      <formula>1</formula>
    </cfRule>
  </conditionalFormatting>
  <conditionalFormatting sqref="K353">
    <cfRule type="cellIs" dxfId="477" priority="621" operator="equal">
      <formula>0</formula>
    </cfRule>
    <cfRule type="cellIs" dxfId="476" priority="622" operator="equal">
      <formula>1</formula>
    </cfRule>
  </conditionalFormatting>
  <conditionalFormatting sqref="K362">
    <cfRule type="cellIs" dxfId="475" priority="615" operator="equal">
      <formula>0</formula>
    </cfRule>
    <cfRule type="cellIs" dxfId="474" priority="616" operator="equal">
      <formula>1</formula>
    </cfRule>
  </conditionalFormatting>
  <conditionalFormatting sqref="K371">
    <cfRule type="cellIs" dxfId="473" priority="609" operator="equal">
      <formula>0</formula>
    </cfRule>
    <cfRule type="cellIs" dxfId="472" priority="610" operator="equal">
      <formula>1</formula>
    </cfRule>
  </conditionalFormatting>
  <conditionalFormatting sqref="J371">
    <cfRule type="cellIs" dxfId="471" priority="607" operator="equal">
      <formula>0</formula>
    </cfRule>
    <cfRule type="cellIs" dxfId="470" priority="608" operator="equal">
      <formula>1</formula>
    </cfRule>
  </conditionalFormatting>
  <conditionalFormatting sqref="K380">
    <cfRule type="cellIs" dxfId="469" priority="603" operator="equal">
      <formula>0</formula>
    </cfRule>
    <cfRule type="cellIs" dxfId="468" priority="604" operator="equal">
      <formula>1</formula>
    </cfRule>
  </conditionalFormatting>
  <conditionalFormatting sqref="J380">
    <cfRule type="cellIs" dxfId="467" priority="601" operator="equal">
      <formula>0</formula>
    </cfRule>
    <cfRule type="cellIs" dxfId="466" priority="602" operator="equal">
      <formula>1</formula>
    </cfRule>
  </conditionalFormatting>
  <conditionalFormatting sqref="K389">
    <cfRule type="cellIs" dxfId="465" priority="597" operator="equal">
      <formula>0</formula>
    </cfRule>
    <cfRule type="cellIs" dxfId="464" priority="598" operator="equal">
      <formula>1</formula>
    </cfRule>
  </conditionalFormatting>
  <conditionalFormatting sqref="K398">
    <cfRule type="cellIs" dxfId="463" priority="591" operator="equal">
      <formula>0</formula>
    </cfRule>
    <cfRule type="cellIs" dxfId="462" priority="592" operator="equal">
      <formula>1</formula>
    </cfRule>
  </conditionalFormatting>
  <conditionalFormatting sqref="K407">
    <cfRule type="cellIs" dxfId="461" priority="585" operator="equal">
      <formula>0</formula>
    </cfRule>
    <cfRule type="cellIs" dxfId="460" priority="586" operator="equal">
      <formula>1</formula>
    </cfRule>
  </conditionalFormatting>
  <conditionalFormatting sqref="K416">
    <cfRule type="cellIs" dxfId="459" priority="579" operator="equal">
      <formula>0</formula>
    </cfRule>
    <cfRule type="cellIs" dxfId="458" priority="580" operator="equal">
      <formula>1</formula>
    </cfRule>
  </conditionalFormatting>
  <conditionalFormatting sqref="J416">
    <cfRule type="cellIs" dxfId="457" priority="577" operator="equal">
      <formula>0</formula>
    </cfRule>
    <cfRule type="cellIs" dxfId="456" priority="578" operator="equal">
      <formula>1</formula>
    </cfRule>
  </conditionalFormatting>
  <conditionalFormatting sqref="K427">
    <cfRule type="cellIs" dxfId="455" priority="573" operator="equal">
      <formula>0</formula>
    </cfRule>
    <cfRule type="cellIs" dxfId="454" priority="574" operator="equal">
      <formula>1</formula>
    </cfRule>
  </conditionalFormatting>
  <conditionalFormatting sqref="K436">
    <cfRule type="cellIs" dxfId="453" priority="567" operator="equal">
      <formula>0</formula>
    </cfRule>
    <cfRule type="cellIs" dxfId="452" priority="568" operator="equal">
      <formula>1</formula>
    </cfRule>
  </conditionalFormatting>
  <conditionalFormatting sqref="K445">
    <cfRule type="cellIs" dxfId="451" priority="561" operator="equal">
      <formula>0</formula>
    </cfRule>
    <cfRule type="cellIs" dxfId="450" priority="562" operator="equal">
      <formula>1</formula>
    </cfRule>
  </conditionalFormatting>
  <conditionalFormatting sqref="J445">
    <cfRule type="cellIs" dxfId="449" priority="559" operator="equal">
      <formula>0</formula>
    </cfRule>
    <cfRule type="cellIs" dxfId="448" priority="560" operator="equal">
      <formula>1</formula>
    </cfRule>
  </conditionalFormatting>
  <conditionalFormatting sqref="K460">
    <cfRule type="cellIs" dxfId="447" priority="555" operator="equal">
      <formula>0</formula>
    </cfRule>
    <cfRule type="cellIs" dxfId="446" priority="556" operator="equal">
      <formula>1</formula>
    </cfRule>
  </conditionalFormatting>
  <conditionalFormatting sqref="J460">
    <cfRule type="cellIs" dxfId="445" priority="553" operator="equal">
      <formula>0</formula>
    </cfRule>
    <cfRule type="cellIs" dxfId="444" priority="554" operator="equal">
      <formula>1</formula>
    </cfRule>
  </conditionalFormatting>
  <conditionalFormatting sqref="K467">
    <cfRule type="cellIs" dxfId="443" priority="549" operator="equal">
      <formula>0</formula>
    </cfRule>
    <cfRule type="cellIs" dxfId="442" priority="550" operator="equal">
      <formula>1</formula>
    </cfRule>
  </conditionalFormatting>
  <conditionalFormatting sqref="J467">
    <cfRule type="cellIs" dxfId="441" priority="547" operator="equal">
      <formula>0</formula>
    </cfRule>
    <cfRule type="cellIs" dxfId="440" priority="548" operator="equal">
      <formula>1</formula>
    </cfRule>
  </conditionalFormatting>
  <conditionalFormatting sqref="K478">
    <cfRule type="cellIs" dxfId="439" priority="543" operator="equal">
      <formula>0</formula>
    </cfRule>
    <cfRule type="cellIs" dxfId="438" priority="544" operator="equal">
      <formula>1</formula>
    </cfRule>
  </conditionalFormatting>
  <conditionalFormatting sqref="J478">
    <cfRule type="cellIs" dxfId="437" priority="541" operator="equal">
      <formula>0</formula>
    </cfRule>
    <cfRule type="cellIs" dxfId="436" priority="542" operator="equal">
      <formula>1</formula>
    </cfRule>
  </conditionalFormatting>
  <conditionalFormatting sqref="K483">
    <cfRule type="cellIs" dxfId="435" priority="537" operator="equal">
      <formula>0</formula>
    </cfRule>
    <cfRule type="cellIs" dxfId="434" priority="538" operator="equal">
      <formula>1</formula>
    </cfRule>
  </conditionalFormatting>
  <conditionalFormatting sqref="J483">
    <cfRule type="cellIs" dxfId="433" priority="535" operator="equal">
      <formula>0</formula>
    </cfRule>
    <cfRule type="cellIs" dxfId="432" priority="536" operator="equal">
      <formula>1</formula>
    </cfRule>
  </conditionalFormatting>
  <conditionalFormatting sqref="K490">
    <cfRule type="cellIs" dxfId="431" priority="531" operator="equal">
      <formula>0</formula>
    </cfRule>
    <cfRule type="cellIs" dxfId="430" priority="532" operator="equal">
      <formula>1</formula>
    </cfRule>
  </conditionalFormatting>
  <conditionalFormatting sqref="J490">
    <cfRule type="cellIs" dxfId="429" priority="529" operator="equal">
      <formula>0</formula>
    </cfRule>
    <cfRule type="cellIs" dxfId="428" priority="530" operator="equal">
      <formula>1</formula>
    </cfRule>
  </conditionalFormatting>
  <conditionalFormatting sqref="K500">
    <cfRule type="cellIs" dxfId="427" priority="525" operator="equal">
      <formula>0</formula>
    </cfRule>
    <cfRule type="cellIs" dxfId="426" priority="526" operator="equal">
      <formula>1</formula>
    </cfRule>
  </conditionalFormatting>
  <conditionalFormatting sqref="J500">
    <cfRule type="cellIs" dxfId="425" priority="523" operator="equal">
      <formula>0</formula>
    </cfRule>
    <cfRule type="cellIs" dxfId="424" priority="524" operator="equal">
      <formula>1</formula>
    </cfRule>
  </conditionalFormatting>
  <conditionalFormatting sqref="E518:G528">
    <cfRule type="expression" dxfId="423" priority="520">
      <formula>$N518=$E$13</formula>
    </cfRule>
  </conditionalFormatting>
  <conditionalFormatting sqref="D518:G528">
    <cfRule type="containsText" dxfId="422" priority="519" operator="containsText" text=" ">
      <formula>NOT(ISERROR(SEARCH(" ",D518)))</formula>
    </cfRule>
  </conditionalFormatting>
  <conditionalFormatting sqref="D518:G528">
    <cfRule type="expression" dxfId="421" priority="518">
      <formula>$E$13=$N518</formula>
    </cfRule>
  </conditionalFormatting>
  <conditionalFormatting sqref="K530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530">
    <cfRule type="cellIs" dxfId="418" priority="514" operator="equal">
      <formula>0</formula>
    </cfRule>
    <cfRule type="cellIs" dxfId="417" priority="515" operator="equal">
      <formula>1</formula>
    </cfRule>
  </conditionalFormatting>
  <conditionalFormatting sqref="S6:S116">
    <cfRule type="cellIs" dxfId="416" priority="510" operator="equal">
      <formula>0</formula>
    </cfRule>
    <cfRule type="cellIs" dxfId="415" priority="511" operator="equal">
      <formula>1</formula>
    </cfRule>
  </conditionalFormatting>
  <conditionalFormatting sqref="M11:N11">
    <cfRule type="cellIs" dxfId="414" priority="506" operator="equal">
      <formula>0</formula>
    </cfRule>
    <cfRule type="cellIs" dxfId="413" priority="507" operator="equal">
      <formula>1</formula>
    </cfRule>
  </conditionalFormatting>
  <conditionalFormatting sqref="M16:N16">
    <cfRule type="cellIs" dxfId="412" priority="504" operator="equal">
      <formula>0</formula>
    </cfRule>
    <cfRule type="cellIs" dxfId="411" priority="505" operator="equal">
      <formula>1</formula>
    </cfRule>
  </conditionalFormatting>
  <conditionalFormatting sqref="M29:N29">
    <cfRule type="cellIs" dxfId="410" priority="502" operator="equal">
      <formula>0</formula>
    </cfRule>
    <cfRule type="cellIs" dxfId="409" priority="503" operator="equal">
      <formula>1</formula>
    </cfRule>
  </conditionalFormatting>
  <conditionalFormatting sqref="M38:N38">
    <cfRule type="cellIs" dxfId="408" priority="500" operator="equal">
      <formula>0</formula>
    </cfRule>
    <cfRule type="cellIs" dxfId="407" priority="501" operator="equal">
      <formula>1</formula>
    </cfRule>
  </conditionalFormatting>
  <conditionalFormatting sqref="M49:N49">
    <cfRule type="cellIs" dxfId="406" priority="498" operator="equal">
      <formula>0</formula>
    </cfRule>
    <cfRule type="cellIs" dxfId="405" priority="499" operator="equal">
      <formula>1</formula>
    </cfRule>
  </conditionalFormatting>
  <conditionalFormatting sqref="M57:N57">
    <cfRule type="cellIs" dxfId="404" priority="496" operator="equal">
      <formula>0</formula>
    </cfRule>
    <cfRule type="cellIs" dxfId="403" priority="497" operator="equal">
      <formula>1</formula>
    </cfRule>
  </conditionalFormatting>
  <conditionalFormatting sqref="M66:N66">
    <cfRule type="cellIs" dxfId="402" priority="494" operator="equal">
      <formula>0</formula>
    </cfRule>
    <cfRule type="cellIs" dxfId="401" priority="495" operator="equal">
      <formula>1</formula>
    </cfRule>
  </conditionalFormatting>
  <conditionalFormatting sqref="M74:N74">
    <cfRule type="cellIs" dxfId="400" priority="492" operator="equal">
      <formula>0</formula>
    </cfRule>
    <cfRule type="cellIs" dxfId="399" priority="493" operator="equal">
      <formula>1</formula>
    </cfRule>
  </conditionalFormatting>
  <conditionalFormatting sqref="M83:N83">
    <cfRule type="cellIs" dxfId="398" priority="490" operator="equal">
      <formula>0</formula>
    </cfRule>
    <cfRule type="cellIs" dxfId="397" priority="491" operator="equal">
      <formula>1</formula>
    </cfRule>
  </conditionalFormatting>
  <conditionalFormatting sqref="M97:N97">
    <cfRule type="cellIs" dxfId="396" priority="488" operator="equal">
      <formula>0</formula>
    </cfRule>
    <cfRule type="cellIs" dxfId="395" priority="489" operator="equal">
      <formula>1</formula>
    </cfRule>
  </conditionalFormatting>
  <conditionalFormatting sqref="M105:N105">
    <cfRule type="cellIs" dxfId="394" priority="486" operator="equal">
      <formula>0</formula>
    </cfRule>
    <cfRule type="cellIs" dxfId="393" priority="487" operator="equal">
      <formula>1</formula>
    </cfRule>
  </conditionalFormatting>
  <conditionalFormatting sqref="M113:N113">
    <cfRule type="cellIs" dxfId="392" priority="484" operator="equal">
      <formula>0</formula>
    </cfRule>
    <cfRule type="cellIs" dxfId="391" priority="485" operator="equal">
      <formula>1</formula>
    </cfRule>
  </conditionalFormatting>
  <conditionalFormatting sqref="M125:N125">
    <cfRule type="cellIs" dxfId="390" priority="482" operator="equal">
      <formula>0</formula>
    </cfRule>
    <cfRule type="cellIs" dxfId="389" priority="483" operator="equal">
      <formula>1</formula>
    </cfRule>
  </conditionalFormatting>
  <conditionalFormatting sqref="M135:N135">
    <cfRule type="cellIs" dxfId="388" priority="480" operator="equal">
      <formula>0</formula>
    </cfRule>
    <cfRule type="cellIs" dxfId="387" priority="481" operator="equal">
      <formula>1</formula>
    </cfRule>
  </conditionalFormatting>
  <conditionalFormatting sqref="M148:N148">
    <cfRule type="cellIs" dxfId="386" priority="478" operator="equal">
      <formula>0</formula>
    </cfRule>
    <cfRule type="cellIs" dxfId="385" priority="479" operator="equal">
      <formula>1</formula>
    </cfRule>
  </conditionalFormatting>
  <conditionalFormatting sqref="M163:N163">
    <cfRule type="cellIs" dxfId="384" priority="476" operator="equal">
      <formula>0</formula>
    </cfRule>
    <cfRule type="cellIs" dxfId="383" priority="477" operator="equal">
      <formula>1</formula>
    </cfRule>
  </conditionalFormatting>
  <conditionalFormatting sqref="M174:N174">
    <cfRule type="cellIs" dxfId="382" priority="474" operator="equal">
      <formula>0</formula>
    </cfRule>
    <cfRule type="cellIs" dxfId="381" priority="475" operator="equal">
      <formula>1</formula>
    </cfRule>
  </conditionalFormatting>
  <conditionalFormatting sqref="M184:N184">
    <cfRule type="cellIs" dxfId="380" priority="472" operator="equal">
      <formula>0</formula>
    </cfRule>
    <cfRule type="cellIs" dxfId="379" priority="473" operator="equal">
      <formula>1</formula>
    </cfRule>
  </conditionalFormatting>
  <conditionalFormatting sqref="M194:N194">
    <cfRule type="cellIs" dxfId="378" priority="470" operator="equal">
      <formula>0</formula>
    </cfRule>
    <cfRule type="cellIs" dxfId="377" priority="471" operator="equal">
      <formula>1</formula>
    </cfRule>
  </conditionalFormatting>
  <conditionalFormatting sqref="M204:N204">
    <cfRule type="cellIs" dxfId="376" priority="468" operator="equal">
      <formula>0</formula>
    </cfRule>
    <cfRule type="cellIs" dxfId="375" priority="469" operator="equal">
      <formula>1</formula>
    </cfRule>
  </conditionalFormatting>
  <conditionalFormatting sqref="M211:N211">
    <cfRule type="cellIs" dxfId="374" priority="466" operator="equal">
      <formula>0</formula>
    </cfRule>
    <cfRule type="cellIs" dxfId="373" priority="467" operator="equal">
      <formula>1</formula>
    </cfRule>
  </conditionalFormatting>
  <conditionalFormatting sqref="M224:N224">
    <cfRule type="cellIs" dxfId="372" priority="464" operator="equal">
      <formula>0</formula>
    </cfRule>
    <cfRule type="cellIs" dxfId="371" priority="465" operator="equal">
      <formula>1</formula>
    </cfRule>
  </conditionalFormatting>
  <conditionalFormatting sqref="M240:N240">
    <cfRule type="cellIs" dxfId="370" priority="462" operator="equal">
      <formula>0</formula>
    </cfRule>
    <cfRule type="cellIs" dxfId="369" priority="463" operator="equal">
      <formula>1</formula>
    </cfRule>
  </conditionalFormatting>
  <conditionalFormatting sqref="M253:N253">
    <cfRule type="cellIs" dxfId="368" priority="460" operator="equal">
      <formula>0</formula>
    </cfRule>
    <cfRule type="cellIs" dxfId="367" priority="461" operator="equal">
      <formula>1</formula>
    </cfRule>
  </conditionalFormatting>
  <conditionalFormatting sqref="M259:N259">
    <cfRule type="cellIs" dxfId="366" priority="458" operator="equal">
      <formula>0</formula>
    </cfRule>
    <cfRule type="cellIs" dxfId="365" priority="459" operator="equal">
      <formula>1</formula>
    </cfRule>
  </conditionalFormatting>
  <conditionalFormatting sqref="M265:N265">
    <cfRule type="cellIs" dxfId="364" priority="456" operator="equal">
      <formula>0</formula>
    </cfRule>
    <cfRule type="cellIs" dxfId="363" priority="457" operator="equal">
      <formula>1</formula>
    </cfRule>
  </conditionalFormatting>
  <conditionalFormatting sqref="M273:N273">
    <cfRule type="cellIs" dxfId="362" priority="454" operator="equal">
      <formula>0</formula>
    </cfRule>
    <cfRule type="cellIs" dxfId="361" priority="455" operator="equal">
      <formula>1</formula>
    </cfRule>
  </conditionalFormatting>
  <conditionalFormatting sqref="M281:N281">
    <cfRule type="cellIs" dxfId="360" priority="452" operator="equal">
      <formula>0</formula>
    </cfRule>
    <cfRule type="cellIs" dxfId="359" priority="453" operator="equal">
      <formula>1</formula>
    </cfRule>
  </conditionalFormatting>
  <conditionalFormatting sqref="M290:N290">
    <cfRule type="cellIs" dxfId="358" priority="450" operator="equal">
      <formula>0</formula>
    </cfRule>
    <cfRule type="cellIs" dxfId="357" priority="451" operator="equal">
      <formula>1</formula>
    </cfRule>
  </conditionalFormatting>
  <conditionalFormatting sqref="M299:N299">
    <cfRule type="cellIs" dxfId="356" priority="448" operator="equal">
      <formula>0</formula>
    </cfRule>
    <cfRule type="cellIs" dxfId="355" priority="449" operator="equal">
      <formula>1</formula>
    </cfRule>
  </conditionalFormatting>
  <conditionalFormatting sqref="M308:N308">
    <cfRule type="cellIs" dxfId="354" priority="446" operator="equal">
      <formula>0</formula>
    </cfRule>
    <cfRule type="cellIs" dxfId="353" priority="447" operator="equal">
      <formula>1</formula>
    </cfRule>
  </conditionalFormatting>
  <conditionalFormatting sqref="M317:N317">
    <cfRule type="cellIs" dxfId="352" priority="444" operator="equal">
      <formula>0</formula>
    </cfRule>
    <cfRule type="cellIs" dxfId="351" priority="445" operator="equal">
      <formula>1</formula>
    </cfRule>
  </conditionalFormatting>
  <conditionalFormatting sqref="M326:N326">
    <cfRule type="cellIs" dxfId="350" priority="442" operator="equal">
      <formula>0</formula>
    </cfRule>
    <cfRule type="cellIs" dxfId="349" priority="443" operator="equal">
      <formula>1</formula>
    </cfRule>
  </conditionalFormatting>
  <conditionalFormatting sqref="M335:N335">
    <cfRule type="cellIs" dxfId="348" priority="440" operator="equal">
      <formula>0</formula>
    </cfRule>
    <cfRule type="cellIs" dxfId="347" priority="441" operator="equal">
      <formula>1</formula>
    </cfRule>
  </conditionalFormatting>
  <conditionalFormatting sqref="M344:N344">
    <cfRule type="cellIs" dxfId="346" priority="438" operator="equal">
      <formula>0</formula>
    </cfRule>
    <cfRule type="cellIs" dxfId="345" priority="439" operator="equal">
      <formula>1</formula>
    </cfRule>
  </conditionalFormatting>
  <conditionalFormatting sqref="M353:N353">
    <cfRule type="cellIs" dxfId="344" priority="436" operator="equal">
      <formula>0</formula>
    </cfRule>
    <cfRule type="cellIs" dxfId="343" priority="437" operator="equal">
      <formula>1</formula>
    </cfRule>
  </conditionalFormatting>
  <conditionalFormatting sqref="M362:N362">
    <cfRule type="cellIs" dxfId="342" priority="434" operator="equal">
      <formula>0</formula>
    </cfRule>
    <cfRule type="cellIs" dxfId="341" priority="435" operator="equal">
      <formula>1</formula>
    </cfRule>
  </conditionalFormatting>
  <conditionalFormatting sqref="M371:N371">
    <cfRule type="cellIs" dxfId="340" priority="432" operator="equal">
      <formula>0</formula>
    </cfRule>
    <cfRule type="cellIs" dxfId="339" priority="433" operator="equal">
      <formula>1</formula>
    </cfRule>
  </conditionalFormatting>
  <conditionalFormatting sqref="M380:N380">
    <cfRule type="cellIs" dxfId="338" priority="430" operator="equal">
      <formula>0</formula>
    </cfRule>
    <cfRule type="cellIs" dxfId="337" priority="431" operator="equal">
      <formula>1</formula>
    </cfRule>
  </conditionalFormatting>
  <conditionalFormatting sqref="M389:N389">
    <cfRule type="cellIs" dxfId="336" priority="428" operator="equal">
      <formula>0</formula>
    </cfRule>
    <cfRule type="cellIs" dxfId="335" priority="429" operator="equal">
      <formula>1</formula>
    </cfRule>
  </conditionalFormatting>
  <conditionalFormatting sqref="M398:N398">
    <cfRule type="cellIs" dxfId="334" priority="426" operator="equal">
      <formula>0</formula>
    </cfRule>
    <cfRule type="cellIs" dxfId="333" priority="427" operator="equal">
      <formula>1</formula>
    </cfRule>
  </conditionalFormatting>
  <conditionalFormatting sqref="M407:N407">
    <cfRule type="cellIs" dxfId="332" priority="424" operator="equal">
      <formula>0</formula>
    </cfRule>
    <cfRule type="cellIs" dxfId="331" priority="425" operator="equal">
      <formula>1</formula>
    </cfRule>
  </conditionalFormatting>
  <conditionalFormatting sqref="M416:N416">
    <cfRule type="cellIs" dxfId="330" priority="422" operator="equal">
      <formula>0</formula>
    </cfRule>
    <cfRule type="cellIs" dxfId="329" priority="423" operator="equal">
      <formula>1</formula>
    </cfRule>
  </conditionalFormatting>
  <conditionalFormatting sqref="M427:N427">
    <cfRule type="cellIs" dxfId="328" priority="420" operator="equal">
      <formula>0</formula>
    </cfRule>
    <cfRule type="cellIs" dxfId="327" priority="421" operator="equal">
      <formula>1</formula>
    </cfRule>
  </conditionalFormatting>
  <conditionalFormatting sqref="M436:N436">
    <cfRule type="cellIs" dxfId="326" priority="418" operator="equal">
      <formula>0</formula>
    </cfRule>
    <cfRule type="cellIs" dxfId="325" priority="419" operator="equal">
      <formula>1</formula>
    </cfRule>
  </conditionalFormatting>
  <conditionalFormatting sqref="M445:N445">
    <cfRule type="cellIs" dxfId="324" priority="416" operator="equal">
      <formula>0</formula>
    </cfRule>
    <cfRule type="cellIs" dxfId="323" priority="417" operator="equal">
      <formula>1</formula>
    </cfRule>
  </conditionalFormatting>
  <conditionalFormatting sqref="M460:N460">
    <cfRule type="cellIs" dxfId="322" priority="414" operator="equal">
      <formula>0</formula>
    </cfRule>
    <cfRule type="cellIs" dxfId="321" priority="415" operator="equal">
      <formula>1</formula>
    </cfRule>
  </conditionalFormatting>
  <conditionalFormatting sqref="M467:N467">
    <cfRule type="cellIs" dxfId="320" priority="412" operator="equal">
      <formula>0</formula>
    </cfRule>
    <cfRule type="cellIs" dxfId="319" priority="413" operator="equal">
      <formula>1</formula>
    </cfRule>
  </conditionalFormatting>
  <conditionalFormatting sqref="M478:N478">
    <cfRule type="cellIs" dxfId="318" priority="410" operator="equal">
      <formula>0</formula>
    </cfRule>
    <cfRule type="cellIs" dxfId="317" priority="411" operator="equal">
      <formula>1</formula>
    </cfRule>
  </conditionalFormatting>
  <conditionalFormatting sqref="M483:N483">
    <cfRule type="cellIs" dxfId="316" priority="408" operator="equal">
      <formula>0</formula>
    </cfRule>
    <cfRule type="cellIs" dxfId="315" priority="409" operator="equal">
      <formula>1</formula>
    </cfRule>
  </conditionalFormatting>
  <conditionalFormatting sqref="M490:N490">
    <cfRule type="cellIs" dxfId="314" priority="406" operator="equal">
      <formula>0</formula>
    </cfRule>
    <cfRule type="cellIs" dxfId="313" priority="407" operator="equal">
      <formula>1</formula>
    </cfRule>
  </conditionalFormatting>
  <conditionalFormatting sqref="M500:N500">
    <cfRule type="cellIs" dxfId="312" priority="404" operator="equal">
      <formula>0</formula>
    </cfRule>
    <cfRule type="cellIs" dxfId="311" priority="405" operator="equal">
      <formula>1</formula>
    </cfRule>
  </conditionalFormatting>
  <conditionalFormatting sqref="M530:N530">
    <cfRule type="cellIs" dxfId="310" priority="402" operator="equal">
      <formula>0</formula>
    </cfRule>
    <cfRule type="cellIs" dxfId="309" priority="403" operator="equal">
      <formula>1</formula>
    </cfRule>
  </conditionalFormatting>
  <conditionalFormatting sqref="Z1:AG3">
    <cfRule type="cellIs" dxfId="308" priority="398" operator="equal">
      <formula>0</formula>
    </cfRule>
    <cfRule type="cellIs" dxfId="307" priority="399" operator="equal">
      <formula>1</formula>
    </cfRule>
  </conditionalFormatting>
  <conditionalFormatting sqref="K545">
    <cfRule type="cellIs" dxfId="306" priority="396" operator="equal">
      <formula>0</formula>
    </cfRule>
    <cfRule type="cellIs" dxfId="305" priority="397" operator="equal">
      <formula>1</formula>
    </cfRule>
  </conditionalFormatting>
  <conditionalFormatting sqref="J545">
    <cfRule type="cellIs" dxfId="304" priority="394" operator="equal">
      <formula>0</formula>
    </cfRule>
    <cfRule type="cellIs" dxfId="303" priority="395" operator="equal">
      <formula>1</formula>
    </cfRule>
  </conditionalFormatting>
  <conditionalFormatting sqref="M545:N545">
    <cfRule type="cellIs" dxfId="302" priority="392" operator="equal">
      <formula>0</formula>
    </cfRule>
    <cfRule type="cellIs" dxfId="301" priority="393" operator="equal">
      <formula>1</formula>
    </cfRule>
  </conditionalFormatting>
  <conditionalFormatting sqref="K564">
    <cfRule type="cellIs" dxfId="300" priority="381" operator="equal">
      <formula>0</formula>
    </cfRule>
    <cfRule type="cellIs" dxfId="299" priority="382" operator="equal">
      <formula>1</formula>
    </cfRule>
  </conditionalFormatting>
  <conditionalFormatting sqref="J564">
    <cfRule type="cellIs" dxfId="298" priority="379" operator="equal">
      <formula>0</formula>
    </cfRule>
    <cfRule type="cellIs" dxfId="297" priority="380" operator="equal">
      <formula>1</formula>
    </cfRule>
  </conditionalFormatting>
  <conditionalFormatting sqref="M564:N564">
    <cfRule type="cellIs" dxfId="296" priority="377" operator="equal">
      <formula>0</formula>
    </cfRule>
    <cfRule type="cellIs" dxfId="295" priority="378" operator="equal">
      <formula>1</formula>
    </cfRule>
  </conditionalFormatting>
  <conditionalFormatting sqref="K575">
    <cfRule type="cellIs" dxfId="294" priority="375" operator="equal">
      <formula>0</formula>
    </cfRule>
    <cfRule type="cellIs" dxfId="293" priority="376" operator="equal">
      <formula>1</formula>
    </cfRule>
  </conditionalFormatting>
  <conditionalFormatting sqref="J575">
    <cfRule type="cellIs" dxfId="292" priority="373" operator="equal">
      <formula>0</formula>
    </cfRule>
    <cfRule type="cellIs" dxfId="291" priority="374" operator="equal">
      <formula>1</formula>
    </cfRule>
  </conditionalFormatting>
  <conditionalFormatting sqref="M575:N575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586">
    <cfRule type="cellIs" dxfId="288" priority="369" operator="equal">
      <formula>0</formula>
    </cfRule>
    <cfRule type="cellIs" dxfId="287" priority="370" operator="equal">
      <formula>1</formula>
    </cfRule>
  </conditionalFormatting>
  <conditionalFormatting sqref="J586">
    <cfRule type="cellIs" dxfId="286" priority="367" operator="equal">
      <formula>0</formula>
    </cfRule>
    <cfRule type="cellIs" dxfId="285" priority="368" operator="equal">
      <formula>1</formula>
    </cfRule>
  </conditionalFormatting>
  <conditionalFormatting sqref="M586:N586">
    <cfRule type="cellIs" dxfId="284" priority="365" operator="equal">
      <formula>0</formula>
    </cfRule>
    <cfRule type="cellIs" dxfId="283" priority="366" operator="equal">
      <formula>1</formula>
    </cfRule>
  </conditionalFormatting>
  <conditionalFormatting sqref="J317">
    <cfRule type="cellIs" dxfId="282" priority="363" operator="equal">
      <formula>0</formula>
    </cfRule>
    <cfRule type="cellIs" dxfId="281" priority="364" operator="equal">
      <formula>1</formula>
    </cfRule>
  </conditionalFormatting>
  <conditionalFormatting sqref="J326">
    <cfRule type="cellIs" dxfId="280" priority="361" operator="equal">
      <formula>0</formula>
    </cfRule>
    <cfRule type="cellIs" dxfId="279" priority="362" operator="equal">
      <formula>1</formula>
    </cfRule>
  </conditionalFormatting>
  <conditionalFormatting sqref="J335">
    <cfRule type="cellIs" dxfId="278" priority="359" operator="equal">
      <formula>0</formula>
    </cfRule>
    <cfRule type="cellIs" dxfId="277" priority="360" operator="equal">
      <formula>1</formula>
    </cfRule>
  </conditionalFormatting>
  <conditionalFormatting sqref="J344">
    <cfRule type="cellIs" dxfId="276" priority="357" operator="equal">
      <formula>0</formula>
    </cfRule>
    <cfRule type="cellIs" dxfId="275" priority="358" operator="equal">
      <formula>1</formula>
    </cfRule>
  </conditionalFormatting>
  <conditionalFormatting sqref="J353">
    <cfRule type="cellIs" dxfId="274" priority="355" operator="equal">
      <formula>0</formula>
    </cfRule>
    <cfRule type="cellIs" dxfId="273" priority="356" operator="equal">
      <formula>1</formula>
    </cfRule>
  </conditionalFormatting>
  <conditionalFormatting sqref="J362">
    <cfRule type="cellIs" dxfId="272" priority="353" operator="equal">
      <formula>0</formula>
    </cfRule>
    <cfRule type="cellIs" dxfId="271" priority="354" operator="equal">
      <formula>1</formula>
    </cfRule>
  </conditionalFormatting>
  <conditionalFormatting sqref="J389">
    <cfRule type="cellIs" dxfId="270" priority="351" operator="equal">
      <formula>0</formula>
    </cfRule>
    <cfRule type="cellIs" dxfId="269" priority="352" operator="equal">
      <formula>1</formula>
    </cfRule>
  </conditionalFormatting>
  <conditionalFormatting sqref="J398">
    <cfRule type="cellIs" dxfId="268" priority="349" operator="equal">
      <formula>0</formula>
    </cfRule>
    <cfRule type="cellIs" dxfId="267" priority="350" operator="equal">
      <formula>1</formula>
    </cfRule>
  </conditionalFormatting>
  <conditionalFormatting sqref="J407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427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J436">
    <cfRule type="cellIs" dxfId="262" priority="343" operator="equal">
      <formula>0</formula>
    </cfRule>
    <cfRule type="cellIs" dxfId="261" priority="344" operator="equal">
      <formula>1</formula>
    </cfRule>
  </conditionalFormatting>
  <conditionalFormatting sqref="K593">
    <cfRule type="cellIs" dxfId="260" priority="341" operator="equal">
      <formula>0</formula>
    </cfRule>
    <cfRule type="cellIs" dxfId="259" priority="342" operator="equal">
      <formula>1</formula>
    </cfRule>
  </conditionalFormatting>
  <conditionalFormatting sqref="J593">
    <cfRule type="cellIs" dxfId="258" priority="339" operator="equal">
      <formula>0</formula>
    </cfRule>
    <cfRule type="cellIs" dxfId="257" priority="340" operator="equal">
      <formula>1</formula>
    </cfRule>
  </conditionalFormatting>
  <conditionalFormatting sqref="M593:N593">
    <cfRule type="cellIs" dxfId="256" priority="337" operator="equal">
      <formula>0</formula>
    </cfRule>
    <cfRule type="cellIs" dxfId="255" priority="338" operator="equal">
      <formula>1</formula>
    </cfRule>
  </conditionalFormatting>
  <conditionalFormatting sqref="K600">
    <cfRule type="cellIs" dxfId="254" priority="335" operator="equal">
      <formula>0</formula>
    </cfRule>
    <cfRule type="cellIs" dxfId="253" priority="336" operator="equal">
      <formula>1</formula>
    </cfRule>
  </conditionalFormatting>
  <conditionalFormatting sqref="J600">
    <cfRule type="cellIs" dxfId="252" priority="333" operator="equal">
      <formula>0</formula>
    </cfRule>
    <cfRule type="cellIs" dxfId="251" priority="334" operator="equal">
      <formula>1</formula>
    </cfRule>
  </conditionalFormatting>
  <conditionalFormatting sqref="M600:N600">
    <cfRule type="cellIs" dxfId="250" priority="331" operator="equal">
      <formula>0</formula>
    </cfRule>
    <cfRule type="cellIs" dxfId="249" priority="332" operator="equal">
      <formula>1</formula>
    </cfRule>
  </conditionalFormatting>
  <conditionalFormatting sqref="K607">
    <cfRule type="cellIs" dxfId="248" priority="329" operator="equal">
      <formula>0</formula>
    </cfRule>
    <cfRule type="cellIs" dxfId="247" priority="330" operator="equal">
      <formula>1</formula>
    </cfRule>
  </conditionalFormatting>
  <conditionalFormatting sqref="J607">
    <cfRule type="cellIs" dxfId="246" priority="323" operator="equal">
      <formula>0</formula>
    </cfRule>
    <cfRule type="cellIs" dxfId="245" priority="324" operator="equal">
      <formula>1</formula>
    </cfRule>
  </conditionalFormatting>
  <conditionalFormatting sqref="M607:N607">
    <cfRule type="cellIs" dxfId="244" priority="321" operator="equal">
      <formula>0</formula>
    </cfRule>
    <cfRule type="cellIs" dxfId="243" priority="322" operator="equal">
      <formula>1</formula>
    </cfRule>
  </conditionalFormatting>
  <conditionalFormatting sqref="K614">
    <cfRule type="cellIs" dxfId="242" priority="319" operator="equal">
      <formula>0</formula>
    </cfRule>
    <cfRule type="cellIs" dxfId="241" priority="320" operator="equal">
      <formula>1</formula>
    </cfRule>
  </conditionalFormatting>
  <conditionalFormatting sqref="J614">
    <cfRule type="cellIs" dxfId="240" priority="313" operator="equal">
      <formula>0</formula>
    </cfRule>
    <cfRule type="cellIs" dxfId="239" priority="314" operator="equal">
      <formula>1</formula>
    </cfRule>
  </conditionalFormatting>
  <conditionalFormatting sqref="M614:N614">
    <cfRule type="cellIs" dxfId="238" priority="311" operator="equal">
      <formula>0</formula>
    </cfRule>
    <cfRule type="cellIs" dxfId="237" priority="312" operator="equal">
      <formula>1</formula>
    </cfRule>
  </conditionalFormatting>
  <conditionalFormatting sqref="K621">
    <cfRule type="cellIs" dxfId="236" priority="309" operator="equal">
      <formula>0</formula>
    </cfRule>
    <cfRule type="cellIs" dxfId="235" priority="310" operator="equal">
      <formula>1</formula>
    </cfRule>
  </conditionalFormatting>
  <conditionalFormatting sqref="J621">
    <cfRule type="cellIs" dxfId="234" priority="303" operator="equal">
      <formula>0</formula>
    </cfRule>
    <cfRule type="cellIs" dxfId="233" priority="304" operator="equal">
      <formula>1</formula>
    </cfRule>
  </conditionalFormatting>
  <conditionalFormatting sqref="M621:N621">
    <cfRule type="cellIs" dxfId="232" priority="301" operator="equal">
      <formula>0</formula>
    </cfRule>
    <cfRule type="cellIs" dxfId="231" priority="302" operator="equal">
      <formula>1</formula>
    </cfRule>
  </conditionalFormatting>
  <conditionalFormatting sqref="K629">
    <cfRule type="cellIs" dxfId="230" priority="293" operator="equal">
      <formula>0</formula>
    </cfRule>
    <cfRule type="cellIs" dxfId="229" priority="294" operator="equal">
      <formula>1</formula>
    </cfRule>
  </conditionalFormatting>
  <conditionalFormatting sqref="K647">
    <cfRule type="cellIs" dxfId="228" priority="287" operator="equal">
      <formula>0</formula>
    </cfRule>
    <cfRule type="cellIs" dxfId="227" priority="288" operator="equal">
      <formula>1</formula>
    </cfRule>
  </conditionalFormatting>
  <conditionalFormatting sqref="K655">
    <cfRule type="cellIs" dxfId="226" priority="281" operator="equal">
      <formula>0</formula>
    </cfRule>
    <cfRule type="cellIs" dxfId="225" priority="282" operator="equal">
      <formula>1</formula>
    </cfRule>
  </conditionalFormatting>
  <conditionalFormatting sqref="K663">
    <cfRule type="cellIs" dxfId="224" priority="275" operator="equal">
      <formula>0</formula>
    </cfRule>
    <cfRule type="cellIs" dxfId="223" priority="276" operator="equal">
      <formula>1</formula>
    </cfRule>
  </conditionalFormatting>
  <conditionalFormatting sqref="K672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K681">
    <cfRule type="cellIs" dxfId="220" priority="263" operator="equal">
      <formula>0</formula>
    </cfRule>
    <cfRule type="cellIs" dxfId="219" priority="264" operator="equal">
      <formula>1</formula>
    </cfRule>
  </conditionalFormatting>
  <conditionalFormatting sqref="K690">
    <cfRule type="cellIs" dxfId="218" priority="257" operator="equal">
      <formula>0</formula>
    </cfRule>
    <cfRule type="cellIs" dxfId="217" priority="258" operator="equal">
      <formula>1</formula>
    </cfRule>
  </conditionalFormatting>
  <conditionalFormatting sqref="K699">
    <cfRule type="cellIs" dxfId="216" priority="251" operator="equal">
      <formula>0</formula>
    </cfRule>
    <cfRule type="cellIs" dxfId="215" priority="252" operator="equal">
      <formula>1</formula>
    </cfRule>
  </conditionalFormatting>
  <conditionalFormatting sqref="K708">
    <cfRule type="cellIs" dxfId="214" priority="245" operator="equal">
      <formula>0</formula>
    </cfRule>
    <cfRule type="cellIs" dxfId="213" priority="246" operator="equal">
      <formula>1</formula>
    </cfRule>
  </conditionalFormatting>
  <conditionalFormatting sqref="K717">
    <cfRule type="cellIs" dxfId="212" priority="239" operator="equal">
      <formula>0</formula>
    </cfRule>
    <cfRule type="cellIs" dxfId="211" priority="240" operator="equal">
      <formula>1</formula>
    </cfRule>
  </conditionalFormatting>
  <conditionalFormatting sqref="K726">
    <cfRule type="cellIs" dxfId="210" priority="233" operator="equal">
      <formula>0</formula>
    </cfRule>
    <cfRule type="cellIs" dxfId="209" priority="234" operator="equal">
      <formula>1</formula>
    </cfRule>
  </conditionalFormatting>
  <conditionalFormatting sqref="K735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K744">
    <cfRule type="cellIs" dxfId="206" priority="221" operator="equal">
      <formula>0</formula>
    </cfRule>
    <cfRule type="cellIs" dxfId="205" priority="222" operator="equal">
      <formula>1</formula>
    </cfRule>
  </conditionalFormatting>
  <conditionalFormatting sqref="K753">
    <cfRule type="cellIs" dxfId="204" priority="215" operator="equal">
      <formula>0</formula>
    </cfRule>
    <cfRule type="cellIs" dxfId="203" priority="216" operator="equal">
      <formula>1</formula>
    </cfRule>
  </conditionalFormatting>
  <conditionalFormatting sqref="K762">
    <cfRule type="cellIs" dxfId="202" priority="209" operator="equal">
      <formula>0</formula>
    </cfRule>
    <cfRule type="cellIs" dxfId="201" priority="210" operator="equal">
      <formula>1</formula>
    </cfRule>
  </conditionalFormatting>
  <conditionalFormatting sqref="K770">
    <cfRule type="cellIs" dxfId="200" priority="203" operator="equal">
      <formula>0</formula>
    </cfRule>
    <cfRule type="cellIs" dxfId="199" priority="204" operator="equal">
      <formula>1</formula>
    </cfRule>
  </conditionalFormatting>
  <conditionalFormatting sqref="K782">
    <cfRule type="cellIs" dxfId="198" priority="197" operator="equal">
      <formula>0</formula>
    </cfRule>
    <cfRule type="cellIs" dxfId="197" priority="198" operator="equal">
      <formula>1</formula>
    </cfRule>
  </conditionalFormatting>
  <conditionalFormatting sqref="K793">
    <cfRule type="cellIs" dxfId="196" priority="191" operator="equal">
      <formula>0</formula>
    </cfRule>
    <cfRule type="cellIs" dxfId="195" priority="192" operator="equal">
      <formula>1</formula>
    </cfRule>
  </conditionalFormatting>
  <conditionalFormatting sqref="K637">
    <cfRule type="cellIs" dxfId="194" priority="185" operator="equal">
      <formula>0</formula>
    </cfRule>
    <cfRule type="cellIs" dxfId="193" priority="186" operator="equal">
      <formula>1</formula>
    </cfRule>
  </conditionalFormatting>
  <conditionalFormatting sqref="J629">
    <cfRule type="cellIs" dxfId="192" priority="179" operator="equal">
      <formula>0</formula>
    </cfRule>
    <cfRule type="cellIs" dxfId="191" priority="180" operator="equal">
      <formula>1</formula>
    </cfRule>
  </conditionalFormatting>
  <conditionalFormatting sqref="M629:N629">
    <cfRule type="cellIs" dxfId="190" priority="177" operator="equal">
      <formula>0</formula>
    </cfRule>
    <cfRule type="cellIs" dxfId="189" priority="178" operator="equal">
      <formula>1</formula>
    </cfRule>
  </conditionalFormatting>
  <conditionalFormatting sqref="M637:N637">
    <cfRule type="cellIs" dxfId="188" priority="175" operator="equal">
      <formula>0</formula>
    </cfRule>
    <cfRule type="cellIs" dxfId="187" priority="176" operator="equal">
      <formula>1</formula>
    </cfRule>
  </conditionalFormatting>
  <conditionalFormatting sqref="M647:N647">
    <cfRule type="cellIs" dxfId="186" priority="173" operator="equal">
      <formula>0</formula>
    </cfRule>
    <cfRule type="cellIs" dxfId="185" priority="174" operator="equal">
      <formula>1</formula>
    </cfRule>
  </conditionalFormatting>
  <conditionalFormatting sqref="M655:N655">
    <cfRule type="cellIs" dxfId="184" priority="171" operator="equal">
      <formula>0</formula>
    </cfRule>
    <cfRule type="cellIs" dxfId="183" priority="172" operator="equal">
      <formula>1</formula>
    </cfRule>
  </conditionalFormatting>
  <conditionalFormatting sqref="M663:N663">
    <cfRule type="cellIs" dxfId="182" priority="169" operator="equal">
      <formula>0</formula>
    </cfRule>
    <cfRule type="cellIs" dxfId="181" priority="170" operator="equal">
      <formula>1</formula>
    </cfRule>
  </conditionalFormatting>
  <conditionalFormatting sqref="M672:N672">
    <cfRule type="cellIs" dxfId="180" priority="167" operator="equal">
      <formula>0</formula>
    </cfRule>
    <cfRule type="cellIs" dxfId="179" priority="168" operator="equal">
      <formula>1</formula>
    </cfRule>
  </conditionalFormatting>
  <conditionalFormatting sqref="M681:N681">
    <cfRule type="cellIs" dxfId="178" priority="165" operator="equal">
      <formula>0</formula>
    </cfRule>
    <cfRule type="cellIs" dxfId="177" priority="166" operator="equal">
      <formula>1</formula>
    </cfRule>
  </conditionalFormatting>
  <conditionalFormatting sqref="M690:N690">
    <cfRule type="cellIs" dxfId="176" priority="163" operator="equal">
      <formula>0</formula>
    </cfRule>
    <cfRule type="cellIs" dxfId="175" priority="164" operator="equal">
      <formula>1</formula>
    </cfRule>
  </conditionalFormatting>
  <conditionalFormatting sqref="M699:N699">
    <cfRule type="cellIs" dxfId="174" priority="161" operator="equal">
      <formula>0</formula>
    </cfRule>
    <cfRule type="cellIs" dxfId="173" priority="162" operator="equal">
      <formula>1</formula>
    </cfRule>
  </conditionalFormatting>
  <conditionalFormatting sqref="M708:N708">
    <cfRule type="cellIs" dxfId="172" priority="159" operator="equal">
      <formula>0</formula>
    </cfRule>
    <cfRule type="cellIs" dxfId="171" priority="160" operator="equal">
      <formula>1</formula>
    </cfRule>
  </conditionalFormatting>
  <conditionalFormatting sqref="M717:N717">
    <cfRule type="cellIs" dxfId="170" priority="157" operator="equal">
      <formula>0</formula>
    </cfRule>
    <cfRule type="cellIs" dxfId="169" priority="158" operator="equal">
      <formula>1</formula>
    </cfRule>
  </conditionalFormatting>
  <conditionalFormatting sqref="M726:N726">
    <cfRule type="cellIs" dxfId="168" priority="155" operator="equal">
      <formula>0</formula>
    </cfRule>
    <cfRule type="cellIs" dxfId="167" priority="156" operator="equal">
      <formula>1</formula>
    </cfRule>
  </conditionalFormatting>
  <conditionalFormatting sqref="M735:N735">
    <cfRule type="cellIs" dxfId="166" priority="153" operator="equal">
      <formula>0</formula>
    </cfRule>
    <cfRule type="cellIs" dxfId="165" priority="154" operator="equal">
      <formula>1</formula>
    </cfRule>
  </conditionalFormatting>
  <conditionalFormatting sqref="M744:N744">
    <cfRule type="cellIs" dxfId="164" priority="151" operator="equal">
      <formula>0</formula>
    </cfRule>
    <cfRule type="cellIs" dxfId="163" priority="152" operator="equal">
      <formula>1</formula>
    </cfRule>
  </conditionalFormatting>
  <conditionalFormatting sqref="M753:N753">
    <cfRule type="cellIs" dxfId="162" priority="149" operator="equal">
      <formula>0</formula>
    </cfRule>
    <cfRule type="cellIs" dxfId="161" priority="150" operator="equal">
      <formula>1</formula>
    </cfRule>
  </conditionalFormatting>
  <conditionalFormatting sqref="M762:N762">
    <cfRule type="cellIs" dxfId="160" priority="147" operator="equal">
      <formula>0</formula>
    </cfRule>
    <cfRule type="cellIs" dxfId="159" priority="148" operator="equal">
      <formula>1</formula>
    </cfRule>
  </conditionalFormatting>
  <conditionalFormatting sqref="M770:N770">
    <cfRule type="cellIs" dxfId="158" priority="145" operator="equal">
      <formula>0</formula>
    </cfRule>
    <cfRule type="cellIs" dxfId="157" priority="146" operator="equal">
      <formula>1</formula>
    </cfRule>
  </conditionalFormatting>
  <conditionalFormatting sqref="M782:N782">
    <cfRule type="cellIs" dxfId="156" priority="143" operator="equal">
      <formula>0</formula>
    </cfRule>
    <cfRule type="cellIs" dxfId="155" priority="144" operator="equal">
      <formula>1</formula>
    </cfRule>
  </conditionalFormatting>
  <conditionalFormatting sqref="M793:N793">
    <cfRule type="cellIs" dxfId="154" priority="141" operator="equal">
      <formula>0</formula>
    </cfRule>
    <cfRule type="cellIs" dxfId="153" priority="142" operator="equal">
      <formula>1</formula>
    </cfRule>
  </conditionalFormatting>
  <conditionalFormatting sqref="J637">
    <cfRule type="cellIs" dxfId="152" priority="139" operator="equal">
      <formula>0</formula>
    </cfRule>
    <cfRule type="cellIs" dxfId="151" priority="140" operator="equal">
      <formula>1</formula>
    </cfRule>
  </conditionalFormatting>
  <conditionalFormatting sqref="J647">
    <cfRule type="cellIs" dxfId="150" priority="137" operator="equal">
      <formula>0</formula>
    </cfRule>
    <cfRule type="cellIs" dxfId="149" priority="138" operator="equal">
      <formula>1</formula>
    </cfRule>
  </conditionalFormatting>
  <conditionalFormatting sqref="J655">
    <cfRule type="cellIs" dxfId="148" priority="135" operator="equal">
      <formula>0</formula>
    </cfRule>
    <cfRule type="cellIs" dxfId="147" priority="136" operator="equal">
      <formula>1</formula>
    </cfRule>
  </conditionalFormatting>
  <conditionalFormatting sqref="J663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672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J681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J690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699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J708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J717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7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J735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J744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753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J793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J762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770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J782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801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M801:N801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J801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810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M810:N810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J810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815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M815:N815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J815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821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M821:N821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J821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827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M827:N827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J827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833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M833:N833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J833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843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M843:N843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J843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849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M849:N849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J849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855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M855:N855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J855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861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M861:N861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J861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867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M867:N867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J867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873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M873:N873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J873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879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M879:N879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J879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885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M885:N885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J885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891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M891:N891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J891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897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897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897:N897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899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M899:N899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J899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2376</v>
      </c>
    </row>
    <row r="29" spans="1:3">
      <c r="A29" s="189">
        <v>2.12</v>
      </c>
      <c r="B29" s="192">
        <v>46103.925844907404</v>
      </c>
      <c r="C29" s="6" t="s">
        <v>2377</v>
      </c>
    </row>
    <row r="30" spans="1:3">
      <c r="A30" s="189">
        <v>2.13</v>
      </c>
      <c r="B30" s="192">
        <v>46103.960625</v>
      </c>
      <c r="C30" s="6" t="s">
        <v>2382</v>
      </c>
    </row>
    <row r="31" spans="1:3">
      <c r="A31" s="189">
        <v>2.13</v>
      </c>
      <c r="B31" s="192">
        <v>46103.960625</v>
      </c>
      <c r="C31" s="6" t="s">
        <v>2383</v>
      </c>
    </row>
    <row r="32" spans="1:3">
      <c r="A32" s="188">
        <v>2.14</v>
      </c>
      <c r="B32" s="193">
        <v>46109.8516087963</v>
      </c>
      <c r="C32" t="s">
        <v>2385</v>
      </c>
    </row>
    <row r="33" spans="1:3">
      <c r="A33" s="188">
        <v>2.14</v>
      </c>
      <c r="B33" s="193">
        <v>46109.8516087963</v>
      </c>
      <c r="C33" t="s">
        <v>2386</v>
      </c>
    </row>
    <row r="34" spans="1:3">
      <c r="A34" s="188">
        <v>2.15</v>
      </c>
      <c r="B34" s="193">
        <v>46109.854571759257</v>
      </c>
      <c r="C34" t="s">
        <v>2393</v>
      </c>
    </row>
    <row r="35" spans="1:3">
      <c r="A35" s="188">
        <v>2.15</v>
      </c>
      <c r="B35" s="193">
        <v>46109.854571759257</v>
      </c>
      <c r="C35" t="s">
        <v>2394</v>
      </c>
    </row>
    <row r="36" spans="1:3">
      <c r="A36" s="188">
        <v>2.16</v>
      </c>
      <c r="B36" s="193">
        <v>46109.880381944444</v>
      </c>
      <c r="C36" t="s">
        <v>2396</v>
      </c>
    </row>
    <row r="37" spans="1:3">
      <c r="A37" s="188">
        <v>2.16</v>
      </c>
      <c r="B37" s="193">
        <v>46109.880381944444</v>
      </c>
      <c r="C37" t="s">
        <v>2397</v>
      </c>
    </row>
    <row r="38" spans="1:3">
      <c r="A38" s="188">
        <v>2.17</v>
      </c>
      <c r="B38" s="193">
        <v>46109.88077546296</v>
      </c>
      <c r="C38" t="s">
        <v>2398</v>
      </c>
    </row>
    <row r="39" spans="1:3">
      <c r="A39" s="188">
        <v>2.17</v>
      </c>
      <c r="B39" s="193">
        <v>46109.880787037036</v>
      </c>
      <c r="C39" t="s">
        <v>2399</v>
      </c>
    </row>
    <row r="40" spans="1:3">
      <c r="A40" s="188">
        <v>2.1800000000000002</v>
      </c>
      <c r="B40" s="193">
        <v>46109.883946759262</v>
      </c>
      <c r="C40" t="s">
        <v>2400</v>
      </c>
    </row>
    <row r="41" spans="1:3">
      <c r="A41" s="188">
        <v>2.1800000000000002</v>
      </c>
      <c r="B41" s="193">
        <v>46109.883958333332</v>
      </c>
      <c r="C41" t="s">
        <v>2401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4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3" priority="2" operator="notEqual">
      <formula>0</formula>
    </cfRule>
  </conditionalFormatting>
  <conditionalFormatting sqref="J2:J637">
    <cfRule type="cellIs" dxfId="12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27" workbookViewId="0">
      <selection activeCell="A50" sqref="A50:D54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0" t="s">
        <v>1203</v>
      </c>
      <c r="B1" s="261"/>
      <c r="C1" s="261"/>
      <c r="D1" s="262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 ht="15.75" thickBot="1">
      <c r="A6" s="95"/>
      <c r="B6" s="96" t="s">
        <v>147</v>
      </c>
      <c r="C6" s="97" t="s">
        <v>152</v>
      </c>
      <c r="D6" s="98" t="s">
        <v>221</v>
      </c>
    </row>
    <row r="7" spans="1:10" ht="15.75" thickBot="1">
      <c r="A7" s="95"/>
      <c r="B7" s="96" t="s">
        <v>147</v>
      </c>
      <c r="C7" s="97" t="s">
        <v>188</v>
      </c>
      <c r="D7" s="98" t="s">
        <v>221</v>
      </c>
      <c r="G7" s="260" t="s">
        <v>2395</v>
      </c>
      <c r="H7" s="261"/>
      <c r="I7" s="261"/>
      <c r="J7" s="262"/>
    </row>
    <row r="8" spans="1:10" ht="15.75" thickBot="1">
      <c r="A8" s="95"/>
      <c r="B8" s="96"/>
      <c r="C8" s="97"/>
      <c r="D8" s="98"/>
      <c r="G8" s="53" t="s">
        <v>131</v>
      </c>
      <c r="H8" s="41" t="s">
        <v>148</v>
      </c>
      <c r="I8" s="53" t="s">
        <v>129</v>
      </c>
      <c r="J8" s="68" t="s">
        <v>130</v>
      </c>
    </row>
    <row r="9" spans="1:10">
      <c r="A9" s="95"/>
      <c r="B9" s="96"/>
      <c r="C9" s="97"/>
      <c r="D9" s="98"/>
      <c r="G9" s="95"/>
      <c r="H9" s="96" t="s">
        <v>2384</v>
      </c>
      <c r="I9" s="153" t="s">
        <v>1149</v>
      </c>
      <c r="J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870</v>
      </c>
      <c r="I10" s="153" t="s">
        <v>2387</v>
      </c>
      <c r="J10" s="98"/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2314</v>
      </c>
      <c r="I11" s="153" t="s">
        <v>2388</v>
      </c>
      <c r="J11" s="98"/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870</v>
      </c>
      <c r="I12" s="153" t="s">
        <v>2389</v>
      </c>
      <c r="J12" s="98"/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2314</v>
      </c>
      <c r="I13" s="153" t="s">
        <v>2388</v>
      </c>
      <c r="J13" s="98"/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870</v>
      </c>
      <c r="I14" s="153" t="s">
        <v>2390</v>
      </c>
      <c r="J14" s="98"/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2314</v>
      </c>
      <c r="I15" s="153" t="s">
        <v>2388</v>
      </c>
      <c r="J15" s="98"/>
    </row>
    <row r="16" spans="1:10">
      <c r="A16" s="95"/>
      <c r="B16" s="96" t="s">
        <v>358</v>
      </c>
      <c r="C16" s="97" t="s">
        <v>1023</v>
      </c>
      <c r="D16" s="98"/>
      <c r="G16" s="95"/>
      <c r="H16" s="96" t="s">
        <v>870</v>
      </c>
      <c r="I16" s="153" t="s">
        <v>2390</v>
      </c>
      <c r="J16" s="98"/>
    </row>
    <row r="17" spans="1:10">
      <c r="A17" s="95"/>
      <c r="B17" s="96"/>
      <c r="C17" s="97"/>
      <c r="D17" s="98"/>
      <c r="G17" s="95"/>
      <c r="H17" s="96" t="s">
        <v>2314</v>
      </c>
      <c r="I17" s="153" t="s">
        <v>2388</v>
      </c>
      <c r="J17" s="98"/>
    </row>
    <row r="18" spans="1:10">
      <c r="A18" s="95" t="s">
        <v>1024</v>
      </c>
      <c r="B18" s="96" t="s">
        <v>187</v>
      </c>
      <c r="C18" s="97" t="s">
        <v>152</v>
      </c>
      <c r="D18" s="98" t="s">
        <v>188</v>
      </c>
      <c r="G18" s="95"/>
      <c r="H18" s="96" t="s">
        <v>870</v>
      </c>
      <c r="I18" s="153" t="s">
        <v>2391</v>
      </c>
      <c r="J18" s="98"/>
    </row>
    <row r="19" spans="1:10">
      <c r="A19" s="95"/>
      <c r="B19" s="96" t="s">
        <v>875</v>
      </c>
      <c r="C19" s="97" t="s">
        <v>146</v>
      </c>
      <c r="D19" s="98"/>
      <c r="G19" s="95"/>
      <c r="H19" s="96" t="s">
        <v>2314</v>
      </c>
      <c r="I19" s="153" t="s">
        <v>2388</v>
      </c>
      <c r="J19" s="98"/>
    </row>
    <row r="20" spans="1:10">
      <c r="A20" s="95"/>
      <c r="B20" s="96" t="s">
        <v>190</v>
      </c>
      <c r="C20" s="97"/>
      <c r="D20" s="98"/>
      <c r="G20" s="95"/>
      <c r="H20" s="96" t="s">
        <v>870</v>
      </c>
      <c r="I20" s="153" t="s">
        <v>2392</v>
      </c>
      <c r="J20" s="98"/>
    </row>
    <row r="21" spans="1:10">
      <c r="A21" s="95" t="s">
        <v>1202</v>
      </c>
      <c r="B21" s="96" t="s">
        <v>164</v>
      </c>
      <c r="C21" s="97" t="s">
        <v>269</v>
      </c>
      <c r="D21" s="98"/>
      <c r="G21" s="95"/>
      <c r="H21" s="96" t="s">
        <v>2314</v>
      </c>
      <c r="I21" s="153" t="s">
        <v>2388</v>
      </c>
      <c r="J21" s="98"/>
    </row>
    <row r="22" spans="1:10">
      <c r="G22" s="95"/>
      <c r="H22" s="96" t="s">
        <v>108</v>
      </c>
      <c r="I22" s="153"/>
      <c r="J22" s="98"/>
    </row>
    <row r="23" spans="1:10" ht="15.75" thickBot="1"/>
    <row r="24" spans="1:10" ht="15.75" thickBot="1">
      <c r="A24" s="260" t="s">
        <v>1026</v>
      </c>
      <c r="B24" s="261"/>
      <c r="C24" s="261"/>
      <c r="D24" s="262"/>
    </row>
    <row r="25" spans="1:10" ht="15.75" thickBot="1">
      <c r="A25" s="161" t="s">
        <v>131</v>
      </c>
      <c r="B25" s="162" t="s">
        <v>148</v>
      </c>
      <c r="C25" s="161" t="s">
        <v>129</v>
      </c>
      <c r="D25" s="163" t="s">
        <v>130</v>
      </c>
      <c r="G25" s="53" t="s">
        <v>131</v>
      </c>
      <c r="H25" s="41" t="s">
        <v>148</v>
      </c>
      <c r="I25" s="53" t="s">
        <v>129</v>
      </c>
      <c r="J25" s="68" t="s">
        <v>130</v>
      </c>
    </row>
    <row r="26" spans="1:10">
      <c r="A26" s="95"/>
      <c r="B26" s="96" t="s">
        <v>1021</v>
      </c>
      <c r="C26" s="153" t="s">
        <v>1025</v>
      </c>
      <c r="D26" s="98"/>
      <c r="G26" s="95"/>
      <c r="H26" s="96" t="s">
        <v>1021</v>
      </c>
      <c r="I26" s="153" t="s">
        <v>1149</v>
      </c>
      <c r="J26" s="98"/>
    </row>
    <row r="27" spans="1:10">
      <c r="A27" s="95"/>
      <c r="B27" s="96"/>
      <c r="C27" s="153"/>
      <c r="D27" s="98"/>
      <c r="G27" s="95"/>
      <c r="H27" s="96" t="s">
        <v>164</v>
      </c>
      <c r="I27" s="153" t="s">
        <v>2388</v>
      </c>
      <c r="J27" s="98"/>
    </row>
    <row r="28" spans="1:10">
      <c r="A28" s="95" t="s">
        <v>1022</v>
      </c>
      <c r="B28" s="96" t="s">
        <v>295</v>
      </c>
      <c r="C28" s="153" t="s">
        <v>114</v>
      </c>
      <c r="D28" s="98" t="s">
        <v>1029</v>
      </c>
      <c r="G28" s="95"/>
      <c r="H28" s="96" t="s">
        <v>2317</v>
      </c>
      <c r="I28" s="153" t="s">
        <v>2379</v>
      </c>
      <c r="J28" s="98"/>
    </row>
    <row r="29" spans="1:10">
      <c r="A29" s="95"/>
      <c r="B29" s="96" t="s">
        <v>147</v>
      </c>
      <c r="C29" s="153" t="s">
        <v>150</v>
      </c>
      <c r="D29" s="98" t="s">
        <v>221</v>
      </c>
      <c r="G29" s="95" t="s">
        <v>1023</v>
      </c>
      <c r="H29" s="96" t="s">
        <v>870</v>
      </c>
      <c r="I29" s="153" t="s">
        <v>1032</v>
      </c>
      <c r="J29" s="98" t="s">
        <v>2380</v>
      </c>
    </row>
    <row r="30" spans="1:10">
      <c r="A30" s="95"/>
      <c r="B30" s="96"/>
      <c r="C30" s="153"/>
      <c r="D30" s="98"/>
      <c r="G30" s="95"/>
      <c r="H30" s="96" t="s">
        <v>2272</v>
      </c>
      <c r="I30" s="153" t="s">
        <v>1045</v>
      </c>
      <c r="J30" s="98"/>
    </row>
    <row r="31" spans="1:10">
      <c r="A31" s="95" t="s">
        <v>1023</v>
      </c>
      <c r="B31" s="96" t="s">
        <v>878</v>
      </c>
      <c r="C31" s="153" t="s">
        <v>1030</v>
      </c>
      <c r="D31" s="98"/>
      <c r="G31" s="95"/>
      <c r="H31" s="96" t="s">
        <v>2314</v>
      </c>
      <c r="I31" s="153" t="s">
        <v>2388</v>
      </c>
      <c r="J31" s="98"/>
    </row>
    <row r="32" spans="1:10">
      <c r="A32" s="95"/>
      <c r="B32" s="96" t="s">
        <v>871</v>
      </c>
      <c r="C32" s="153" t="s">
        <v>150</v>
      </c>
      <c r="D32" s="98"/>
      <c r="G32" s="95"/>
      <c r="H32" s="96" t="s">
        <v>467</v>
      </c>
      <c r="I32" s="153"/>
      <c r="J32" s="98"/>
    </row>
    <row r="33" spans="1:10">
      <c r="A33" s="95"/>
      <c r="B33" s="96" t="s">
        <v>254</v>
      </c>
      <c r="C33" s="153" t="s">
        <v>1023</v>
      </c>
      <c r="D33" s="98"/>
      <c r="G33" s="95"/>
      <c r="H33" s="96" t="s">
        <v>2276</v>
      </c>
      <c r="I33" s="153" t="s">
        <v>1023</v>
      </c>
      <c r="J33" s="98"/>
    </row>
    <row r="34" spans="1:10">
      <c r="A34" s="95"/>
      <c r="B34" s="96" t="s">
        <v>187</v>
      </c>
      <c r="C34" s="153" t="s">
        <v>150</v>
      </c>
      <c r="D34" s="98" t="s">
        <v>152</v>
      </c>
      <c r="G34" s="95" t="s">
        <v>1045</v>
      </c>
      <c r="H34" s="96" t="s">
        <v>1295</v>
      </c>
      <c r="I34" s="153"/>
      <c r="J34" s="98"/>
    </row>
    <row r="35" spans="1:10">
      <c r="A35" s="95"/>
      <c r="B35" s="96" t="s">
        <v>196</v>
      </c>
      <c r="C35" s="153" t="s">
        <v>1027</v>
      </c>
      <c r="D35" s="98"/>
      <c r="G35" s="95" t="s">
        <v>1032</v>
      </c>
      <c r="H35" s="96" t="s">
        <v>298</v>
      </c>
      <c r="I35" s="153">
        <v>48</v>
      </c>
      <c r="J35" s="98"/>
    </row>
    <row r="36" spans="1:10">
      <c r="A36" s="95"/>
      <c r="B36" s="96" t="s">
        <v>68</v>
      </c>
      <c r="C36" s="153"/>
      <c r="D36" s="98"/>
      <c r="G36" s="95"/>
      <c r="H36" s="96" t="s">
        <v>298</v>
      </c>
      <c r="I36" s="153">
        <v>45</v>
      </c>
      <c r="J36" s="98"/>
    </row>
    <row r="37" spans="1:10">
      <c r="A37" s="95"/>
      <c r="B37" s="96" t="s">
        <v>875</v>
      </c>
      <c r="C37" s="153" t="s">
        <v>146</v>
      </c>
      <c r="D37" s="98"/>
      <c r="G37" s="95"/>
      <c r="H37" s="96" t="s">
        <v>298</v>
      </c>
      <c r="I37" s="153" t="s">
        <v>592</v>
      </c>
      <c r="J37" s="98"/>
    </row>
    <row r="38" spans="1:10">
      <c r="A38" s="95"/>
      <c r="B38" s="96" t="s">
        <v>875</v>
      </c>
      <c r="C38" s="153" t="s">
        <v>1031</v>
      </c>
      <c r="D38" s="98"/>
      <c r="G38" s="95"/>
      <c r="H38" s="96" t="s">
        <v>298</v>
      </c>
      <c r="I38" s="153" t="s">
        <v>592</v>
      </c>
      <c r="J38" s="98"/>
    </row>
    <row r="39" spans="1:10">
      <c r="A39" s="95"/>
      <c r="B39" s="96" t="s">
        <v>353</v>
      </c>
      <c r="C39" s="153" t="s">
        <v>1023</v>
      </c>
      <c r="D39" s="98"/>
      <c r="G39" s="95"/>
      <c r="H39" s="96" t="s">
        <v>298</v>
      </c>
      <c r="I39" s="153" t="s">
        <v>598</v>
      </c>
      <c r="J39" s="98"/>
    </row>
    <row r="40" spans="1:10">
      <c r="A40" s="95"/>
      <c r="B40" s="96"/>
      <c r="C40" s="153"/>
      <c r="D40" s="98"/>
      <c r="G40" s="95"/>
      <c r="H40" s="96" t="s">
        <v>298</v>
      </c>
      <c r="I40" s="153" t="s">
        <v>517</v>
      </c>
      <c r="J40" s="98"/>
    </row>
    <row r="41" spans="1:10">
      <c r="A41" s="95" t="s">
        <v>1027</v>
      </c>
      <c r="B41" s="96" t="s">
        <v>147</v>
      </c>
      <c r="C41" s="153" t="s">
        <v>188</v>
      </c>
      <c r="D41" s="98" t="s">
        <v>886</v>
      </c>
      <c r="G41" s="95"/>
      <c r="H41" s="96" t="s">
        <v>298</v>
      </c>
      <c r="I41" s="153" t="s">
        <v>221</v>
      </c>
      <c r="J41" s="98"/>
    </row>
    <row r="42" spans="1:10">
      <c r="A42" s="95"/>
      <c r="B42" s="96" t="s">
        <v>454</v>
      </c>
      <c r="C42" s="153" t="s">
        <v>152</v>
      </c>
      <c r="D42" s="98"/>
    </row>
    <row r="43" spans="1:10">
      <c r="A43" s="95"/>
      <c r="B43" s="96"/>
      <c r="C43" s="153"/>
      <c r="D43" s="98"/>
    </row>
    <row r="44" spans="1:10">
      <c r="A44" s="95" t="s">
        <v>1028</v>
      </c>
      <c r="B44" s="96" t="s">
        <v>398</v>
      </c>
      <c r="C44" s="153" t="s">
        <v>150</v>
      </c>
      <c r="D44" s="98"/>
    </row>
    <row r="45" spans="1:10">
      <c r="A45" s="95"/>
      <c r="B45" s="96" t="s">
        <v>238</v>
      </c>
      <c r="C45" s="153" t="s">
        <v>188</v>
      </c>
      <c r="D45" s="98"/>
    </row>
    <row r="46" spans="1:10">
      <c r="A46" s="95"/>
      <c r="B46" s="96" t="s">
        <v>358</v>
      </c>
      <c r="C46" s="153" t="s">
        <v>1028</v>
      </c>
      <c r="D46" s="98"/>
    </row>
    <row r="47" spans="1:10">
      <c r="A47" s="95"/>
      <c r="B47" s="96" t="s">
        <v>84</v>
      </c>
      <c r="C47" s="153"/>
      <c r="D47" s="98"/>
    </row>
    <row r="48" spans="1:10" ht="15.75" thickBot="1"/>
    <row r="49" spans="1:4" ht="15.75" thickBot="1">
      <c r="A49" s="260" t="s">
        <v>1035</v>
      </c>
      <c r="B49" s="261"/>
      <c r="C49" s="261"/>
      <c r="D49" s="262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0" t="s">
        <v>1040</v>
      </c>
      <c r="B56" s="261"/>
      <c r="C56" s="261"/>
      <c r="D56" s="262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0" t="s">
        <v>1043</v>
      </c>
      <c r="B70" s="261"/>
      <c r="C70" s="261"/>
      <c r="D70" s="262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0" t="s">
        <v>1055</v>
      </c>
      <c r="B83" s="261"/>
      <c r="C83" s="261"/>
      <c r="D83" s="262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7">
    <mergeCell ref="G7:J7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11" priority="14" operator="containsText" text=" ">
      <formula>NOT(ISERROR(SEARCH(" ",A116)))</formula>
    </cfRule>
  </conditionalFormatting>
  <conditionalFormatting sqref="A116 A91 G2:J2">
    <cfRule type="expression" dxfId="10" priority="13">
      <formula>$E$13=$N2</formula>
    </cfRule>
  </conditionalFormatting>
  <conditionalFormatting sqref="A91">
    <cfRule type="containsText" dxfId="9" priority="12" operator="containsText" text=" ">
      <formula>NOT(ISERROR(SEARCH(" ",A91)))</formula>
    </cfRule>
  </conditionalFormatting>
  <conditionalFormatting sqref="G2:J2">
    <cfRule type="containsText" dxfId="8" priority="10" operator="containsText" text=" ">
      <formula>NOT(ISERROR(SEARCH(" ",G2)))</formula>
    </cfRule>
  </conditionalFormatting>
  <conditionalFormatting sqref="G16">
    <cfRule type="expression" dxfId="7" priority="8">
      <formula>$E$13=$N15</formula>
    </cfRule>
  </conditionalFormatting>
  <conditionalFormatting sqref="G16">
    <cfRule type="containsText" dxfId="6" priority="7" operator="containsText" text=" ">
      <formula>NOT(ISERROR(SEARCH(" ",G16)))</formula>
    </cfRule>
  </conditionalFormatting>
  <conditionalFormatting sqref="G8:J8">
    <cfRule type="expression" dxfId="5" priority="6">
      <formula>$E$13=$N8</formula>
    </cfRule>
  </conditionalFormatting>
  <conditionalFormatting sqref="G8:J8">
    <cfRule type="containsText" dxfId="4" priority="5" operator="containsText" text=" ">
      <formula>NOT(ISERROR(SEARCH(" ",G8)))</formula>
    </cfRule>
  </conditionalFormatting>
  <conditionalFormatting sqref="G32:G34">
    <cfRule type="expression" dxfId="3" priority="4">
      <formula>$E$13=$N31</formula>
    </cfRule>
  </conditionalFormatting>
  <conditionalFormatting sqref="G32:G34">
    <cfRule type="containsText" dxfId="2" priority="3" operator="containsText" text=" ">
      <formula>NOT(ISERROR(SEARCH(" ",G32)))</formula>
    </cfRule>
  </conditionalFormatting>
  <conditionalFormatting sqref="G25:J25">
    <cfRule type="expression" dxfId="1" priority="2">
      <formula>$E$13=$N25</formula>
    </cfRule>
  </conditionalFormatting>
  <conditionalFormatting sqref="G25:J25">
    <cfRule type="containsText" dxfId="0" priority="1" operator="containsText" text=" ">
      <formula>NOT(ISERROR(SEARCH(" ",G25)))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2026-03-29T01:45:48Z</dcterms:modified>
</cp:coreProperties>
</file>